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Entry" sheetId="2" state="visible" r:id="rId2"/>
    <sheet xmlns:r="http://schemas.openxmlformats.org/officeDocument/2006/relationships" name="Daily Summary" sheetId="3" state="visible" r:id="rId3"/>
    <sheet xmlns:r="http://schemas.openxmlformats.org/officeDocument/2006/relationships" name="Weekly Summary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Invoice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Staff Performance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Profit Analysis" sheetId="10" state="visible" r:id="rId10"/>
  </sheets>
  <definedNames>
    <definedName name="_xlnm.Print_Titles" localSheetId="1">'Sales Entry'!$1:$4</definedName>
    <definedName name="_xlnm.Print_Area" localSheetId="1">'Sales Entry'!$B$1:$N$132</definedName>
    <definedName name="_xlnm.Print_Titles" localSheetId="2">'Daily Summary'!$1:$4</definedName>
    <definedName name="_xlnm.Print_Area" localSheetId="2">'Daily Summary'!$B$1:$K$36</definedName>
    <definedName name="_xlnm.Print_Titles" localSheetId="3">'Weekly Summary'!$1:$4</definedName>
    <definedName name="_xlnm.Print_Area" localSheetId="3">'Weekly Summary'!$B$1:$I$10</definedName>
    <definedName name="_xlnm.Print_Titles" localSheetId="4">'Monthly Summary'!$1:$4</definedName>
    <definedName name="_xlnm.Print_Area" localSheetId="4">'Monthly Summary'!$B$1:$I$6</definedName>
    <definedName name="_xlnm.Print_Titles" localSheetId="6">'Inventory'!$1:$4</definedName>
    <definedName name="_xlnm.Print_Area" localSheetId="6">'Inventory'!$B$1:$M$39</definedName>
    <definedName name="_xlnm.Print_Titles" localSheetId="7">'Staff Performance'!$1:$4</definedName>
    <definedName name="_xlnm.Print_Area" localSheetId="7">'Staff Performance'!$B$1:$J$11</definedName>
    <definedName name="_xlnm.Print_Titles" localSheetId="8">'Expenses'!$1:$4</definedName>
    <definedName name="_xlnm.Print_Area" localSheetId="8">'Expenses'!$B$1:$I$45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%"/>
    <numFmt numFmtId="167" formatCode="DD-MMM"/>
  </numFmts>
  <fonts count="11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color rgb="00708DA8"/>
      <sz val="9"/>
    </font>
    <font>
      <name val="Calibri"/>
      <b val="1"/>
      <color rgb="000D1B2A"/>
      <sz val="20"/>
    </font>
    <font>
      <name val="Calibri"/>
      <b val="1"/>
      <color rgb="000D1B2A"/>
      <sz val="14"/>
    </font>
    <font>
      <name val="Calibri"/>
      <b val="1"/>
      <color rgb="000D1B2A"/>
      <sz val="11"/>
    </font>
    <font>
      <name val="Calibri"/>
      <color rgb="00EF4444"/>
      <sz val="11"/>
    </font>
    <font>
      <name val="Calibri"/>
      <b val="1"/>
      <color rgb="000D1B2A"/>
      <sz val="12"/>
    </font>
    <font>
      <name val="Noto Sans CJK SC"/>
      <color rgb="000D1B2A"/>
      <sz val="22"/>
    </font>
  </fonts>
  <fills count="7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  <fill>
      <patternFill patternType="solid">
        <fgColor rgb="00F8FAFB"/>
      </patternFill>
    </fill>
  </fills>
  <borders count="4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  <border>
      <top style="medium">
        <color rgb="000D1B2A"/>
      </top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6" borderId="0" applyAlignment="1" pivotButton="0" quotePrefix="0" xfId="0">
      <alignment horizontal="center" vertical="bottom"/>
    </xf>
    <xf numFmtId="0" fontId="0" fillId="6" borderId="0" pivotButton="0" quotePrefix="0" xfId="0"/>
    <xf numFmtId="4" fontId="10" fillId="6" borderId="0" applyAlignment="1" pivotButton="0" quotePrefix="0" xfId="0">
      <alignment horizontal="center" vertical="center"/>
    </xf>
    <xf numFmtId="166" fontId="10" fillId="6" borderId="0" applyAlignment="1" pivotButton="0" quotePrefix="0" xfId="0">
      <alignment horizontal="center" vertical="center"/>
    </xf>
    <xf numFmtId="3" fontId="10" fillId="6" borderId="0" applyAlignment="1" pivotButton="0" quotePrefix="0" xfId="0">
      <alignment horizontal="center" vertical="center"/>
    </xf>
    <xf numFmtId="167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5" fontId="3" fillId="3" borderId="0" applyAlignment="1" pivotButton="0" quotePrefix="0" xfId="0">
      <alignment horizontal="center" vertical="center"/>
    </xf>
    <xf numFmtId="0" fontId="3" fillId="3" borderId="0" pivotButton="0" quotePrefix="0" xfId="0"/>
    <xf numFmtId="4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center" vertical="center"/>
    </xf>
    <xf numFmtId="0" fontId="3" fillId="4" borderId="0" pivotButton="0" quotePrefix="0" xfId="0"/>
    <xf numFmtId="4" fontId="3" fillId="4" borderId="0" applyAlignment="1" pivotButton="0" quotePrefix="0" xfId="0">
      <alignment horizontal="right" vertical="center"/>
    </xf>
    <xf numFmtId="0" fontId="3" fillId="5" borderId="2" pivotButton="0" quotePrefix="0" xfId="0"/>
    <xf numFmtId="3" fontId="3" fillId="5" borderId="2" pivotButton="0" quotePrefix="0" xfId="0"/>
    <xf numFmtId="4" fontId="3" fillId="5" borderId="2" pivotButton="0" quotePrefix="0" xfId="0"/>
    <xf numFmtId="3" fontId="3" fillId="3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4" fontId="3" fillId="3" borderId="0" pivotButton="0" quotePrefix="0" xfId="0"/>
    <xf numFmtId="4" fontId="3" fillId="4" borderId="0" pivotButton="0" quotePrefix="0" xfId="0"/>
    <xf numFmtId="4" fontId="3" fillId="0" borderId="0" pivotButton="0" quotePrefix="0" xfId="0"/>
    <xf numFmtId="4" fontId="8" fillId="0" borderId="0" pivotButton="0" quotePrefix="0" xfId="0"/>
    <xf numFmtId="0" fontId="0" fillId="0" borderId="3" pivotButton="0" quotePrefix="0" xfId="0"/>
    <xf numFmtId="0" fontId="9" fillId="0" borderId="0" pivotButton="0" quotePrefix="0" xfId="0"/>
    <xf numFmtId="4" fontId="6" fillId="0" borderId="0" pivotButton="0" quotePrefix="0" xfId="0"/>
    <xf numFmtId="166" fontId="3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166" fontId="3" fillId="5" borderId="2" pivotButton="0" quotePrefix="0" xfId="0"/>
    <xf numFmtId="4" fontId="3" fillId="5" borderId="2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9" fillId="5" borderId="2" pivotButton="0" quotePrefix="0" xfId="0"/>
  </cellXfs>
  <cellStyles count="1">
    <cellStyle name="Normal" xfId="0" builtinId="0" hidden="0"/>
  </cellStyles>
  <dxfs count="8">
    <dxf>
      <font>
        <b val="1"/>
        <color rgb="00EF4444"/>
      </font>
      <fill>
        <patternFill>
          <bgColor rgb="00FDEDEC"/>
        </patternFill>
      </fill>
    </dxf>
    <dxf>
      <font>
        <color rgb="0010B981"/>
      </font>
      <fill>
        <patternFill>
          <bgColor rgb="00E8F5E9"/>
        </patternFill>
      </fill>
    </dxf>
    <dxf>
      <font>
        <b val="1"/>
        <color rgb="0010B981"/>
      </font>
      <fill>
        <patternFill>
          <bgColor rgb="00E8F5E9"/>
        </patternFill>
      </fill>
    </dxf>
    <dxf>
      <font>
        <color rgb="00EF4444"/>
      </font>
      <fill>
        <patternFill>
          <bgColor rgb="00FDEDEC"/>
        </patternFill>
      </fill>
    </dxf>
    <dxf>
      <font>
        <color rgb="00F59E0B"/>
      </font>
      <fill>
        <patternFill>
          <bgColor rgb="00FEF9E7"/>
        </patternFill>
      </fill>
    </dxf>
    <dxf>
      <font>
        <b val="1"/>
        <color rgb="0010B981"/>
        <sz val="12"/>
      </font>
      <fill>
        <patternFill>
          <bgColor rgb="00E8F5E9"/>
        </patternFill>
      </fill>
    </dxf>
    <dxf>
      <font>
        <b val="1"/>
        <color rgb="00EF4444"/>
        <sz val="12"/>
      </font>
      <fill>
        <patternFill>
          <bgColor rgb="00FDEDEC"/>
        </patternFill>
      </fill>
    </dxf>
    <dxf>
      <font>
        <color rgb="00EF4444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Daily Sales Trend — March 2025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'Dashboard'!C50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 w="22000">
              <a:solidFill>
                <a:srgbClr val="0D1B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'Dashboard'!$B$51:$B$81</f>
            </numRef>
          </cat>
          <val>
            <numRef>
              <f>'Dashboard'!$C$51:$C$81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Expense Breakdown — March 2025</a:t>
            </a:r>
          </a:p>
        </rich>
      </tx>
    </title>
    <plotArea>
      <pieChart>
        <varyColors val="1"/>
        <ser>
          <idx val="0"/>
          <order val="0"/>
          <tx>
            <strRef>
              <f>'Dashboard'!C85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1B2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8DA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D1B2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'Dashboard'!$B$86:$B$94</f>
            </numRef>
          </cat>
          <val>
            <numRef>
              <f>'Dashboard'!$C$86:$C$94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Staff Performance — Sales vs Target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'Dashboard'!C100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'Dashboard'!$B$101:$B$106</f>
            </numRef>
          </cat>
          <val>
            <numRef>
              <f>'Dashboard'!$C$101:$C$106</f>
            </numRef>
          </val>
        </ser>
        <ser>
          <idx val="1"/>
          <order val="1"/>
          <tx>
            <strRef>
              <f>'Dashboard'!D100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solidFill>
                <a:srgbClr val="10B981"/>
              </a:solidFill>
              <a:prstDash val="solid"/>
            </a:ln>
          </spPr>
          <cat>
            <numRef>
              <f>'Dashboard'!$B$101:$B$106</f>
            </numRef>
          </cat>
          <val>
            <numRef>
              <f>'Dashboard'!$D$101:$D$106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 (AED)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Sales by Category — March 2025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'Dashboard'!C115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'Dashboard'!$B$116:$B$122</f>
            </numRef>
          </cat>
          <val>
            <numRef>
              <f>'Dashboard'!$C$116:$C$122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March 2025: Sales vs Expenses vs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Summary'!C9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'Monthly Summary'!$B$10:$B$12</f>
            </numRef>
          </cat>
          <val>
            <numRef>
              <f>'Monthly Summary'!$C$10:$C$12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 
(AED)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100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7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100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576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2:P1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15" customHeight="1"/>
    <row r="2" ht="40" customHeight="1">
      <c r="B2" s="1" t="inlineStr">
        <is>
          <t>TechZone Electronics — POS Dashboard</t>
        </is>
      </c>
    </row>
    <row r="3" ht="8" customHeight="1">
      <c r="B3" s="2" t="inlineStr">
        <is>
          <t>March 2025 | Premium POS Report</t>
        </is>
      </c>
    </row>
    <row r="5" ht="22" customHeight="1">
      <c r="B5" s="3" t="inlineStr">
        <is>
          <t>Total Revenue</t>
        </is>
      </c>
      <c r="C5" s="4" t="n"/>
      <c r="D5" s="3" t="inlineStr">
        <is>
          <t>Total Expenses</t>
        </is>
      </c>
      <c r="E5" s="4" t="n"/>
      <c r="F5" s="3" t="inlineStr">
        <is>
          <t>Net Profit</t>
        </is>
      </c>
      <c r="G5" s="4" t="n"/>
      <c r="H5" s="3" t="inlineStr">
        <is>
          <t>Profit Margin %</t>
        </is>
      </c>
      <c r="I5" s="4" t="n"/>
      <c r="J5" s="3" t="inlineStr">
        <is>
          <t># Transactions</t>
        </is>
      </c>
      <c r="K5" s="4" t="n"/>
      <c r="L5" s="3" t="inlineStr">
        <is>
          <t>Avg Transaction</t>
        </is>
      </c>
      <c r="M5" s="4" t="n"/>
    </row>
    <row r="6" ht="36" customHeight="1">
      <c r="B6" s="5">
        <f>'Monthly Summary'!C5</f>
        <v/>
      </c>
      <c r="C6" s="4" t="n"/>
      <c r="D6" s="5">
        <f>'Monthly Summary'!G5</f>
        <v/>
      </c>
      <c r="E6" s="4" t="n"/>
      <c r="F6" s="5">
        <f>'Profit Analysis'!C11</f>
        <v/>
      </c>
      <c r="G6" s="4" t="n"/>
      <c r="H6" s="6">
        <f>'Profit Analysis'!C12</f>
        <v/>
      </c>
      <c r="I6" s="4" t="n"/>
      <c r="J6" s="7">
        <f>'Monthly Summary'!D5</f>
        <v/>
      </c>
      <c r="K6" s="4" t="n"/>
      <c r="L6" s="5">
        <f>'Monthly Summary'!E5</f>
        <v/>
      </c>
      <c r="M6" s="4" t="n"/>
    </row>
    <row r="7" ht="8" customHeight="1"/>
    <row r="50" hidden="1">
      <c r="B50" t="inlineStr">
        <is>
          <t>Date</t>
        </is>
      </c>
      <c r="C50" t="inlineStr">
        <is>
          <t>Daily Sales</t>
        </is>
      </c>
    </row>
    <row r="51" hidden="1">
      <c r="B51" s="8" t="n">
        <v>45717</v>
      </c>
      <c r="C51">
        <f>'Daily Summary'!C5</f>
        <v/>
      </c>
    </row>
    <row r="52" hidden="1">
      <c r="B52" s="8" t="n">
        <v>45718</v>
      </c>
      <c r="C52">
        <f>'Daily Summary'!C6</f>
        <v/>
      </c>
    </row>
    <row r="53" hidden="1">
      <c r="B53" s="8" t="n">
        <v>45719</v>
      </c>
      <c r="C53">
        <f>'Daily Summary'!C7</f>
        <v/>
      </c>
    </row>
    <row r="54" hidden="1">
      <c r="B54" s="8" t="n">
        <v>45720</v>
      </c>
      <c r="C54">
        <f>'Daily Summary'!C8</f>
        <v/>
      </c>
    </row>
    <row r="55" hidden="1">
      <c r="B55" s="8" t="n">
        <v>45721</v>
      </c>
      <c r="C55">
        <f>'Daily Summary'!C9</f>
        <v/>
      </c>
    </row>
    <row r="56" hidden="1">
      <c r="B56" s="8" t="n">
        <v>45722</v>
      </c>
      <c r="C56">
        <f>'Daily Summary'!C10</f>
        <v/>
      </c>
    </row>
    <row r="57" hidden="1">
      <c r="B57" s="8" t="n">
        <v>45723</v>
      </c>
      <c r="C57">
        <f>'Daily Summary'!C11</f>
        <v/>
      </c>
    </row>
    <row r="58" hidden="1">
      <c r="B58" s="8" t="n">
        <v>45724</v>
      </c>
      <c r="C58">
        <f>'Daily Summary'!C12</f>
        <v/>
      </c>
    </row>
    <row r="59" hidden="1">
      <c r="B59" s="8" t="n">
        <v>45725</v>
      </c>
      <c r="C59">
        <f>'Daily Summary'!C13</f>
        <v/>
      </c>
    </row>
    <row r="60" hidden="1">
      <c r="B60" s="8" t="n">
        <v>45726</v>
      </c>
      <c r="C60">
        <f>'Daily Summary'!C14</f>
        <v/>
      </c>
    </row>
    <row r="61" hidden="1">
      <c r="B61" s="8" t="n">
        <v>45727</v>
      </c>
      <c r="C61">
        <f>'Daily Summary'!C15</f>
        <v/>
      </c>
    </row>
    <row r="62" hidden="1">
      <c r="B62" s="8" t="n">
        <v>45728</v>
      </c>
      <c r="C62">
        <f>'Daily Summary'!C16</f>
        <v/>
      </c>
    </row>
    <row r="63" hidden="1">
      <c r="B63" s="8" t="n">
        <v>45729</v>
      </c>
      <c r="C63">
        <f>'Daily Summary'!C17</f>
        <v/>
      </c>
    </row>
    <row r="64" hidden="1">
      <c r="B64" s="8" t="n">
        <v>45730</v>
      </c>
      <c r="C64">
        <f>'Daily Summary'!C18</f>
        <v/>
      </c>
    </row>
    <row r="65" hidden="1">
      <c r="B65" s="8" t="n">
        <v>45731</v>
      </c>
      <c r="C65">
        <f>'Daily Summary'!C19</f>
        <v/>
      </c>
    </row>
    <row r="66" hidden="1">
      <c r="B66" s="8" t="n">
        <v>45732</v>
      </c>
      <c r="C66">
        <f>'Daily Summary'!C20</f>
        <v/>
      </c>
    </row>
    <row r="67" hidden="1">
      <c r="B67" s="8" t="n">
        <v>45733</v>
      </c>
      <c r="C67">
        <f>'Daily Summary'!C21</f>
        <v/>
      </c>
    </row>
    <row r="68" hidden="1">
      <c r="B68" s="8" t="n">
        <v>45734</v>
      </c>
      <c r="C68">
        <f>'Daily Summary'!C22</f>
        <v/>
      </c>
    </row>
    <row r="69" hidden="1">
      <c r="B69" s="8" t="n">
        <v>45735</v>
      </c>
      <c r="C69">
        <f>'Daily Summary'!C23</f>
        <v/>
      </c>
    </row>
    <row r="70" hidden="1">
      <c r="B70" s="8" t="n">
        <v>45736</v>
      </c>
      <c r="C70">
        <f>'Daily Summary'!C24</f>
        <v/>
      </c>
    </row>
    <row r="71" hidden="1">
      <c r="B71" s="8" t="n">
        <v>45737</v>
      </c>
      <c r="C71">
        <f>'Daily Summary'!C25</f>
        <v/>
      </c>
    </row>
    <row r="72" hidden="1">
      <c r="B72" s="8" t="n">
        <v>45738</v>
      </c>
      <c r="C72">
        <f>'Daily Summary'!C26</f>
        <v/>
      </c>
    </row>
    <row r="73" hidden="1">
      <c r="B73" s="8" t="n">
        <v>45739</v>
      </c>
      <c r="C73">
        <f>'Daily Summary'!C27</f>
        <v/>
      </c>
    </row>
    <row r="74" hidden="1">
      <c r="B74" s="8" t="n">
        <v>45740</v>
      </c>
      <c r="C74">
        <f>'Daily Summary'!C28</f>
        <v/>
      </c>
    </row>
    <row r="75" hidden="1">
      <c r="B75" s="8" t="n">
        <v>45741</v>
      </c>
      <c r="C75">
        <f>'Daily Summary'!C29</f>
        <v/>
      </c>
    </row>
    <row r="76" hidden="1">
      <c r="B76" s="8" t="n">
        <v>45742</v>
      </c>
      <c r="C76">
        <f>'Daily Summary'!C30</f>
        <v/>
      </c>
    </row>
    <row r="77" hidden="1">
      <c r="B77" s="8" t="n">
        <v>45743</v>
      </c>
      <c r="C77">
        <f>'Daily Summary'!C31</f>
        <v/>
      </c>
    </row>
    <row r="78" hidden="1">
      <c r="B78" s="8" t="n">
        <v>45744</v>
      </c>
      <c r="C78">
        <f>'Daily Summary'!C32</f>
        <v/>
      </c>
    </row>
    <row r="79" hidden="1">
      <c r="B79" s="8" t="n">
        <v>45745</v>
      </c>
      <c r="C79">
        <f>'Daily Summary'!C33</f>
        <v/>
      </c>
    </row>
    <row r="80" hidden="1">
      <c r="B80" s="8" t="n">
        <v>45746</v>
      </c>
      <c r="C80">
        <f>'Daily Summary'!C34</f>
        <v/>
      </c>
    </row>
    <row r="81" hidden="1">
      <c r="B81" s="8" t="n">
        <v>45747</v>
      </c>
      <c r="C81">
        <f>'Daily Summary'!C35</f>
        <v/>
      </c>
    </row>
    <row r="82" hidden="1"/>
    <row r="83" hidden="1"/>
    <row r="84" hidden="1"/>
    <row r="85" hidden="1">
      <c r="B85" t="inlineStr">
        <is>
          <t>Category</t>
        </is>
      </c>
      <c r="C85" t="inlineStr">
        <is>
          <t>Amount</t>
        </is>
      </c>
    </row>
    <row r="86" hidden="1">
      <c r="B86" t="inlineStr">
        <is>
          <t>Rent</t>
        </is>
      </c>
      <c r="C86">
        <f>SUMPRODUCT(('Expenses'!C5:C44=B86)*('Expenses'!E5:E44))</f>
        <v/>
      </c>
    </row>
    <row r="87" hidden="1">
      <c r="B87" t="inlineStr">
        <is>
          <t>Salaries</t>
        </is>
      </c>
      <c r="C87">
        <f>SUMPRODUCT(('Expenses'!C5:C44=B87)*('Expenses'!E5:E44))</f>
        <v/>
      </c>
    </row>
    <row r="88" hidden="1">
      <c r="B88" t="inlineStr">
        <is>
          <t>Utilities</t>
        </is>
      </c>
      <c r="C88">
        <f>SUMPRODUCT(('Expenses'!C5:C44=B88)*('Expenses'!E5:E44))</f>
        <v/>
      </c>
    </row>
    <row r="89" hidden="1">
      <c r="B89" t="inlineStr">
        <is>
          <t>Supplies</t>
        </is>
      </c>
      <c r="C89">
        <f>SUMPRODUCT(('Expenses'!C5:C44=B89)*('Expenses'!E5:E44))</f>
        <v/>
      </c>
    </row>
    <row r="90" hidden="1">
      <c r="B90" t="inlineStr">
        <is>
          <t>Maintenance</t>
        </is>
      </c>
      <c r="C90">
        <f>SUMPRODUCT(('Expenses'!C5:C44=B90)*('Expenses'!E5:E44))</f>
        <v/>
      </c>
    </row>
    <row r="91" hidden="1">
      <c r="B91" t="inlineStr">
        <is>
          <t>Marketing</t>
        </is>
      </c>
      <c r="C91">
        <f>SUMPRODUCT(('Expenses'!C5:C44=B91)*('Expenses'!E5:E44))</f>
        <v/>
      </c>
    </row>
    <row r="92" hidden="1">
      <c r="B92" t="inlineStr">
        <is>
          <t>Transport</t>
        </is>
      </c>
      <c r="C92">
        <f>SUMPRODUCT(('Expenses'!C5:C44=B92)*('Expenses'!E5:E44))</f>
        <v/>
      </c>
    </row>
    <row r="93" hidden="1">
      <c r="B93" t="inlineStr">
        <is>
          <t>Insurance</t>
        </is>
      </c>
      <c r="C93">
        <f>SUMPRODUCT(('Expenses'!C5:C44=B93)*('Expenses'!E5:E44))</f>
        <v/>
      </c>
    </row>
    <row r="94" hidden="1">
      <c r="B94" t="inlineStr">
        <is>
          <t>Miscellaneous</t>
        </is>
      </c>
      <c r="C94">
        <f>SUMPRODUCT(('Expenses'!C5:C44=B94)*('Expenses'!E5:E44))</f>
        <v/>
      </c>
    </row>
    <row r="95" hidden="1"/>
    <row r="96" hidden="1"/>
    <row r="97" hidden="1"/>
    <row r="98" hidden="1"/>
    <row r="99" hidden="1"/>
    <row r="100" hidden="1">
      <c r="B100" t="inlineStr">
        <is>
          <t>Staff</t>
        </is>
      </c>
      <c r="C100" t="inlineStr">
        <is>
          <t>Total Sales</t>
        </is>
      </c>
      <c r="D100" t="inlineStr">
        <is>
          <t>Target</t>
        </is>
      </c>
    </row>
    <row r="101" hidden="1">
      <c r="B101" t="inlineStr">
        <is>
          <t>Ahmed</t>
        </is>
      </c>
      <c r="C101">
        <f>'Staff Performance'!C5</f>
        <v/>
      </c>
      <c r="D101">
        <f>'Staff Performance'!I5</f>
        <v/>
      </c>
    </row>
    <row r="102" hidden="1">
      <c r="B102" t="inlineStr">
        <is>
          <t>Fatima</t>
        </is>
      </c>
      <c r="C102">
        <f>'Staff Performance'!C6</f>
        <v/>
      </c>
      <c r="D102">
        <f>'Staff Performance'!I6</f>
        <v/>
      </c>
    </row>
    <row r="103" hidden="1">
      <c r="B103" t="inlineStr">
        <is>
          <t>Omar</t>
        </is>
      </c>
      <c r="C103">
        <f>'Staff Performance'!C7</f>
        <v/>
      </c>
      <c r="D103">
        <f>'Staff Performance'!I7</f>
        <v/>
      </c>
    </row>
    <row r="104" hidden="1">
      <c r="B104" t="inlineStr">
        <is>
          <t>Sara</t>
        </is>
      </c>
      <c r="C104">
        <f>'Staff Performance'!C8</f>
        <v/>
      </c>
      <c r="D104">
        <f>'Staff Performance'!I8</f>
        <v/>
      </c>
    </row>
    <row r="105" hidden="1">
      <c r="B105" t="inlineStr">
        <is>
          <t>Khalid</t>
        </is>
      </c>
      <c r="C105">
        <f>'Staff Performance'!C9</f>
        <v/>
      </c>
      <c r="D105">
        <f>'Staff Performance'!I9</f>
        <v/>
      </c>
    </row>
    <row r="106" hidden="1">
      <c r="B106" t="inlineStr">
        <is>
          <t>Maryam</t>
        </is>
      </c>
      <c r="C106">
        <f>'Staff Performance'!C10</f>
        <v/>
      </c>
      <c r="D106">
        <f>'Staff Performance'!I10</f>
        <v/>
      </c>
    </row>
    <row r="107" hidden="1"/>
    <row r="108" hidden="1"/>
    <row r="109" hidden="1"/>
    <row r="110" hidden="1"/>
    <row r="111" hidden="1"/>
    <row r="112" hidden="1"/>
    <row r="113" hidden="1"/>
    <row r="114" hidden="1"/>
    <row r="115" hidden="1">
      <c r="B115" t="inlineStr">
        <is>
          <t>Category</t>
        </is>
      </c>
      <c r="C115" t="inlineStr">
        <is>
          <t>Total Sales</t>
        </is>
      </c>
    </row>
    <row r="116" hidden="1">
      <c r="B116" t="inlineStr">
        <is>
          <t>Accessories</t>
        </is>
      </c>
      <c r="C116">
        <f>SUMPRODUCT(('Sales Entry'!E5:E131=B116)*('Sales Entry'!M5:M131))</f>
        <v/>
      </c>
    </row>
    <row r="117" hidden="1">
      <c r="B117" t="inlineStr">
        <is>
          <t>Audio</t>
        </is>
      </c>
      <c r="C117">
        <f>SUMPRODUCT(('Sales Entry'!E5:E131=B117)*('Sales Entry'!M5:M131))</f>
        <v/>
      </c>
    </row>
    <row r="118" hidden="1">
      <c r="B118" t="inlineStr">
        <is>
          <t>Cables</t>
        </is>
      </c>
      <c r="C118">
        <f>SUMPRODUCT(('Sales Entry'!E5:E131=B118)*('Sales Entry'!M5:M131))</f>
        <v/>
      </c>
    </row>
    <row r="119" hidden="1">
      <c r="B119" t="inlineStr">
        <is>
          <t>Devices</t>
        </is>
      </c>
      <c r="C119">
        <f>SUMPRODUCT(('Sales Entry'!E5:E131=B119)*('Sales Entry'!M5:M131))</f>
        <v/>
      </c>
    </row>
    <row r="120" hidden="1">
      <c r="B120" t="inlineStr">
        <is>
          <t>Peripherals</t>
        </is>
      </c>
      <c r="C120">
        <f>SUMPRODUCT(('Sales Entry'!E5:E131=B120)*('Sales Entry'!M5:M131))</f>
        <v/>
      </c>
    </row>
    <row r="121" hidden="1">
      <c r="B121" t="inlineStr">
        <is>
          <t>Storage</t>
        </is>
      </c>
      <c r="C121">
        <f>SUMPRODUCT(('Sales Entry'!E5:E131=B121)*('Sales Entry'!M5:M131))</f>
        <v/>
      </c>
    </row>
    <row r="122" hidden="1">
      <c r="B122" t="inlineStr">
        <is>
          <t>Wearables</t>
        </is>
      </c>
      <c r="C122">
        <f>SUMPRODUCT(('Sales Entry'!E5:E131=B122)*('Sales Entry'!M5:M131))</f>
        <v/>
      </c>
    </row>
    <row r="123" hidden="1"/>
    <row r="124" hidden="1"/>
    <row r="125" hidden="1"/>
    <row r="126" hidden="1"/>
    <row r="127" hidden="1"/>
    <row r="128" hidden="1"/>
    <row r="129" hidden="1"/>
  </sheetData>
  <mergeCells count="14">
    <mergeCell ref="D6:E6"/>
    <mergeCell ref="B6:C6"/>
    <mergeCell ref="B2:P2"/>
    <mergeCell ref="H6:I6"/>
    <mergeCell ref="J5:K5"/>
    <mergeCell ref="J6:K6"/>
    <mergeCell ref="L6:M6"/>
    <mergeCell ref="B5:C5"/>
    <mergeCell ref="B3:P3"/>
    <mergeCell ref="F5:G5"/>
    <mergeCell ref="D5:E5"/>
    <mergeCell ref="F6:G6"/>
    <mergeCell ref="H5:I5"/>
    <mergeCell ref="L5:M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B2:N1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0" customWidth="1" min="4" max="4"/>
    <col width="14" customWidth="1" min="5" max="5"/>
    <col width="8" customWidth="1" min="6" max="6"/>
    <col width="12" customWidth="1" min="7" max="7"/>
    <col width="12" customWidth="1" min="8" max="8"/>
    <col width="16" customWidth="1" min="9" max="9"/>
    <col width="14" customWidth="1" min="10" max="10"/>
    <col width="22" customWidth="1" min="11" max="11"/>
    <col width="12" customWidth="1" min="12" max="12"/>
    <col width="12" customWidth="1" min="13" max="13"/>
    <col width="28" customWidth="1" min="14" max="14"/>
  </cols>
  <sheetData>
    <row r="1" ht="15" customHeight="1"/>
    <row r="2" ht="32" customHeight="1">
      <c r="B2" s="9" t="inlineStr">
        <is>
          <t>Sales Entry — TechZone Electronics</t>
        </is>
      </c>
    </row>
    <row r="3" ht="8" customHeight="1"/>
    <row r="4" ht="28" customHeight="1">
      <c r="B4" s="10" t="inlineStr">
        <is>
          <t>Date</t>
        </is>
      </c>
      <c r="C4" s="10" t="inlineStr">
        <is>
          <t>Invoice #</t>
        </is>
      </c>
      <c r="D4" s="10" t="inlineStr">
        <is>
          <t>Item/Service</t>
        </is>
      </c>
      <c r="E4" s="10" t="inlineStr">
        <is>
          <t>Category</t>
        </is>
      </c>
      <c r="F4" s="10" t="inlineStr">
        <is>
          <t>Qty</t>
        </is>
      </c>
      <c r="G4" s="10" t="inlineStr">
        <is>
          <t>Unit Price</t>
        </is>
      </c>
      <c r="H4" s="10" t="inlineStr">
        <is>
          <t>Total</t>
        </is>
      </c>
      <c r="I4" s="10" t="inlineStr">
        <is>
          <t>Payment Method</t>
        </is>
      </c>
      <c r="J4" s="10" t="inlineStr">
        <is>
          <t>Staff Name</t>
        </is>
      </c>
      <c r="K4" s="10" t="inlineStr">
        <is>
          <t>Customer Name</t>
        </is>
      </c>
      <c r="L4" s="10" t="inlineStr">
        <is>
          <t>Discount</t>
        </is>
      </c>
      <c r="M4" s="10" t="inlineStr">
        <is>
          <t>Net Total</t>
        </is>
      </c>
      <c r="N4" s="10" t="inlineStr">
        <is>
          <t>Notes</t>
        </is>
      </c>
    </row>
    <row r="5" ht="22" customHeight="1">
      <c r="B5" s="11" t="n">
        <v>45717</v>
      </c>
      <c r="C5" s="12" t="inlineStr">
        <is>
          <t>INV-0101</t>
        </is>
      </c>
      <c r="D5" s="12" t="inlineStr">
        <is>
          <t>Tablet</t>
        </is>
      </c>
      <c r="E5" s="12" t="inlineStr">
        <is>
          <t>Devices</t>
        </is>
      </c>
      <c r="F5" s="12" t="n">
        <v>1</v>
      </c>
      <c r="G5" s="13" t="n">
        <v>899</v>
      </c>
      <c r="H5" s="13" t="n">
        <v>899</v>
      </c>
      <c r="I5" s="12" t="inlineStr">
        <is>
          <t>Online</t>
        </is>
      </c>
      <c r="J5" s="12" t="inlineStr">
        <is>
          <t>Fatima</t>
        </is>
      </c>
      <c r="K5" s="12" t="inlineStr">
        <is>
          <t>Noor Al Hashmi</t>
        </is>
      </c>
      <c r="L5" s="13" t="n">
        <v>10</v>
      </c>
      <c r="M5" s="13" t="n">
        <v>889</v>
      </c>
      <c r="N5" s="12" t="inlineStr">
        <is>
          <t>Promo discount AED 10</t>
        </is>
      </c>
    </row>
    <row r="6" ht="22" customHeight="1">
      <c r="B6" s="14" t="n">
        <v>45717</v>
      </c>
      <c r="C6" s="15" t="inlineStr">
        <is>
          <t>INV-0102</t>
        </is>
      </c>
      <c r="D6" s="15" t="inlineStr">
        <is>
          <t>Bluetooth Speaker</t>
        </is>
      </c>
      <c r="E6" s="15" t="inlineStr">
        <is>
          <t>Audio</t>
        </is>
      </c>
      <c r="F6" s="15" t="n">
        <v>4</v>
      </c>
      <c r="G6" s="16" t="n">
        <v>150</v>
      </c>
      <c r="H6" s="16" t="n">
        <v>600</v>
      </c>
      <c r="I6" s="15" t="inlineStr">
        <is>
          <t>Cash</t>
        </is>
      </c>
      <c r="J6" s="15" t="inlineStr">
        <is>
          <t>Ahmed</t>
        </is>
      </c>
      <c r="K6" s="15" t="inlineStr">
        <is>
          <t>Youssef Al Mansoori</t>
        </is>
      </c>
      <c r="L6" s="16" t="n">
        <v>30</v>
      </c>
      <c r="M6" s="16" t="n">
        <v>570</v>
      </c>
      <c r="N6" s="15" t="inlineStr">
        <is>
          <t>Promo discount AED 30</t>
        </is>
      </c>
    </row>
    <row r="7" ht="22" customHeight="1">
      <c r="B7" s="11" t="n">
        <v>45717</v>
      </c>
      <c r="C7" s="12" t="inlineStr">
        <is>
          <t>INV-0103</t>
        </is>
      </c>
      <c r="D7" s="12" t="inlineStr">
        <is>
          <t>USB Cable</t>
        </is>
      </c>
      <c r="E7" s="12" t="inlineStr">
        <is>
          <t>Accessories</t>
        </is>
      </c>
      <c r="F7" s="12" t="n">
        <v>2</v>
      </c>
      <c r="G7" s="13" t="n">
        <v>25</v>
      </c>
      <c r="H7" s="13" t="n">
        <v>50</v>
      </c>
      <c r="I7" s="12" t="inlineStr">
        <is>
          <t>Online</t>
        </is>
      </c>
      <c r="J7" s="12" t="inlineStr">
        <is>
          <t>Maryam</t>
        </is>
      </c>
      <c r="K7" s="12" t="inlineStr">
        <is>
          <t>Walk-in</t>
        </is>
      </c>
      <c r="L7" s="13" t="n">
        <v>0</v>
      </c>
      <c r="M7" s="13" t="n">
        <v>50</v>
      </c>
      <c r="N7" s="12" t="inlineStr"/>
    </row>
    <row r="8" ht="22" customHeight="1">
      <c r="B8" s="14" t="n">
        <v>45717</v>
      </c>
      <c r="C8" s="15" t="inlineStr">
        <is>
          <t>INV-0104</t>
        </is>
      </c>
      <c r="D8" s="15" t="inlineStr">
        <is>
          <t>Adapter Plug</t>
        </is>
      </c>
      <c r="E8" s="15" t="inlineStr">
        <is>
          <t>Accessories</t>
        </is>
      </c>
      <c r="F8" s="15" t="n">
        <v>3</v>
      </c>
      <c r="G8" s="16" t="n">
        <v>20</v>
      </c>
      <c r="H8" s="16" t="n">
        <v>60</v>
      </c>
      <c r="I8" s="15" t="inlineStr">
        <is>
          <t>Online</t>
        </is>
      </c>
      <c r="J8" s="15" t="inlineStr">
        <is>
          <t>Ahmed</t>
        </is>
      </c>
      <c r="K8" s="15" t="inlineStr">
        <is>
          <t>Layla Al Qasimi</t>
        </is>
      </c>
      <c r="L8" s="16" t="n">
        <v>0</v>
      </c>
      <c r="M8" s="16" t="n">
        <v>60</v>
      </c>
      <c r="N8" s="15" t="inlineStr"/>
    </row>
    <row r="9" ht="22" customHeight="1">
      <c r="B9" s="11" t="n">
        <v>45717</v>
      </c>
      <c r="C9" s="12" t="inlineStr">
        <is>
          <t>INV-0105</t>
        </is>
      </c>
      <c r="D9" s="12" t="inlineStr">
        <is>
          <t>Monitor Cable</t>
        </is>
      </c>
      <c r="E9" s="12" t="inlineStr">
        <is>
          <t>Cables</t>
        </is>
      </c>
      <c r="F9" s="12" t="n">
        <v>3</v>
      </c>
      <c r="G9" s="13" t="n">
        <v>40</v>
      </c>
      <c r="H9" s="13" t="n">
        <v>120</v>
      </c>
      <c r="I9" s="12" t="inlineStr">
        <is>
          <t>Cash</t>
        </is>
      </c>
      <c r="J9" s="12" t="inlineStr">
        <is>
          <t>Omar</t>
        </is>
      </c>
      <c r="K9" s="12" t="inlineStr">
        <is>
          <t>Fatma Al Suwaidi</t>
        </is>
      </c>
      <c r="L9" s="13" t="n">
        <v>10</v>
      </c>
      <c r="M9" s="13" t="n">
        <v>110</v>
      </c>
      <c r="N9" s="12" t="inlineStr">
        <is>
          <t>Promo discount AED 10</t>
        </is>
      </c>
    </row>
    <row r="10" ht="22" customHeight="1">
      <c r="B10" s="14" t="n">
        <v>45718</v>
      </c>
      <c r="C10" s="15" t="inlineStr">
        <is>
          <t>INV-0106</t>
        </is>
      </c>
      <c r="D10" s="15" t="inlineStr">
        <is>
          <t>Phone Holder</t>
        </is>
      </c>
      <c r="E10" s="15" t="inlineStr">
        <is>
          <t>Accessories</t>
        </is>
      </c>
      <c r="F10" s="15" t="n">
        <v>3</v>
      </c>
      <c r="G10" s="16" t="n">
        <v>35</v>
      </c>
      <c r="H10" s="16" t="n">
        <v>105</v>
      </c>
      <c r="I10" s="15" t="inlineStr">
        <is>
          <t>Online</t>
        </is>
      </c>
      <c r="J10" s="15" t="inlineStr">
        <is>
          <t>Maryam</t>
        </is>
      </c>
      <c r="K10" s="15" t="inlineStr">
        <is>
          <t>Rashid Al Zaabi</t>
        </is>
      </c>
      <c r="L10" s="16" t="n">
        <v>0</v>
      </c>
      <c r="M10" s="16" t="n">
        <v>105</v>
      </c>
      <c r="N10" s="15" t="inlineStr"/>
    </row>
    <row r="11" ht="22" customHeight="1">
      <c r="B11" s="11" t="n">
        <v>45718</v>
      </c>
      <c r="C11" s="12" t="inlineStr">
        <is>
          <t>INV-0107</t>
        </is>
      </c>
      <c r="D11" s="12" t="inlineStr">
        <is>
          <t>Car Mount</t>
        </is>
      </c>
      <c r="E11" s="12" t="inlineStr">
        <is>
          <t>Accessories</t>
        </is>
      </c>
      <c r="F11" s="12" t="n">
        <v>1</v>
      </c>
      <c r="G11" s="13" t="n">
        <v>50</v>
      </c>
      <c r="H11" s="13" t="n">
        <v>50</v>
      </c>
      <c r="I11" s="12" t="inlineStr">
        <is>
          <t>Card</t>
        </is>
      </c>
      <c r="J11" s="12" t="inlineStr">
        <is>
          <t>Maryam</t>
        </is>
      </c>
      <c r="K11" s="12" t="inlineStr">
        <is>
          <t>Walk-in</t>
        </is>
      </c>
      <c r="L11" s="13" t="n">
        <v>0</v>
      </c>
      <c r="M11" s="13" t="n">
        <v>50</v>
      </c>
      <c r="N11" s="12" t="inlineStr"/>
    </row>
    <row r="12" ht="22" customHeight="1">
      <c r="B12" s="14" t="n">
        <v>45718</v>
      </c>
      <c r="C12" s="15" t="inlineStr">
        <is>
          <t>INV-0108</t>
        </is>
      </c>
      <c r="D12" s="15" t="inlineStr">
        <is>
          <t>Stylus Pen</t>
        </is>
      </c>
      <c r="E12" s="15" t="inlineStr">
        <is>
          <t>Accessories</t>
        </is>
      </c>
      <c r="F12" s="15" t="n">
        <v>2</v>
      </c>
      <c r="G12" s="16" t="n">
        <v>65</v>
      </c>
      <c r="H12" s="16" t="n">
        <v>130</v>
      </c>
      <c r="I12" s="15" t="inlineStr">
        <is>
          <t>Online</t>
        </is>
      </c>
      <c r="J12" s="15" t="inlineStr">
        <is>
          <t>Ahmed</t>
        </is>
      </c>
      <c r="K12" s="15" t="inlineStr">
        <is>
          <t>Noor Al Hashmi</t>
        </is>
      </c>
      <c r="L12" s="16" t="n">
        <v>0</v>
      </c>
      <c r="M12" s="16" t="n">
        <v>130</v>
      </c>
      <c r="N12" s="15" t="inlineStr"/>
    </row>
    <row r="13" ht="22" customHeight="1">
      <c r="B13" s="11" t="n">
        <v>45718</v>
      </c>
      <c r="C13" s="12" t="inlineStr">
        <is>
          <t>INV-0109</t>
        </is>
      </c>
      <c r="D13" s="12" t="inlineStr">
        <is>
          <t>Bluetooth Speaker</t>
        </is>
      </c>
      <c r="E13" s="12" t="inlineStr">
        <is>
          <t>Audio</t>
        </is>
      </c>
      <c r="F13" s="12" t="n">
        <v>2</v>
      </c>
      <c r="G13" s="13" t="n">
        <v>150</v>
      </c>
      <c r="H13" s="13" t="n">
        <v>300</v>
      </c>
      <c r="I13" s="12" t="inlineStr">
        <is>
          <t>Online</t>
        </is>
      </c>
      <c r="J13" s="12" t="inlineStr">
        <is>
          <t>Sara</t>
        </is>
      </c>
      <c r="K13" s="12" t="inlineStr">
        <is>
          <t>Saeed Al Dhaheri</t>
        </is>
      </c>
      <c r="L13" s="13" t="n">
        <v>0</v>
      </c>
      <c r="M13" s="13" t="n">
        <v>300</v>
      </c>
      <c r="N13" s="12" t="inlineStr"/>
    </row>
    <row r="14" ht="22" customHeight="1">
      <c r="B14" s="14" t="n">
        <v>45719</v>
      </c>
      <c r="C14" s="15" t="inlineStr">
        <is>
          <t>INV-0110</t>
        </is>
      </c>
      <c r="D14" s="15" t="inlineStr">
        <is>
          <t>Laptop Stand</t>
        </is>
      </c>
      <c r="E14" s="15" t="inlineStr">
        <is>
          <t>Accessories</t>
        </is>
      </c>
      <c r="F14" s="15" t="n">
        <v>3</v>
      </c>
      <c r="G14" s="16" t="n">
        <v>150</v>
      </c>
      <c r="H14" s="16" t="n">
        <v>450</v>
      </c>
      <c r="I14" s="15" t="inlineStr">
        <is>
          <t>Card</t>
        </is>
      </c>
      <c r="J14" s="15" t="inlineStr">
        <is>
          <t>Maryam</t>
        </is>
      </c>
      <c r="K14" s="15" t="inlineStr">
        <is>
          <t>Saeed Al Dhaheri</t>
        </is>
      </c>
      <c r="L14" s="16" t="n">
        <v>0</v>
      </c>
      <c r="M14" s="16" t="n">
        <v>450</v>
      </c>
      <c r="N14" s="15" t="inlineStr"/>
    </row>
    <row r="15" ht="22" customHeight="1">
      <c r="B15" s="11" t="n">
        <v>45719</v>
      </c>
      <c r="C15" s="12" t="inlineStr">
        <is>
          <t>INV-0111</t>
        </is>
      </c>
      <c r="D15" s="12" t="inlineStr">
        <is>
          <t>Earbuds</t>
        </is>
      </c>
      <c r="E15" s="12" t="inlineStr">
        <is>
          <t>Audio</t>
        </is>
      </c>
      <c r="F15" s="12" t="n">
        <v>2</v>
      </c>
      <c r="G15" s="13" t="n">
        <v>85</v>
      </c>
      <c r="H15" s="13" t="n">
        <v>170</v>
      </c>
      <c r="I15" s="12" t="inlineStr">
        <is>
          <t>Card</t>
        </is>
      </c>
      <c r="J15" s="12" t="inlineStr">
        <is>
          <t>Fatima</t>
        </is>
      </c>
      <c r="K15" s="12" t="inlineStr">
        <is>
          <t>Layla Al Qasimi</t>
        </is>
      </c>
      <c r="L15" s="13" t="n">
        <v>0</v>
      </c>
      <c r="M15" s="13" t="n">
        <v>170</v>
      </c>
      <c r="N15" s="12" t="inlineStr"/>
    </row>
    <row r="16" ht="22" customHeight="1">
      <c r="B16" s="14" t="n">
        <v>45719</v>
      </c>
      <c r="C16" s="15" t="inlineStr">
        <is>
          <t>INV-0112</t>
        </is>
      </c>
      <c r="D16" s="15" t="inlineStr">
        <is>
          <t>Memory Card 64GB</t>
        </is>
      </c>
      <c r="E16" s="15" t="inlineStr">
        <is>
          <t>Storage</t>
        </is>
      </c>
      <c r="F16" s="15" t="n">
        <v>2</v>
      </c>
      <c r="G16" s="16" t="n">
        <v>45</v>
      </c>
      <c r="H16" s="16" t="n">
        <v>90</v>
      </c>
      <c r="I16" s="15" t="inlineStr">
        <is>
          <t>Card</t>
        </is>
      </c>
      <c r="J16" s="15" t="inlineStr">
        <is>
          <t>Ahmed</t>
        </is>
      </c>
      <c r="K16" s="15" t="inlineStr">
        <is>
          <t>Noor Al Hashmi</t>
        </is>
      </c>
      <c r="L16" s="16" t="n">
        <v>0</v>
      </c>
      <c r="M16" s="16" t="n">
        <v>90</v>
      </c>
      <c r="N16" s="15" t="inlineStr"/>
    </row>
    <row r="17" ht="22" customHeight="1">
      <c r="B17" s="11" t="n">
        <v>45719</v>
      </c>
      <c r="C17" s="12" t="inlineStr">
        <is>
          <t>INV-0113</t>
        </is>
      </c>
      <c r="D17" s="12" t="inlineStr">
        <is>
          <t>Webcam</t>
        </is>
      </c>
      <c r="E17" s="12" t="inlineStr">
        <is>
          <t>Peripherals</t>
        </is>
      </c>
      <c r="F17" s="12" t="n">
        <v>4</v>
      </c>
      <c r="G17" s="13" t="n">
        <v>180</v>
      </c>
      <c r="H17" s="13" t="n">
        <v>720</v>
      </c>
      <c r="I17" s="12" t="inlineStr">
        <is>
          <t>Card</t>
        </is>
      </c>
      <c r="J17" s="12" t="inlineStr">
        <is>
          <t>Fatima</t>
        </is>
      </c>
      <c r="K17" s="12" t="inlineStr">
        <is>
          <t>Walk-in</t>
        </is>
      </c>
      <c r="L17" s="13" t="n">
        <v>0</v>
      </c>
      <c r="M17" s="13" t="n">
        <v>720</v>
      </c>
      <c r="N17" s="12" t="inlineStr"/>
    </row>
    <row r="18" ht="22" customHeight="1">
      <c r="B18" s="14" t="n">
        <v>45720</v>
      </c>
      <c r="C18" s="15" t="inlineStr">
        <is>
          <t>INV-0114</t>
        </is>
      </c>
      <c r="D18" s="15" t="inlineStr">
        <is>
          <t>Charger</t>
        </is>
      </c>
      <c r="E18" s="15" t="inlineStr">
        <is>
          <t>Accessories</t>
        </is>
      </c>
      <c r="F18" s="15" t="n">
        <v>4</v>
      </c>
      <c r="G18" s="16" t="n">
        <v>55</v>
      </c>
      <c r="H18" s="16" t="n">
        <v>220</v>
      </c>
      <c r="I18" s="15" t="inlineStr">
        <is>
          <t>Card</t>
        </is>
      </c>
      <c r="J18" s="15" t="inlineStr">
        <is>
          <t>Maryam</t>
        </is>
      </c>
      <c r="K18" s="15" t="inlineStr">
        <is>
          <t>Rashid Al Zaabi</t>
        </is>
      </c>
      <c r="L18" s="16" t="n">
        <v>15</v>
      </c>
      <c r="M18" s="16" t="n">
        <v>205</v>
      </c>
      <c r="N18" s="15" t="inlineStr">
        <is>
          <t>Promo discount AED 15</t>
        </is>
      </c>
    </row>
    <row r="19" ht="22" customHeight="1">
      <c r="B19" s="11" t="n">
        <v>45720</v>
      </c>
      <c r="C19" s="12" t="inlineStr">
        <is>
          <t>INV-0115</t>
        </is>
      </c>
      <c r="D19" s="12" t="inlineStr">
        <is>
          <t>Type-C Hub</t>
        </is>
      </c>
      <c r="E19" s="12" t="inlineStr">
        <is>
          <t>Accessories</t>
        </is>
      </c>
      <c r="F19" s="12" t="n">
        <v>3</v>
      </c>
      <c r="G19" s="13" t="n">
        <v>95</v>
      </c>
      <c r="H19" s="13" t="n">
        <v>285</v>
      </c>
      <c r="I19" s="12" t="inlineStr">
        <is>
          <t>Online</t>
        </is>
      </c>
      <c r="J19" s="12" t="inlineStr">
        <is>
          <t>Sara</t>
        </is>
      </c>
      <c r="K19" s="12" t="inlineStr">
        <is>
          <t>Walk-in</t>
        </is>
      </c>
      <c r="L19" s="13" t="n">
        <v>0</v>
      </c>
      <c r="M19" s="13" t="n">
        <v>285</v>
      </c>
      <c r="N19" s="12" t="inlineStr"/>
    </row>
    <row r="20" ht="22" customHeight="1">
      <c r="B20" s="14" t="n">
        <v>45720</v>
      </c>
      <c r="C20" s="15" t="inlineStr">
        <is>
          <t>INV-0116</t>
        </is>
      </c>
      <c r="D20" s="15" t="inlineStr">
        <is>
          <t>HDMI Cable</t>
        </is>
      </c>
      <c r="E20" s="15" t="inlineStr">
        <is>
          <t>Cables</t>
        </is>
      </c>
      <c r="F20" s="15" t="n">
        <v>2</v>
      </c>
      <c r="G20" s="16" t="n">
        <v>35</v>
      </c>
      <c r="H20" s="16" t="n">
        <v>70</v>
      </c>
      <c r="I20" s="15" t="inlineStr">
        <is>
          <t>Card</t>
        </is>
      </c>
      <c r="J20" s="15" t="inlineStr">
        <is>
          <t>Ahmed</t>
        </is>
      </c>
      <c r="K20" s="15" t="inlineStr">
        <is>
          <t>Aisha Al Maktoum</t>
        </is>
      </c>
      <c r="L20" s="16" t="n">
        <v>0</v>
      </c>
      <c r="M20" s="16" t="n">
        <v>70</v>
      </c>
      <c r="N20" s="15" t="inlineStr"/>
    </row>
    <row r="21" ht="22" customHeight="1">
      <c r="B21" s="11" t="n">
        <v>45720</v>
      </c>
      <c r="C21" s="12" t="inlineStr">
        <is>
          <t>INV-0117</t>
        </is>
      </c>
      <c r="D21" s="12" t="inlineStr">
        <is>
          <t>Fitness Band</t>
        </is>
      </c>
      <c r="E21" s="12" t="inlineStr">
        <is>
          <t>Wearables</t>
        </is>
      </c>
      <c r="F21" s="12" t="n">
        <v>2</v>
      </c>
      <c r="G21" s="13" t="n">
        <v>180</v>
      </c>
      <c r="H21" s="13" t="n">
        <v>360</v>
      </c>
      <c r="I21" s="12" t="inlineStr">
        <is>
          <t>Online</t>
        </is>
      </c>
      <c r="J21" s="12" t="inlineStr">
        <is>
          <t>Sara</t>
        </is>
      </c>
      <c r="K21" s="12" t="inlineStr">
        <is>
          <t>Walk-in</t>
        </is>
      </c>
      <c r="L21" s="13" t="n">
        <v>25</v>
      </c>
      <c r="M21" s="13" t="n">
        <v>335</v>
      </c>
      <c r="N21" s="12" t="inlineStr">
        <is>
          <t>Promo discount AED 25</t>
        </is>
      </c>
    </row>
    <row r="22" ht="22" customHeight="1">
      <c r="B22" s="14" t="n">
        <v>45721</v>
      </c>
      <c r="C22" s="15" t="inlineStr">
        <is>
          <t>INV-0118</t>
        </is>
      </c>
      <c r="D22" s="15" t="inlineStr">
        <is>
          <t>AV Cable</t>
        </is>
      </c>
      <c r="E22" s="15" t="inlineStr">
        <is>
          <t>Cables</t>
        </is>
      </c>
      <c r="F22" s="15" t="n">
        <v>3</v>
      </c>
      <c r="G22" s="16" t="n">
        <v>28</v>
      </c>
      <c r="H22" s="16" t="n">
        <v>84</v>
      </c>
      <c r="I22" s="15" t="inlineStr">
        <is>
          <t>Bank Transfer</t>
        </is>
      </c>
      <c r="J22" s="15" t="inlineStr">
        <is>
          <t>Ahmed</t>
        </is>
      </c>
      <c r="K22" s="15" t="inlineStr">
        <is>
          <t>Fatma Al Suwaidi</t>
        </is>
      </c>
      <c r="L22" s="16" t="n">
        <v>0</v>
      </c>
      <c r="M22" s="16" t="n">
        <v>84</v>
      </c>
      <c r="N22" s="15" t="inlineStr"/>
    </row>
    <row r="23" ht="22" customHeight="1">
      <c r="B23" s="11" t="n">
        <v>45721</v>
      </c>
      <c r="C23" s="12" t="inlineStr">
        <is>
          <t>INV-0119</t>
        </is>
      </c>
      <c r="D23" s="12" t="inlineStr">
        <is>
          <t>Memory Card 64GB</t>
        </is>
      </c>
      <c r="E23" s="12" t="inlineStr">
        <is>
          <t>Storage</t>
        </is>
      </c>
      <c r="F23" s="12" t="n">
        <v>3</v>
      </c>
      <c r="G23" s="13" t="n">
        <v>45</v>
      </c>
      <c r="H23" s="13" t="n">
        <v>135</v>
      </c>
      <c r="I23" s="12" t="inlineStr">
        <is>
          <t>Cash</t>
        </is>
      </c>
      <c r="J23" s="12" t="inlineStr">
        <is>
          <t>Sara</t>
        </is>
      </c>
      <c r="K23" s="12" t="inlineStr">
        <is>
          <t>Layla Al Qasimi</t>
        </is>
      </c>
      <c r="L23" s="13" t="n">
        <v>0</v>
      </c>
      <c r="M23" s="13" t="n">
        <v>135</v>
      </c>
      <c r="N23" s="12" t="inlineStr"/>
    </row>
    <row r="24" ht="22" customHeight="1">
      <c r="B24" s="14" t="n">
        <v>45721</v>
      </c>
      <c r="C24" s="15" t="inlineStr">
        <is>
          <t>INV-0120</t>
        </is>
      </c>
      <c r="D24" s="15" t="inlineStr">
        <is>
          <t>Wireless Charger</t>
        </is>
      </c>
      <c r="E24" s="15" t="inlineStr">
        <is>
          <t>Accessories</t>
        </is>
      </c>
      <c r="F24" s="15" t="n">
        <v>2</v>
      </c>
      <c r="G24" s="16" t="n">
        <v>110</v>
      </c>
      <c r="H24" s="16" t="n">
        <v>220</v>
      </c>
      <c r="I24" s="15" t="inlineStr">
        <is>
          <t>Card</t>
        </is>
      </c>
      <c r="J24" s="15" t="inlineStr">
        <is>
          <t>Ahmed</t>
        </is>
      </c>
      <c r="K24" s="15" t="inlineStr">
        <is>
          <t>Walk-in</t>
        </is>
      </c>
      <c r="L24" s="16" t="n">
        <v>40</v>
      </c>
      <c r="M24" s="16" t="n">
        <v>180</v>
      </c>
      <c r="N24" s="15" t="inlineStr">
        <is>
          <t>Promo discount AED 40</t>
        </is>
      </c>
    </row>
    <row r="25" ht="22" customHeight="1">
      <c r="B25" s="11" t="n">
        <v>45721</v>
      </c>
      <c r="C25" s="12" t="inlineStr">
        <is>
          <t>INV-0121</t>
        </is>
      </c>
      <c r="D25" s="12" t="inlineStr">
        <is>
          <t>Ring Light</t>
        </is>
      </c>
      <c r="E25" s="12" t="inlineStr">
        <is>
          <t>Accessories</t>
        </is>
      </c>
      <c r="F25" s="12" t="n">
        <v>2</v>
      </c>
      <c r="G25" s="13" t="n">
        <v>120</v>
      </c>
      <c r="H25" s="13" t="n">
        <v>240</v>
      </c>
      <c r="I25" s="12" t="inlineStr">
        <is>
          <t>Cash</t>
        </is>
      </c>
      <c r="J25" s="12" t="inlineStr">
        <is>
          <t>Fatima</t>
        </is>
      </c>
      <c r="K25" s="12" t="inlineStr">
        <is>
          <t>Walk-in</t>
        </is>
      </c>
      <c r="L25" s="13" t="n">
        <v>0</v>
      </c>
      <c r="M25" s="13" t="n">
        <v>240</v>
      </c>
      <c r="N25" s="12" t="inlineStr"/>
    </row>
    <row r="26" ht="22" customHeight="1">
      <c r="B26" s="14" t="n">
        <v>45721</v>
      </c>
      <c r="C26" s="15" t="inlineStr">
        <is>
          <t>INV-0122</t>
        </is>
      </c>
      <c r="D26" s="15" t="inlineStr">
        <is>
          <t>Tripod Stand</t>
        </is>
      </c>
      <c r="E26" s="15" t="inlineStr">
        <is>
          <t>Accessories</t>
        </is>
      </c>
      <c r="F26" s="15" t="n">
        <v>1</v>
      </c>
      <c r="G26" s="16" t="n">
        <v>90</v>
      </c>
      <c r="H26" s="16" t="n">
        <v>90</v>
      </c>
      <c r="I26" s="15" t="inlineStr">
        <is>
          <t>Card</t>
        </is>
      </c>
      <c r="J26" s="15" t="inlineStr">
        <is>
          <t>Sara</t>
        </is>
      </c>
      <c r="K26" s="15" t="inlineStr">
        <is>
          <t>Mohamed Al Rashid</t>
        </is>
      </c>
      <c r="L26" s="16" t="n">
        <v>20</v>
      </c>
      <c r="M26" s="16" t="n">
        <v>70</v>
      </c>
      <c r="N26" s="15" t="inlineStr">
        <is>
          <t>Promo discount AED 20</t>
        </is>
      </c>
    </row>
    <row r="27" ht="22" customHeight="1">
      <c r="B27" s="11" t="n">
        <v>45722</v>
      </c>
      <c r="C27" s="12" t="inlineStr">
        <is>
          <t>INV-0123</t>
        </is>
      </c>
      <c r="D27" s="12" t="inlineStr">
        <is>
          <t>Type-C Hub</t>
        </is>
      </c>
      <c r="E27" s="12" t="inlineStr">
        <is>
          <t>Accessories</t>
        </is>
      </c>
      <c r="F27" s="12" t="n">
        <v>1</v>
      </c>
      <c r="G27" s="13" t="n">
        <v>95</v>
      </c>
      <c r="H27" s="13" t="n">
        <v>95</v>
      </c>
      <c r="I27" s="12" t="inlineStr">
        <is>
          <t>Cash</t>
        </is>
      </c>
      <c r="J27" s="12" t="inlineStr">
        <is>
          <t>Khalid</t>
        </is>
      </c>
      <c r="K27" s="12" t="inlineStr">
        <is>
          <t>Hassan Al Nuaimi</t>
        </is>
      </c>
      <c r="L27" s="13" t="n">
        <v>25</v>
      </c>
      <c r="M27" s="13" t="n">
        <v>70</v>
      </c>
      <c r="N27" s="12" t="inlineStr">
        <is>
          <t>Promo discount AED 25</t>
        </is>
      </c>
    </row>
    <row r="28" ht="22" customHeight="1">
      <c r="B28" s="14" t="n">
        <v>45722</v>
      </c>
      <c r="C28" s="15" t="inlineStr">
        <is>
          <t>INV-0124</t>
        </is>
      </c>
      <c r="D28" s="15" t="inlineStr">
        <is>
          <t>Earbuds</t>
        </is>
      </c>
      <c r="E28" s="15" t="inlineStr">
        <is>
          <t>Audio</t>
        </is>
      </c>
      <c r="F28" s="15" t="n">
        <v>2</v>
      </c>
      <c r="G28" s="16" t="n">
        <v>85</v>
      </c>
      <c r="H28" s="16" t="n">
        <v>170</v>
      </c>
      <c r="I28" s="15" t="inlineStr">
        <is>
          <t>Cash</t>
        </is>
      </c>
      <c r="J28" s="15" t="inlineStr">
        <is>
          <t>Sara</t>
        </is>
      </c>
      <c r="K28" s="15" t="inlineStr">
        <is>
          <t>Walk-in</t>
        </is>
      </c>
      <c r="L28" s="16" t="n">
        <v>30</v>
      </c>
      <c r="M28" s="16" t="n">
        <v>140</v>
      </c>
      <c r="N28" s="15" t="inlineStr">
        <is>
          <t>Promo discount AED 30</t>
        </is>
      </c>
    </row>
    <row r="29" ht="22" customHeight="1">
      <c r="B29" s="11" t="n">
        <v>45722</v>
      </c>
      <c r="C29" s="12" t="inlineStr">
        <is>
          <t>INV-0125</t>
        </is>
      </c>
      <c r="D29" s="12" t="inlineStr">
        <is>
          <t>Mouse Pad XL</t>
        </is>
      </c>
      <c r="E29" s="12" t="inlineStr">
        <is>
          <t>Peripherals</t>
        </is>
      </c>
      <c r="F29" s="12" t="n">
        <v>2</v>
      </c>
      <c r="G29" s="13" t="n">
        <v>40</v>
      </c>
      <c r="H29" s="13" t="n">
        <v>80</v>
      </c>
      <c r="I29" s="12" t="inlineStr">
        <is>
          <t>Bank Transfer</t>
        </is>
      </c>
      <c r="J29" s="12" t="inlineStr">
        <is>
          <t>Maryam</t>
        </is>
      </c>
      <c r="K29" s="12" t="inlineStr">
        <is>
          <t>Youssef Al Mansoori</t>
        </is>
      </c>
      <c r="L29" s="13" t="n">
        <v>0</v>
      </c>
      <c r="M29" s="13" t="n">
        <v>80</v>
      </c>
      <c r="N29" s="12" t="inlineStr"/>
    </row>
    <row r="30" ht="22" customHeight="1">
      <c r="B30" s="14" t="n">
        <v>45722</v>
      </c>
      <c r="C30" s="15" t="inlineStr">
        <is>
          <t>INV-0126</t>
        </is>
      </c>
      <c r="D30" s="15" t="inlineStr">
        <is>
          <t>Surge Protector</t>
        </is>
      </c>
      <c r="E30" s="15" t="inlineStr">
        <is>
          <t>Accessories</t>
        </is>
      </c>
      <c r="F30" s="15" t="n">
        <v>3</v>
      </c>
      <c r="G30" s="16" t="n">
        <v>75</v>
      </c>
      <c r="H30" s="16" t="n">
        <v>225</v>
      </c>
      <c r="I30" s="15" t="inlineStr">
        <is>
          <t>Card</t>
        </is>
      </c>
      <c r="J30" s="15" t="inlineStr">
        <is>
          <t>Khalid</t>
        </is>
      </c>
      <c r="K30" s="15" t="inlineStr">
        <is>
          <t>Rashid Al Zaabi</t>
        </is>
      </c>
      <c r="L30" s="16" t="n">
        <v>15</v>
      </c>
      <c r="M30" s="16" t="n">
        <v>210</v>
      </c>
      <c r="N30" s="15" t="inlineStr">
        <is>
          <t>Promo discount AED 15</t>
        </is>
      </c>
    </row>
    <row r="31" ht="22" customHeight="1">
      <c r="B31" s="11" t="n">
        <v>45723</v>
      </c>
      <c r="C31" s="12" t="inlineStr">
        <is>
          <t>INV-0127</t>
        </is>
      </c>
      <c r="D31" s="12" t="inlineStr">
        <is>
          <t>Monitor Cable</t>
        </is>
      </c>
      <c r="E31" s="12" t="inlineStr">
        <is>
          <t>Cables</t>
        </is>
      </c>
      <c r="F31" s="12" t="n">
        <v>1</v>
      </c>
      <c r="G31" s="13" t="n">
        <v>40</v>
      </c>
      <c r="H31" s="13" t="n">
        <v>40</v>
      </c>
      <c r="I31" s="12" t="inlineStr">
        <is>
          <t>Card</t>
        </is>
      </c>
      <c r="J31" s="12" t="inlineStr">
        <is>
          <t>Fatima</t>
        </is>
      </c>
      <c r="K31" s="12" t="inlineStr">
        <is>
          <t>Walk-in</t>
        </is>
      </c>
      <c r="L31" s="13" t="n">
        <v>10</v>
      </c>
      <c r="M31" s="13" t="n">
        <v>30</v>
      </c>
      <c r="N31" s="12" t="inlineStr">
        <is>
          <t>Promo discount AED 10</t>
        </is>
      </c>
    </row>
    <row r="32" ht="22" customHeight="1">
      <c r="B32" s="14" t="n">
        <v>45723</v>
      </c>
      <c r="C32" s="15" t="inlineStr">
        <is>
          <t>INV-0128</t>
        </is>
      </c>
      <c r="D32" s="15" t="inlineStr">
        <is>
          <t>Power Bank</t>
        </is>
      </c>
      <c r="E32" s="15" t="inlineStr">
        <is>
          <t>Accessories</t>
        </is>
      </c>
      <c r="F32" s="15" t="n">
        <v>2</v>
      </c>
      <c r="G32" s="16" t="n">
        <v>120</v>
      </c>
      <c r="H32" s="16" t="n">
        <v>240</v>
      </c>
      <c r="I32" s="15" t="inlineStr">
        <is>
          <t>Cash</t>
        </is>
      </c>
      <c r="J32" s="15" t="inlineStr">
        <is>
          <t>Ahmed</t>
        </is>
      </c>
      <c r="K32" s="15" t="inlineStr">
        <is>
          <t>Ali Al Falasi</t>
        </is>
      </c>
      <c r="L32" s="16" t="n">
        <v>15</v>
      </c>
      <c r="M32" s="16" t="n">
        <v>225</v>
      </c>
      <c r="N32" s="15" t="inlineStr">
        <is>
          <t>Promo discount AED 15</t>
        </is>
      </c>
    </row>
    <row r="33" ht="22" customHeight="1">
      <c r="B33" s="11" t="n">
        <v>45723</v>
      </c>
      <c r="C33" s="12" t="inlineStr">
        <is>
          <t>INV-0129</t>
        </is>
      </c>
      <c r="D33" s="12" t="inlineStr">
        <is>
          <t>Memory Card 64GB</t>
        </is>
      </c>
      <c r="E33" s="12" t="inlineStr">
        <is>
          <t>Storage</t>
        </is>
      </c>
      <c r="F33" s="12" t="n">
        <v>4</v>
      </c>
      <c r="G33" s="13" t="n">
        <v>45</v>
      </c>
      <c r="H33" s="13" t="n">
        <v>180</v>
      </c>
      <c r="I33" s="12" t="inlineStr">
        <is>
          <t>Cash</t>
        </is>
      </c>
      <c r="J33" s="12" t="inlineStr">
        <is>
          <t>Fatima</t>
        </is>
      </c>
      <c r="K33" s="12" t="inlineStr">
        <is>
          <t>Walk-in</t>
        </is>
      </c>
      <c r="L33" s="13" t="n">
        <v>0</v>
      </c>
      <c r="M33" s="13" t="n">
        <v>180</v>
      </c>
      <c r="N33" s="12" t="inlineStr"/>
    </row>
    <row r="34" ht="22" customHeight="1">
      <c r="B34" s="14" t="n">
        <v>45724</v>
      </c>
      <c r="C34" s="15" t="inlineStr">
        <is>
          <t>INV-0130</t>
        </is>
      </c>
      <c r="D34" s="15" t="inlineStr">
        <is>
          <t>Ethernet Cable</t>
        </is>
      </c>
      <c r="E34" s="15" t="inlineStr">
        <is>
          <t>Cables</t>
        </is>
      </c>
      <c r="F34" s="15" t="n">
        <v>4</v>
      </c>
      <c r="G34" s="16" t="n">
        <v>22</v>
      </c>
      <c r="H34" s="16" t="n">
        <v>88</v>
      </c>
      <c r="I34" s="15" t="inlineStr">
        <is>
          <t>Cash</t>
        </is>
      </c>
      <c r="J34" s="15" t="inlineStr">
        <is>
          <t>Ahmed</t>
        </is>
      </c>
      <c r="K34" s="15" t="inlineStr">
        <is>
          <t>Salma Al Tamimi</t>
        </is>
      </c>
      <c r="L34" s="16" t="n">
        <v>0</v>
      </c>
      <c r="M34" s="16" t="n">
        <v>88</v>
      </c>
      <c r="N34" s="15" t="inlineStr"/>
    </row>
    <row r="35" ht="22" customHeight="1">
      <c r="B35" s="11" t="n">
        <v>45724</v>
      </c>
      <c r="C35" s="12" t="inlineStr">
        <is>
          <t>INV-0131</t>
        </is>
      </c>
      <c r="D35" s="12" t="inlineStr">
        <is>
          <t>Cleaning Kit</t>
        </is>
      </c>
      <c r="E35" s="12" t="inlineStr">
        <is>
          <t>Accessories</t>
        </is>
      </c>
      <c r="F35" s="12" t="n">
        <v>4</v>
      </c>
      <c r="G35" s="13" t="n">
        <v>25</v>
      </c>
      <c r="H35" s="13" t="n">
        <v>100</v>
      </c>
      <c r="I35" s="12" t="inlineStr">
        <is>
          <t>Online</t>
        </is>
      </c>
      <c r="J35" s="12" t="inlineStr">
        <is>
          <t>Ahmed</t>
        </is>
      </c>
      <c r="K35" s="12" t="inlineStr">
        <is>
          <t>Walk-in</t>
        </is>
      </c>
      <c r="L35" s="13" t="n">
        <v>0</v>
      </c>
      <c r="M35" s="13" t="n">
        <v>100</v>
      </c>
      <c r="N35" s="12" t="inlineStr"/>
    </row>
    <row r="36" ht="22" customHeight="1">
      <c r="B36" s="14" t="n">
        <v>45724</v>
      </c>
      <c r="C36" s="15" t="inlineStr">
        <is>
          <t>INV-0132</t>
        </is>
      </c>
      <c r="D36" s="15" t="inlineStr">
        <is>
          <t>Headphones</t>
        </is>
      </c>
      <c r="E36" s="15" t="inlineStr">
        <is>
          <t>Audio</t>
        </is>
      </c>
      <c r="F36" s="15" t="n">
        <v>1</v>
      </c>
      <c r="G36" s="16" t="n">
        <v>200</v>
      </c>
      <c r="H36" s="16" t="n">
        <v>200</v>
      </c>
      <c r="I36" s="15" t="inlineStr">
        <is>
          <t>Card</t>
        </is>
      </c>
      <c r="J36" s="15" t="inlineStr">
        <is>
          <t>Omar</t>
        </is>
      </c>
      <c r="K36" s="15" t="inlineStr">
        <is>
          <t>Fatma Al Suwaidi</t>
        </is>
      </c>
      <c r="L36" s="16" t="n">
        <v>15</v>
      </c>
      <c r="M36" s="16" t="n">
        <v>185</v>
      </c>
      <c r="N36" s="15" t="inlineStr">
        <is>
          <t>Promo discount AED 15</t>
        </is>
      </c>
    </row>
    <row r="37" ht="22" customHeight="1">
      <c r="B37" s="11" t="n">
        <v>45725</v>
      </c>
      <c r="C37" s="12" t="inlineStr">
        <is>
          <t>INV-0133</t>
        </is>
      </c>
      <c r="D37" s="12" t="inlineStr">
        <is>
          <t>Adapter Plug</t>
        </is>
      </c>
      <c r="E37" s="12" t="inlineStr">
        <is>
          <t>Accessories</t>
        </is>
      </c>
      <c r="F37" s="12" t="n">
        <v>2</v>
      </c>
      <c r="G37" s="13" t="n">
        <v>20</v>
      </c>
      <c r="H37" s="13" t="n">
        <v>40</v>
      </c>
      <c r="I37" s="12" t="inlineStr">
        <is>
          <t>Card</t>
        </is>
      </c>
      <c r="J37" s="12" t="inlineStr">
        <is>
          <t>Omar</t>
        </is>
      </c>
      <c r="K37" s="12" t="inlineStr">
        <is>
          <t>Rashid Al Zaabi</t>
        </is>
      </c>
      <c r="L37" s="13" t="n">
        <v>10</v>
      </c>
      <c r="M37" s="13" t="n">
        <v>30</v>
      </c>
      <c r="N37" s="12" t="inlineStr">
        <is>
          <t>Promo discount AED 10</t>
        </is>
      </c>
    </row>
    <row r="38" ht="22" customHeight="1">
      <c r="B38" s="14" t="n">
        <v>45725</v>
      </c>
      <c r="C38" s="15" t="inlineStr">
        <is>
          <t>INV-0134</t>
        </is>
      </c>
      <c r="D38" s="15" t="inlineStr">
        <is>
          <t>Adapter Plug</t>
        </is>
      </c>
      <c r="E38" s="15" t="inlineStr">
        <is>
          <t>Accessories</t>
        </is>
      </c>
      <c r="F38" s="15" t="n">
        <v>1</v>
      </c>
      <c r="G38" s="16" t="n">
        <v>20</v>
      </c>
      <c r="H38" s="16" t="n">
        <v>20</v>
      </c>
      <c r="I38" s="15" t="inlineStr">
        <is>
          <t>Cash</t>
        </is>
      </c>
      <c r="J38" s="15" t="inlineStr">
        <is>
          <t>Khalid</t>
        </is>
      </c>
      <c r="K38" s="15" t="inlineStr">
        <is>
          <t>Mohamed Al Rashid</t>
        </is>
      </c>
      <c r="L38" s="16" t="n">
        <v>0</v>
      </c>
      <c r="M38" s="16" t="n">
        <v>20</v>
      </c>
      <c r="N38" s="15" t="inlineStr"/>
    </row>
    <row r="39" ht="22" customHeight="1">
      <c r="B39" s="11" t="n">
        <v>45725</v>
      </c>
      <c r="C39" s="12" t="inlineStr">
        <is>
          <t>INV-0135</t>
        </is>
      </c>
      <c r="D39" s="12" t="inlineStr">
        <is>
          <t>Type-C Hub</t>
        </is>
      </c>
      <c r="E39" s="12" t="inlineStr">
        <is>
          <t>Accessories</t>
        </is>
      </c>
      <c r="F39" s="12" t="n">
        <v>2</v>
      </c>
      <c r="G39" s="13" t="n">
        <v>95</v>
      </c>
      <c r="H39" s="13" t="n">
        <v>190</v>
      </c>
      <c r="I39" s="12" t="inlineStr">
        <is>
          <t>Card</t>
        </is>
      </c>
      <c r="J39" s="12" t="inlineStr">
        <is>
          <t>Sara</t>
        </is>
      </c>
      <c r="K39" s="12" t="inlineStr">
        <is>
          <t>Youssef Al Mansoori</t>
        </is>
      </c>
      <c r="L39" s="13" t="n">
        <v>0</v>
      </c>
      <c r="M39" s="13" t="n">
        <v>190</v>
      </c>
      <c r="N39" s="12" t="inlineStr"/>
    </row>
    <row r="40" ht="22" customHeight="1">
      <c r="B40" s="14" t="n">
        <v>45725</v>
      </c>
      <c r="C40" s="15" t="inlineStr">
        <is>
          <t>INV-0136</t>
        </is>
      </c>
      <c r="D40" s="15" t="inlineStr">
        <is>
          <t>Power Bank</t>
        </is>
      </c>
      <c r="E40" s="15" t="inlineStr">
        <is>
          <t>Accessories</t>
        </is>
      </c>
      <c r="F40" s="15" t="n">
        <v>2</v>
      </c>
      <c r="G40" s="16" t="n">
        <v>120</v>
      </c>
      <c r="H40" s="16" t="n">
        <v>240</v>
      </c>
      <c r="I40" s="15" t="inlineStr">
        <is>
          <t>Card</t>
        </is>
      </c>
      <c r="J40" s="15" t="inlineStr">
        <is>
          <t>Sara</t>
        </is>
      </c>
      <c r="K40" s="15" t="inlineStr">
        <is>
          <t>Saeed Al Dhaheri</t>
        </is>
      </c>
      <c r="L40" s="16" t="n">
        <v>0</v>
      </c>
      <c r="M40" s="16" t="n">
        <v>240</v>
      </c>
      <c r="N40" s="15" t="inlineStr"/>
    </row>
    <row r="41" ht="22" customHeight="1">
      <c r="B41" s="11" t="n">
        <v>45725</v>
      </c>
      <c r="C41" s="12" t="inlineStr">
        <is>
          <t>INV-0137</t>
        </is>
      </c>
      <c r="D41" s="12" t="inlineStr">
        <is>
          <t>AV Cable</t>
        </is>
      </c>
      <c r="E41" s="12" t="inlineStr">
        <is>
          <t>Cables</t>
        </is>
      </c>
      <c r="F41" s="12" t="n">
        <v>3</v>
      </c>
      <c r="G41" s="13" t="n">
        <v>28</v>
      </c>
      <c r="H41" s="13" t="n">
        <v>84</v>
      </c>
      <c r="I41" s="12" t="inlineStr">
        <is>
          <t>Card</t>
        </is>
      </c>
      <c r="J41" s="12" t="inlineStr">
        <is>
          <t>Maryam</t>
        </is>
      </c>
      <c r="K41" s="12" t="inlineStr">
        <is>
          <t>Walk-in</t>
        </is>
      </c>
      <c r="L41" s="13" t="n">
        <v>0</v>
      </c>
      <c r="M41" s="13" t="n">
        <v>84</v>
      </c>
      <c r="N41" s="12" t="inlineStr"/>
    </row>
    <row r="42" ht="22" customHeight="1">
      <c r="B42" s="14" t="n">
        <v>45726</v>
      </c>
      <c r="C42" s="15" t="inlineStr">
        <is>
          <t>INV-0138</t>
        </is>
      </c>
      <c r="D42" s="15" t="inlineStr">
        <is>
          <t>Fitness Band</t>
        </is>
      </c>
      <c r="E42" s="15" t="inlineStr">
        <is>
          <t>Wearables</t>
        </is>
      </c>
      <c r="F42" s="15" t="n">
        <v>2</v>
      </c>
      <c r="G42" s="16" t="n">
        <v>180</v>
      </c>
      <c r="H42" s="16" t="n">
        <v>360</v>
      </c>
      <c r="I42" s="15" t="inlineStr">
        <is>
          <t>Card</t>
        </is>
      </c>
      <c r="J42" s="15" t="inlineStr">
        <is>
          <t>Ahmed</t>
        </is>
      </c>
      <c r="K42" s="15" t="inlineStr">
        <is>
          <t>Walk-in</t>
        </is>
      </c>
      <c r="L42" s="16" t="n">
        <v>0</v>
      </c>
      <c r="M42" s="16" t="n">
        <v>360</v>
      </c>
      <c r="N42" s="15" t="inlineStr"/>
    </row>
    <row r="43" ht="22" customHeight="1">
      <c r="B43" s="11" t="n">
        <v>45726</v>
      </c>
      <c r="C43" s="12" t="inlineStr">
        <is>
          <t>INV-0139</t>
        </is>
      </c>
      <c r="D43" s="12" t="inlineStr">
        <is>
          <t>Power Bank</t>
        </is>
      </c>
      <c r="E43" s="12" t="inlineStr">
        <is>
          <t>Accessories</t>
        </is>
      </c>
      <c r="F43" s="12" t="n">
        <v>3</v>
      </c>
      <c r="G43" s="13" t="n">
        <v>120</v>
      </c>
      <c r="H43" s="13" t="n">
        <v>360</v>
      </c>
      <c r="I43" s="12" t="inlineStr">
        <is>
          <t>Cash</t>
        </is>
      </c>
      <c r="J43" s="12" t="inlineStr">
        <is>
          <t>Khalid</t>
        </is>
      </c>
      <c r="K43" s="12" t="inlineStr">
        <is>
          <t>Amna Al Otaiba</t>
        </is>
      </c>
      <c r="L43" s="13" t="n">
        <v>0</v>
      </c>
      <c r="M43" s="13" t="n">
        <v>360</v>
      </c>
      <c r="N43" s="12" t="inlineStr"/>
    </row>
    <row r="44" ht="22" customHeight="1">
      <c r="B44" s="14" t="n">
        <v>45726</v>
      </c>
      <c r="C44" s="15" t="inlineStr">
        <is>
          <t>INV-0140</t>
        </is>
      </c>
      <c r="D44" s="15" t="inlineStr">
        <is>
          <t>Tripod Stand</t>
        </is>
      </c>
      <c r="E44" s="15" t="inlineStr">
        <is>
          <t>Accessories</t>
        </is>
      </c>
      <c r="F44" s="15" t="n">
        <v>2</v>
      </c>
      <c r="G44" s="16" t="n">
        <v>90</v>
      </c>
      <c r="H44" s="16" t="n">
        <v>180</v>
      </c>
      <c r="I44" s="15" t="inlineStr">
        <is>
          <t>Cash</t>
        </is>
      </c>
      <c r="J44" s="15" t="inlineStr">
        <is>
          <t>Khalid</t>
        </is>
      </c>
      <c r="K44" s="15" t="inlineStr">
        <is>
          <t>Hassan Al Nuaimi</t>
        </is>
      </c>
      <c r="L44" s="16" t="n">
        <v>0</v>
      </c>
      <c r="M44" s="16" t="n">
        <v>180</v>
      </c>
      <c r="N44" s="15" t="inlineStr"/>
    </row>
    <row r="45" ht="22" customHeight="1">
      <c r="B45" s="11" t="n">
        <v>45726</v>
      </c>
      <c r="C45" s="12" t="inlineStr">
        <is>
          <t>INV-0141</t>
        </is>
      </c>
      <c r="D45" s="12" t="inlineStr">
        <is>
          <t>Earbuds</t>
        </is>
      </c>
      <c r="E45" s="12" t="inlineStr">
        <is>
          <t>Audio</t>
        </is>
      </c>
      <c r="F45" s="12" t="n">
        <v>1</v>
      </c>
      <c r="G45" s="13" t="n">
        <v>85</v>
      </c>
      <c r="H45" s="13" t="n">
        <v>85</v>
      </c>
      <c r="I45" s="12" t="inlineStr">
        <is>
          <t>Card</t>
        </is>
      </c>
      <c r="J45" s="12" t="inlineStr">
        <is>
          <t>Fatima</t>
        </is>
      </c>
      <c r="K45" s="12" t="inlineStr">
        <is>
          <t>Khalid Al Ketbi</t>
        </is>
      </c>
      <c r="L45" s="13" t="n">
        <v>30</v>
      </c>
      <c r="M45" s="13" t="n">
        <v>55</v>
      </c>
      <c r="N45" s="12" t="inlineStr">
        <is>
          <t>Promo discount AED 30</t>
        </is>
      </c>
    </row>
    <row r="46" ht="22" customHeight="1">
      <c r="B46" s="14" t="n">
        <v>45727</v>
      </c>
      <c r="C46" s="15" t="inlineStr">
        <is>
          <t>INV-0142</t>
        </is>
      </c>
      <c r="D46" s="15" t="inlineStr">
        <is>
          <t>Screen Protector</t>
        </is>
      </c>
      <c r="E46" s="15" t="inlineStr">
        <is>
          <t>Accessories</t>
        </is>
      </c>
      <c r="F46" s="15" t="n">
        <v>1</v>
      </c>
      <c r="G46" s="16" t="n">
        <v>30</v>
      </c>
      <c r="H46" s="16" t="n">
        <v>30</v>
      </c>
      <c r="I46" s="15" t="inlineStr">
        <is>
          <t>Card</t>
        </is>
      </c>
      <c r="J46" s="15" t="inlineStr">
        <is>
          <t>Khalid</t>
        </is>
      </c>
      <c r="K46" s="15" t="inlineStr">
        <is>
          <t>Walk-in</t>
        </is>
      </c>
      <c r="L46" s="16" t="n">
        <v>0</v>
      </c>
      <c r="M46" s="16" t="n">
        <v>30</v>
      </c>
      <c r="N46" s="15" t="inlineStr"/>
    </row>
    <row r="47" ht="22" customHeight="1">
      <c r="B47" s="11" t="n">
        <v>45727</v>
      </c>
      <c r="C47" s="12" t="inlineStr">
        <is>
          <t>INV-0143</t>
        </is>
      </c>
      <c r="D47" s="12" t="inlineStr">
        <is>
          <t>Wireless Charger</t>
        </is>
      </c>
      <c r="E47" s="12" t="inlineStr">
        <is>
          <t>Accessories</t>
        </is>
      </c>
      <c r="F47" s="12" t="n">
        <v>2</v>
      </c>
      <c r="G47" s="13" t="n">
        <v>110</v>
      </c>
      <c r="H47" s="13" t="n">
        <v>220</v>
      </c>
      <c r="I47" s="12" t="inlineStr">
        <is>
          <t>Card</t>
        </is>
      </c>
      <c r="J47" s="12" t="inlineStr">
        <is>
          <t>Omar</t>
        </is>
      </c>
      <c r="K47" s="12" t="inlineStr">
        <is>
          <t>Noor Al Hashmi</t>
        </is>
      </c>
      <c r="L47" s="13" t="n">
        <v>15</v>
      </c>
      <c r="M47" s="13" t="n">
        <v>205</v>
      </c>
      <c r="N47" s="12" t="inlineStr">
        <is>
          <t>Promo discount AED 15</t>
        </is>
      </c>
    </row>
    <row r="48" ht="22" customHeight="1">
      <c r="B48" s="14" t="n">
        <v>45727</v>
      </c>
      <c r="C48" s="15" t="inlineStr">
        <is>
          <t>INV-0144</t>
        </is>
      </c>
      <c r="D48" s="15" t="inlineStr">
        <is>
          <t>Portable SSD</t>
        </is>
      </c>
      <c r="E48" s="15" t="inlineStr">
        <is>
          <t>Storage</t>
        </is>
      </c>
      <c r="F48" s="15" t="n">
        <v>4</v>
      </c>
      <c r="G48" s="16" t="n">
        <v>250</v>
      </c>
      <c r="H48" s="16" t="n">
        <v>1000</v>
      </c>
      <c r="I48" s="15" t="inlineStr">
        <is>
          <t>Card</t>
        </is>
      </c>
      <c r="J48" s="15" t="inlineStr">
        <is>
          <t>Ahmed</t>
        </is>
      </c>
      <c r="K48" s="15" t="inlineStr">
        <is>
          <t>Mohamed Al Rashid</t>
        </is>
      </c>
      <c r="L48" s="16" t="n">
        <v>0</v>
      </c>
      <c r="M48" s="16" t="n">
        <v>1000</v>
      </c>
      <c r="N48" s="15" t="inlineStr"/>
    </row>
    <row r="49" ht="22" customHeight="1">
      <c r="B49" s="11" t="n">
        <v>45728</v>
      </c>
      <c r="C49" s="12" t="inlineStr">
        <is>
          <t>INV-0145</t>
        </is>
      </c>
      <c r="D49" s="12" t="inlineStr">
        <is>
          <t>Headphones</t>
        </is>
      </c>
      <c r="E49" s="12" t="inlineStr">
        <is>
          <t>Audio</t>
        </is>
      </c>
      <c r="F49" s="12" t="n">
        <v>1</v>
      </c>
      <c r="G49" s="13" t="n">
        <v>200</v>
      </c>
      <c r="H49" s="13" t="n">
        <v>200</v>
      </c>
      <c r="I49" s="12" t="inlineStr">
        <is>
          <t>Card</t>
        </is>
      </c>
      <c r="J49" s="12" t="inlineStr">
        <is>
          <t>Khalid</t>
        </is>
      </c>
      <c r="K49" s="12" t="inlineStr">
        <is>
          <t>Saeed Al Dhaheri</t>
        </is>
      </c>
      <c r="L49" s="13" t="n">
        <v>20</v>
      </c>
      <c r="M49" s="13" t="n">
        <v>180</v>
      </c>
      <c r="N49" s="12" t="inlineStr">
        <is>
          <t>Promo discount AED 20</t>
        </is>
      </c>
    </row>
    <row r="50" ht="22" customHeight="1">
      <c r="B50" s="14" t="n">
        <v>45728</v>
      </c>
      <c r="C50" s="15" t="inlineStr">
        <is>
          <t>INV-0146</t>
        </is>
      </c>
      <c r="D50" s="15" t="inlineStr">
        <is>
          <t>Earbuds</t>
        </is>
      </c>
      <c r="E50" s="15" t="inlineStr">
        <is>
          <t>Audio</t>
        </is>
      </c>
      <c r="F50" s="15" t="n">
        <v>2</v>
      </c>
      <c r="G50" s="16" t="n">
        <v>85</v>
      </c>
      <c r="H50" s="16" t="n">
        <v>170</v>
      </c>
      <c r="I50" s="15" t="inlineStr">
        <is>
          <t>Card</t>
        </is>
      </c>
      <c r="J50" s="15" t="inlineStr">
        <is>
          <t>Fatima</t>
        </is>
      </c>
      <c r="K50" s="15" t="inlineStr">
        <is>
          <t>Rashid Al Zaabi</t>
        </is>
      </c>
      <c r="L50" s="16" t="n">
        <v>0</v>
      </c>
      <c r="M50" s="16" t="n">
        <v>170</v>
      </c>
      <c r="N50" s="15" t="inlineStr"/>
    </row>
    <row r="51" ht="22" customHeight="1">
      <c r="B51" s="11" t="n">
        <v>45728</v>
      </c>
      <c r="C51" s="12" t="inlineStr">
        <is>
          <t>INV-0147</t>
        </is>
      </c>
      <c r="D51" s="12" t="inlineStr">
        <is>
          <t>Portable SSD</t>
        </is>
      </c>
      <c r="E51" s="12" t="inlineStr">
        <is>
          <t>Storage</t>
        </is>
      </c>
      <c r="F51" s="12" t="n">
        <v>1</v>
      </c>
      <c r="G51" s="13" t="n">
        <v>250</v>
      </c>
      <c r="H51" s="13" t="n">
        <v>250</v>
      </c>
      <c r="I51" s="12" t="inlineStr">
        <is>
          <t>Card</t>
        </is>
      </c>
      <c r="J51" s="12" t="inlineStr">
        <is>
          <t>Khalid</t>
        </is>
      </c>
      <c r="K51" s="12" t="inlineStr">
        <is>
          <t>Mariam Al Shamsi</t>
        </is>
      </c>
      <c r="L51" s="13" t="n">
        <v>0</v>
      </c>
      <c r="M51" s="13" t="n">
        <v>250</v>
      </c>
      <c r="N51" s="12" t="inlineStr"/>
    </row>
    <row r="52" ht="22" customHeight="1">
      <c r="B52" s="14" t="n">
        <v>45728</v>
      </c>
      <c r="C52" s="15" t="inlineStr">
        <is>
          <t>INV-0148</t>
        </is>
      </c>
      <c r="D52" s="15" t="inlineStr">
        <is>
          <t>Headphones</t>
        </is>
      </c>
      <c r="E52" s="15" t="inlineStr">
        <is>
          <t>Audio</t>
        </is>
      </c>
      <c r="F52" s="15" t="n">
        <v>2</v>
      </c>
      <c r="G52" s="16" t="n">
        <v>200</v>
      </c>
      <c r="H52" s="16" t="n">
        <v>400</v>
      </c>
      <c r="I52" s="15" t="inlineStr">
        <is>
          <t>Card</t>
        </is>
      </c>
      <c r="J52" s="15" t="inlineStr">
        <is>
          <t>Ahmed</t>
        </is>
      </c>
      <c r="K52" s="15" t="inlineStr">
        <is>
          <t>Walk-in</t>
        </is>
      </c>
      <c r="L52" s="16" t="n">
        <v>20</v>
      </c>
      <c r="M52" s="16" t="n">
        <v>380</v>
      </c>
      <c r="N52" s="15" t="inlineStr">
        <is>
          <t>Promo discount AED 20</t>
        </is>
      </c>
    </row>
    <row r="53" ht="22" customHeight="1">
      <c r="B53" s="11" t="n">
        <v>45728</v>
      </c>
      <c r="C53" s="12" t="inlineStr">
        <is>
          <t>INV-0149</t>
        </is>
      </c>
      <c r="D53" s="12" t="inlineStr">
        <is>
          <t>Charger</t>
        </is>
      </c>
      <c r="E53" s="12" t="inlineStr">
        <is>
          <t>Accessories</t>
        </is>
      </c>
      <c r="F53" s="12" t="n">
        <v>3</v>
      </c>
      <c r="G53" s="13" t="n">
        <v>55</v>
      </c>
      <c r="H53" s="13" t="n">
        <v>165</v>
      </c>
      <c r="I53" s="12" t="inlineStr">
        <is>
          <t>Cash</t>
        </is>
      </c>
      <c r="J53" s="12" t="inlineStr">
        <is>
          <t>Maryam</t>
        </is>
      </c>
      <c r="K53" s="12" t="inlineStr">
        <is>
          <t>Saeed Al Dhaheri</t>
        </is>
      </c>
      <c r="L53" s="13" t="n">
        <v>0</v>
      </c>
      <c r="M53" s="13" t="n">
        <v>165</v>
      </c>
      <c r="N53" s="12" t="inlineStr"/>
    </row>
    <row r="54" ht="22" customHeight="1">
      <c r="B54" s="14" t="n">
        <v>45729</v>
      </c>
      <c r="C54" s="15" t="inlineStr">
        <is>
          <t>INV-0150</t>
        </is>
      </c>
      <c r="D54" s="15" t="inlineStr">
        <is>
          <t>Power Bank</t>
        </is>
      </c>
      <c r="E54" s="15" t="inlineStr">
        <is>
          <t>Accessories</t>
        </is>
      </c>
      <c r="F54" s="15" t="n">
        <v>1</v>
      </c>
      <c r="G54" s="16" t="n">
        <v>120</v>
      </c>
      <c r="H54" s="16" t="n">
        <v>120</v>
      </c>
      <c r="I54" s="15" t="inlineStr">
        <is>
          <t>Card</t>
        </is>
      </c>
      <c r="J54" s="15" t="inlineStr">
        <is>
          <t>Omar</t>
        </is>
      </c>
      <c r="K54" s="15" t="inlineStr">
        <is>
          <t>Aisha Al Maktoum</t>
        </is>
      </c>
      <c r="L54" s="16" t="n">
        <v>50</v>
      </c>
      <c r="M54" s="16" t="n">
        <v>70</v>
      </c>
      <c r="N54" s="15" t="inlineStr">
        <is>
          <t>Promo discount AED 50</t>
        </is>
      </c>
    </row>
    <row r="55" ht="22" customHeight="1">
      <c r="B55" s="11" t="n">
        <v>45729</v>
      </c>
      <c r="C55" s="12" t="inlineStr">
        <is>
          <t>INV-0151</t>
        </is>
      </c>
      <c r="D55" s="12" t="inlineStr">
        <is>
          <t>Smart Watch</t>
        </is>
      </c>
      <c r="E55" s="12" t="inlineStr">
        <is>
          <t>Wearables</t>
        </is>
      </c>
      <c r="F55" s="12" t="n">
        <v>3</v>
      </c>
      <c r="G55" s="13" t="n">
        <v>450</v>
      </c>
      <c r="H55" s="13" t="n">
        <v>1350</v>
      </c>
      <c r="I55" s="12" t="inlineStr">
        <is>
          <t>Cash</t>
        </is>
      </c>
      <c r="J55" s="12" t="inlineStr">
        <is>
          <t>Sara</t>
        </is>
      </c>
      <c r="K55" s="12" t="inlineStr">
        <is>
          <t>Walk-in</t>
        </is>
      </c>
      <c r="L55" s="13" t="n">
        <v>0</v>
      </c>
      <c r="M55" s="13" t="n">
        <v>1350</v>
      </c>
      <c r="N55" s="12" t="inlineStr"/>
    </row>
    <row r="56" ht="22" customHeight="1">
      <c r="B56" s="14" t="n">
        <v>45729</v>
      </c>
      <c r="C56" s="15" t="inlineStr">
        <is>
          <t>INV-0152</t>
        </is>
      </c>
      <c r="D56" s="15" t="inlineStr">
        <is>
          <t>Phone Case</t>
        </is>
      </c>
      <c r="E56" s="15" t="inlineStr">
        <is>
          <t>Accessories</t>
        </is>
      </c>
      <c r="F56" s="15" t="n">
        <v>1</v>
      </c>
      <c r="G56" s="16" t="n">
        <v>45</v>
      </c>
      <c r="H56" s="16" t="n">
        <v>45</v>
      </c>
      <c r="I56" s="15" t="inlineStr">
        <is>
          <t>Cash</t>
        </is>
      </c>
      <c r="J56" s="15" t="inlineStr">
        <is>
          <t>Maryam</t>
        </is>
      </c>
      <c r="K56" s="15" t="inlineStr">
        <is>
          <t>Omar Khalaf</t>
        </is>
      </c>
      <c r="L56" s="16" t="n">
        <v>0</v>
      </c>
      <c r="M56" s="16" t="n">
        <v>45</v>
      </c>
      <c r="N56" s="15" t="inlineStr"/>
    </row>
    <row r="57" ht="22" customHeight="1">
      <c r="B57" s="11" t="n">
        <v>45729</v>
      </c>
      <c r="C57" s="12" t="inlineStr">
        <is>
          <t>INV-0153</t>
        </is>
      </c>
      <c r="D57" s="12" t="inlineStr">
        <is>
          <t>Stylus Pen</t>
        </is>
      </c>
      <c r="E57" s="12" t="inlineStr">
        <is>
          <t>Accessories</t>
        </is>
      </c>
      <c r="F57" s="12" t="n">
        <v>2</v>
      </c>
      <c r="G57" s="13" t="n">
        <v>65</v>
      </c>
      <c r="H57" s="13" t="n">
        <v>130</v>
      </c>
      <c r="I57" s="12" t="inlineStr">
        <is>
          <t>Card</t>
        </is>
      </c>
      <c r="J57" s="12" t="inlineStr">
        <is>
          <t>Ahmed</t>
        </is>
      </c>
      <c r="K57" s="12" t="inlineStr">
        <is>
          <t>Mariam Al Shamsi</t>
        </is>
      </c>
      <c r="L57" s="13" t="n">
        <v>0</v>
      </c>
      <c r="M57" s="13" t="n">
        <v>130</v>
      </c>
      <c r="N57" s="12" t="inlineStr"/>
    </row>
    <row r="58" ht="22" customHeight="1">
      <c r="B58" s="14" t="n">
        <v>45730</v>
      </c>
      <c r="C58" s="15" t="inlineStr">
        <is>
          <t>INV-0154</t>
        </is>
      </c>
      <c r="D58" s="15" t="inlineStr">
        <is>
          <t>Phone Holder</t>
        </is>
      </c>
      <c r="E58" s="15" t="inlineStr">
        <is>
          <t>Accessories</t>
        </is>
      </c>
      <c r="F58" s="15" t="n">
        <v>2</v>
      </c>
      <c r="G58" s="16" t="n">
        <v>35</v>
      </c>
      <c r="H58" s="16" t="n">
        <v>70</v>
      </c>
      <c r="I58" s="15" t="inlineStr">
        <is>
          <t>Card</t>
        </is>
      </c>
      <c r="J58" s="15" t="inlineStr">
        <is>
          <t>Maryam</t>
        </is>
      </c>
      <c r="K58" s="15" t="inlineStr">
        <is>
          <t>Fatma Al Suwaidi</t>
        </is>
      </c>
      <c r="L58" s="16" t="n">
        <v>0</v>
      </c>
      <c r="M58" s="16" t="n">
        <v>70</v>
      </c>
      <c r="N58" s="15" t="inlineStr"/>
    </row>
    <row r="59" ht="22" customHeight="1">
      <c r="B59" s="11" t="n">
        <v>45730</v>
      </c>
      <c r="C59" s="12" t="inlineStr">
        <is>
          <t>INV-0155</t>
        </is>
      </c>
      <c r="D59" s="12" t="inlineStr">
        <is>
          <t>Cleaning Kit</t>
        </is>
      </c>
      <c r="E59" s="12" t="inlineStr">
        <is>
          <t>Accessories</t>
        </is>
      </c>
      <c r="F59" s="12" t="n">
        <v>2</v>
      </c>
      <c r="G59" s="13" t="n">
        <v>25</v>
      </c>
      <c r="H59" s="13" t="n">
        <v>50</v>
      </c>
      <c r="I59" s="12" t="inlineStr">
        <is>
          <t>Bank Transfer</t>
        </is>
      </c>
      <c r="J59" s="12" t="inlineStr">
        <is>
          <t>Fatima</t>
        </is>
      </c>
      <c r="K59" s="12" t="inlineStr">
        <is>
          <t>Layla Al Qasimi</t>
        </is>
      </c>
      <c r="L59" s="13" t="n">
        <v>0</v>
      </c>
      <c r="M59" s="13" t="n">
        <v>50</v>
      </c>
      <c r="N59" s="12" t="inlineStr"/>
    </row>
    <row r="60" ht="22" customHeight="1">
      <c r="B60" s="14" t="n">
        <v>45730</v>
      </c>
      <c r="C60" s="15" t="inlineStr">
        <is>
          <t>INV-0156</t>
        </is>
      </c>
      <c r="D60" s="15" t="inlineStr">
        <is>
          <t>Keyboard</t>
        </is>
      </c>
      <c r="E60" s="15" t="inlineStr">
        <is>
          <t>Peripherals</t>
        </is>
      </c>
      <c r="F60" s="15" t="n">
        <v>4</v>
      </c>
      <c r="G60" s="16" t="n">
        <v>200</v>
      </c>
      <c r="H60" s="16" t="n">
        <v>800</v>
      </c>
      <c r="I60" s="15" t="inlineStr">
        <is>
          <t>Cash</t>
        </is>
      </c>
      <c r="J60" s="15" t="inlineStr">
        <is>
          <t>Maryam</t>
        </is>
      </c>
      <c r="K60" s="15" t="inlineStr">
        <is>
          <t>Ali Al Falasi</t>
        </is>
      </c>
      <c r="L60" s="16" t="n">
        <v>0</v>
      </c>
      <c r="M60" s="16" t="n">
        <v>800</v>
      </c>
      <c r="N60" s="15" t="inlineStr"/>
    </row>
    <row r="61" ht="22" customHeight="1">
      <c r="B61" s="11" t="n">
        <v>45731</v>
      </c>
      <c r="C61" s="12" t="inlineStr">
        <is>
          <t>INV-0157</t>
        </is>
      </c>
      <c r="D61" s="12" t="inlineStr">
        <is>
          <t>Type-C Hub</t>
        </is>
      </c>
      <c r="E61" s="12" t="inlineStr">
        <is>
          <t>Accessories</t>
        </is>
      </c>
      <c r="F61" s="12" t="n">
        <v>3</v>
      </c>
      <c r="G61" s="13" t="n">
        <v>95</v>
      </c>
      <c r="H61" s="13" t="n">
        <v>285</v>
      </c>
      <c r="I61" s="12" t="inlineStr">
        <is>
          <t>Cash</t>
        </is>
      </c>
      <c r="J61" s="12" t="inlineStr">
        <is>
          <t>Maryam</t>
        </is>
      </c>
      <c r="K61" s="12" t="inlineStr">
        <is>
          <t>Fatma Al Suwaidi</t>
        </is>
      </c>
      <c r="L61" s="13" t="n">
        <v>0</v>
      </c>
      <c r="M61" s="13" t="n">
        <v>285</v>
      </c>
      <c r="N61" s="12" t="inlineStr"/>
    </row>
    <row r="62" ht="22" customHeight="1">
      <c r="B62" s="14" t="n">
        <v>45731</v>
      </c>
      <c r="C62" s="15" t="inlineStr">
        <is>
          <t>INV-0158</t>
        </is>
      </c>
      <c r="D62" s="15" t="inlineStr">
        <is>
          <t>Screen Protector</t>
        </is>
      </c>
      <c r="E62" s="15" t="inlineStr">
        <is>
          <t>Accessories</t>
        </is>
      </c>
      <c r="F62" s="15" t="n">
        <v>4</v>
      </c>
      <c r="G62" s="16" t="n">
        <v>30</v>
      </c>
      <c r="H62" s="16" t="n">
        <v>120</v>
      </c>
      <c r="I62" s="15" t="inlineStr">
        <is>
          <t>Cash</t>
        </is>
      </c>
      <c r="J62" s="15" t="inlineStr">
        <is>
          <t>Sara</t>
        </is>
      </c>
      <c r="K62" s="15" t="inlineStr">
        <is>
          <t>Huda Al Ameri</t>
        </is>
      </c>
      <c r="L62" s="16" t="n">
        <v>0</v>
      </c>
      <c r="M62" s="16" t="n">
        <v>120</v>
      </c>
      <c r="N62" s="15" t="inlineStr"/>
    </row>
    <row r="63" ht="22" customHeight="1">
      <c r="B63" s="11" t="n">
        <v>45731</v>
      </c>
      <c r="C63" s="12" t="inlineStr">
        <is>
          <t>INV-0159</t>
        </is>
      </c>
      <c r="D63" s="12" t="inlineStr">
        <is>
          <t>HDMI Cable</t>
        </is>
      </c>
      <c r="E63" s="12" t="inlineStr">
        <is>
          <t>Cables</t>
        </is>
      </c>
      <c r="F63" s="12" t="n">
        <v>2</v>
      </c>
      <c r="G63" s="13" t="n">
        <v>35</v>
      </c>
      <c r="H63" s="13" t="n">
        <v>70</v>
      </c>
      <c r="I63" s="12" t="inlineStr">
        <is>
          <t>Cash</t>
        </is>
      </c>
      <c r="J63" s="12" t="inlineStr">
        <is>
          <t>Fatima</t>
        </is>
      </c>
      <c r="K63" s="12" t="inlineStr">
        <is>
          <t>Khalid Al Ketbi</t>
        </is>
      </c>
      <c r="L63" s="13" t="n">
        <v>0</v>
      </c>
      <c r="M63" s="13" t="n">
        <v>70</v>
      </c>
      <c r="N63" s="12" t="inlineStr"/>
    </row>
    <row r="64" ht="22" customHeight="1">
      <c r="B64" s="14" t="n">
        <v>45731</v>
      </c>
      <c r="C64" s="15" t="inlineStr">
        <is>
          <t>INV-0160</t>
        </is>
      </c>
      <c r="D64" s="15" t="inlineStr">
        <is>
          <t>Earbuds</t>
        </is>
      </c>
      <c r="E64" s="15" t="inlineStr">
        <is>
          <t>Audio</t>
        </is>
      </c>
      <c r="F64" s="15" t="n">
        <v>3</v>
      </c>
      <c r="G64" s="16" t="n">
        <v>85</v>
      </c>
      <c r="H64" s="16" t="n">
        <v>255</v>
      </c>
      <c r="I64" s="15" t="inlineStr">
        <is>
          <t>Card</t>
        </is>
      </c>
      <c r="J64" s="15" t="inlineStr">
        <is>
          <t>Khalid</t>
        </is>
      </c>
      <c r="K64" s="15" t="inlineStr">
        <is>
          <t>Khalid Al Ketbi</t>
        </is>
      </c>
      <c r="L64" s="16" t="n">
        <v>0</v>
      </c>
      <c r="M64" s="16" t="n">
        <v>255</v>
      </c>
      <c r="N64" s="15" t="inlineStr"/>
    </row>
    <row r="65" ht="22" customHeight="1">
      <c r="B65" s="11" t="n">
        <v>45732</v>
      </c>
      <c r="C65" s="12" t="inlineStr">
        <is>
          <t>INV-0161</t>
        </is>
      </c>
      <c r="D65" s="12" t="inlineStr">
        <is>
          <t>Monitor Cable</t>
        </is>
      </c>
      <c r="E65" s="12" t="inlineStr">
        <is>
          <t>Cables</t>
        </is>
      </c>
      <c r="F65" s="12" t="n">
        <v>1</v>
      </c>
      <c r="G65" s="13" t="n">
        <v>40</v>
      </c>
      <c r="H65" s="13" t="n">
        <v>40</v>
      </c>
      <c r="I65" s="12" t="inlineStr">
        <is>
          <t>Cash</t>
        </is>
      </c>
      <c r="J65" s="12" t="inlineStr">
        <is>
          <t>Omar</t>
        </is>
      </c>
      <c r="K65" s="12" t="inlineStr">
        <is>
          <t>Layla Al Qasimi</t>
        </is>
      </c>
      <c r="L65" s="13" t="n">
        <v>0</v>
      </c>
      <c r="M65" s="13" t="n">
        <v>40</v>
      </c>
      <c r="N65" s="12" t="inlineStr"/>
    </row>
    <row r="66" ht="22" customHeight="1">
      <c r="B66" s="14" t="n">
        <v>45732</v>
      </c>
      <c r="C66" s="15" t="inlineStr">
        <is>
          <t>INV-0162</t>
        </is>
      </c>
      <c r="D66" s="15" t="inlineStr">
        <is>
          <t>Wireless Charger</t>
        </is>
      </c>
      <c r="E66" s="15" t="inlineStr">
        <is>
          <t>Accessories</t>
        </is>
      </c>
      <c r="F66" s="15" t="n">
        <v>1</v>
      </c>
      <c r="G66" s="16" t="n">
        <v>110</v>
      </c>
      <c r="H66" s="16" t="n">
        <v>110</v>
      </c>
      <c r="I66" s="15" t="inlineStr">
        <is>
          <t>Cash</t>
        </is>
      </c>
      <c r="J66" s="15" t="inlineStr">
        <is>
          <t>Sara</t>
        </is>
      </c>
      <c r="K66" s="15" t="inlineStr">
        <is>
          <t>Huda Al Ameri</t>
        </is>
      </c>
      <c r="L66" s="16" t="n">
        <v>0</v>
      </c>
      <c r="M66" s="16" t="n">
        <v>110</v>
      </c>
      <c r="N66" s="15" t="inlineStr"/>
    </row>
    <row r="67" ht="22" customHeight="1">
      <c r="B67" s="11" t="n">
        <v>45732</v>
      </c>
      <c r="C67" s="12" t="inlineStr">
        <is>
          <t>INV-0163</t>
        </is>
      </c>
      <c r="D67" s="12" t="inlineStr">
        <is>
          <t>Webcam</t>
        </is>
      </c>
      <c r="E67" s="12" t="inlineStr">
        <is>
          <t>Peripherals</t>
        </is>
      </c>
      <c r="F67" s="12" t="n">
        <v>4</v>
      </c>
      <c r="G67" s="13" t="n">
        <v>180</v>
      </c>
      <c r="H67" s="13" t="n">
        <v>720</v>
      </c>
      <c r="I67" s="12" t="inlineStr">
        <is>
          <t>Card</t>
        </is>
      </c>
      <c r="J67" s="12" t="inlineStr">
        <is>
          <t>Khalid</t>
        </is>
      </c>
      <c r="K67" s="12" t="inlineStr">
        <is>
          <t>Fatma Al Suwaidi</t>
        </is>
      </c>
      <c r="L67" s="13" t="n">
        <v>0</v>
      </c>
      <c r="M67" s="13" t="n">
        <v>720</v>
      </c>
      <c r="N67" s="12" t="inlineStr"/>
    </row>
    <row r="68" ht="22" customHeight="1">
      <c r="B68" s="14" t="n">
        <v>45732</v>
      </c>
      <c r="C68" s="15" t="inlineStr">
        <is>
          <t>INV-0164</t>
        </is>
      </c>
      <c r="D68" s="15" t="inlineStr">
        <is>
          <t>Mouse</t>
        </is>
      </c>
      <c r="E68" s="15" t="inlineStr">
        <is>
          <t>Peripherals</t>
        </is>
      </c>
      <c r="F68" s="15" t="n">
        <v>3</v>
      </c>
      <c r="G68" s="16" t="n">
        <v>80</v>
      </c>
      <c r="H68" s="16" t="n">
        <v>240</v>
      </c>
      <c r="I68" s="15" t="inlineStr">
        <is>
          <t>Cash</t>
        </is>
      </c>
      <c r="J68" s="15" t="inlineStr">
        <is>
          <t>Sara</t>
        </is>
      </c>
      <c r="K68" s="15" t="inlineStr">
        <is>
          <t>Mohamed Al Rashid</t>
        </is>
      </c>
      <c r="L68" s="16" t="n">
        <v>0</v>
      </c>
      <c r="M68" s="16" t="n">
        <v>240</v>
      </c>
      <c r="N68" s="15" t="inlineStr"/>
    </row>
    <row r="69" ht="22" customHeight="1">
      <c r="B69" s="11" t="n">
        <v>45732</v>
      </c>
      <c r="C69" s="12" t="inlineStr">
        <is>
          <t>INV-0165</t>
        </is>
      </c>
      <c r="D69" s="12" t="inlineStr">
        <is>
          <t>Mouse</t>
        </is>
      </c>
      <c r="E69" s="12" t="inlineStr">
        <is>
          <t>Peripherals</t>
        </is>
      </c>
      <c r="F69" s="12" t="n">
        <v>3</v>
      </c>
      <c r="G69" s="13" t="n">
        <v>80</v>
      </c>
      <c r="H69" s="13" t="n">
        <v>240</v>
      </c>
      <c r="I69" s="12" t="inlineStr">
        <is>
          <t>Card</t>
        </is>
      </c>
      <c r="J69" s="12" t="inlineStr">
        <is>
          <t>Maryam</t>
        </is>
      </c>
      <c r="K69" s="12" t="inlineStr">
        <is>
          <t>Ali Al Falasi</t>
        </is>
      </c>
      <c r="L69" s="13" t="n">
        <v>0</v>
      </c>
      <c r="M69" s="13" t="n">
        <v>240</v>
      </c>
      <c r="N69" s="12" t="inlineStr"/>
    </row>
    <row r="70" ht="22" customHeight="1">
      <c r="B70" s="14" t="n">
        <v>45733</v>
      </c>
      <c r="C70" s="15" t="inlineStr">
        <is>
          <t>INV-0166</t>
        </is>
      </c>
      <c r="D70" s="15" t="inlineStr">
        <is>
          <t>Tablet</t>
        </is>
      </c>
      <c r="E70" s="15" t="inlineStr">
        <is>
          <t>Devices</t>
        </is>
      </c>
      <c r="F70" s="15" t="n">
        <v>3</v>
      </c>
      <c r="G70" s="16" t="n">
        <v>899</v>
      </c>
      <c r="H70" s="16" t="n">
        <v>2697</v>
      </c>
      <c r="I70" s="15" t="inlineStr">
        <is>
          <t>Card</t>
        </is>
      </c>
      <c r="J70" s="15" t="inlineStr">
        <is>
          <t>Maryam</t>
        </is>
      </c>
      <c r="K70" s="15" t="inlineStr">
        <is>
          <t>Salma Al Tamimi</t>
        </is>
      </c>
      <c r="L70" s="16" t="n">
        <v>0</v>
      </c>
      <c r="M70" s="16" t="n">
        <v>2697</v>
      </c>
      <c r="N70" s="15" t="inlineStr"/>
    </row>
    <row r="71" ht="22" customHeight="1">
      <c r="B71" s="11" t="n">
        <v>45733</v>
      </c>
      <c r="C71" s="12" t="inlineStr">
        <is>
          <t>INV-0167</t>
        </is>
      </c>
      <c r="D71" s="12" t="inlineStr">
        <is>
          <t>USB Flash Drive</t>
        </is>
      </c>
      <c r="E71" s="12" t="inlineStr">
        <is>
          <t>Storage</t>
        </is>
      </c>
      <c r="F71" s="12" t="n">
        <v>2</v>
      </c>
      <c r="G71" s="13" t="n">
        <v>30</v>
      </c>
      <c r="H71" s="13" t="n">
        <v>60</v>
      </c>
      <c r="I71" s="12" t="inlineStr">
        <is>
          <t>Cash</t>
        </is>
      </c>
      <c r="J71" s="12" t="inlineStr">
        <is>
          <t>Maryam</t>
        </is>
      </c>
      <c r="K71" s="12" t="inlineStr">
        <is>
          <t>Khalid Al Ketbi</t>
        </is>
      </c>
      <c r="L71" s="13" t="n">
        <v>0</v>
      </c>
      <c r="M71" s="13" t="n">
        <v>60</v>
      </c>
      <c r="N71" s="12" t="inlineStr"/>
    </row>
    <row r="72" ht="22" customHeight="1">
      <c r="B72" s="14" t="n">
        <v>45733</v>
      </c>
      <c r="C72" s="15" t="inlineStr">
        <is>
          <t>INV-0168</t>
        </is>
      </c>
      <c r="D72" s="15" t="inlineStr">
        <is>
          <t>Keyboard</t>
        </is>
      </c>
      <c r="E72" s="15" t="inlineStr">
        <is>
          <t>Peripherals</t>
        </is>
      </c>
      <c r="F72" s="15" t="n">
        <v>3</v>
      </c>
      <c r="G72" s="16" t="n">
        <v>200</v>
      </c>
      <c r="H72" s="16" t="n">
        <v>600</v>
      </c>
      <c r="I72" s="15" t="inlineStr">
        <is>
          <t>Card</t>
        </is>
      </c>
      <c r="J72" s="15" t="inlineStr">
        <is>
          <t>Ahmed</t>
        </is>
      </c>
      <c r="K72" s="15" t="inlineStr">
        <is>
          <t>Mariam Al Shamsi</t>
        </is>
      </c>
      <c r="L72" s="16" t="n">
        <v>25</v>
      </c>
      <c r="M72" s="16" t="n">
        <v>575</v>
      </c>
      <c r="N72" s="15" t="inlineStr">
        <is>
          <t>Promo discount AED 25</t>
        </is>
      </c>
    </row>
    <row r="73" ht="22" customHeight="1">
      <c r="B73" s="11" t="n">
        <v>45733</v>
      </c>
      <c r="C73" s="12" t="inlineStr">
        <is>
          <t>INV-0169</t>
        </is>
      </c>
      <c r="D73" s="12" t="inlineStr">
        <is>
          <t>Webcam</t>
        </is>
      </c>
      <c r="E73" s="12" t="inlineStr">
        <is>
          <t>Peripherals</t>
        </is>
      </c>
      <c r="F73" s="12" t="n">
        <v>4</v>
      </c>
      <c r="G73" s="13" t="n">
        <v>180</v>
      </c>
      <c r="H73" s="13" t="n">
        <v>720</v>
      </c>
      <c r="I73" s="12" t="inlineStr">
        <is>
          <t>Card</t>
        </is>
      </c>
      <c r="J73" s="12" t="inlineStr">
        <is>
          <t>Maryam</t>
        </is>
      </c>
      <c r="K73" s="12" t="inlineStr">
        <is>
          <t>Youssef Al Mansoori</t>
        </is>
      </c>
      <c r="L73" s="13" t="n">
        <v>0</v>
      </c>
      <c r="M73" s="13" t="n">
        <v>720</v>
      </c>
      <c r="N73" s="12" t="inlineStr"/>
    </row>
    <row r="74" ht="22" customHeight="1">
      <c r="B74" s="14" t="n">
        <v>45733</v>
      </c>
      <c r="C74" s="15" t="inlineStr">
        <is>
          <t>INV-0170</t>
        </is>
      </c>
      <c r="D74" s="15" t="inlineStr">
        <is>
          <t>Laptop Stand</t>
        </is>
      </c>
      <c r="E74" s="15" t="inlineStr">
        <is>
          <t>Accessories</t>
        </is>
      </c>
      <c r="F74" s="15" t="n">
        <v>1</v>
      </c>
      <c r="G74" s="16" t="n">
        <v>150</v>
      </c>
      <c r="H74" s="16" t="n">
        <v>150</v>
      </c>
      <c r="I74" s="15" t="inlineStr">
        <is>
          <t>Card</t>
        </is>
      </c>
      <c r="J74" s="15" t="inlineStr">
        <is>
          <t>Maryam</t>
        </is>
      </c>
      <c r="K74" s="15" t="inlineStr">
        <is>
          <t>Walk-in</t>
        </is>
      </c>
      <c r="L74" s="16" t="n">
        <v>0</v>
      </c>
      <c r="M74" s="16" t="n">
        <v>150</v>
      </c>
      <c r="N74" s="15" t="inlineStr"/>
    </row>
    <row r="75" ht="22" customHeight="1">
      <c r="B75" s="11" t="n">
        <v>45734</v>
      </c>
      <c r="C75" s="12" t="inlineStr">
        <is>
          <t>INV-0171</t>
        </is>
      </c>
      <c r="D75" s="12" t="inlineStr">
        <is>
          <t>Type-C Hub</t>
        </is>
      </c>
      <c r="E75" s="12" t="inlineStr">
        <is>
          <t>Accessories</t>
        </is>
      </c>
      <c r="F75" s="12" t="n">
        <v>3</v>
      </c>
      <c r="G75" s="13" t="n">
        <v>95</v>
      </c>
      <c r="H75" s="13" t="n">
        <v>285</v>
      </c>
      <c r="I75" s="12" t="inlineStr">
        <is>
          <t>Cash</t>
        </is>
      </c>
      <c r="J75" s="12" t="inlineStr">
        <is>
          <t>Fatima</t>
        </is>
      </c>
      <c r="K75" s="12" t="inlineStr">
        <is>
          <t>Omar Khalaf</t>
        </is>
      </c>
      <c r="L75" s="13" t="n">
        <v>15</v>
      </c>
      <c r="M75" s="13" t="n">
        <v>270</v>
      </c>
      <c r="N75" s="12" t="inlineStr">
        <is>
          <t>Promo discount AED 15</t>
        </is>
      </c>
    </row>
    <row r="76" ht="22" customHeight="1">
      <c r="B76" s="14" t="n">
        <v>45734</v>
      </c>
      <c r="C76" s="15" t="inlineStr">
        <is>
          <t>INV-0172</t>
        </is>
      </c>
      <c r="D76" s="15" t="inlineStr">
        <is>
          <t>Ethernet Cable</t>
        </is>
      </c>
      <c r="E76" s="15" t="inlineStr">
        <is>
          <t>Cables</t>
        </is>
      </c>
      <c r="F76" s="15" t="n">
        <v>1</v>
      </c>
      <c r="G76" s="16" t="n">
        <v>22</v>
      </c>
      <c r="H76" s="16" t="n">
        <v>22</v>
      </c>
      <c r="I76" s="15" t="inlineStr">
        <is>
          <t>Card</t>
        </is>
      </c>
      <c r="J76" s="15" t="inlineStr">
        <is>
          <t>Maryam</t>
        </is>
      </c>
      <c r="K76" s="15" t="inlineStr">
        <is>
          <t>Walk-in</t>
        </is>
      </c>
      <c r="L76" s="16" t="n">
        <v>40</v>
      </c>
      <c r="M76" s="16" t="n">
        <v>-18</v>
      </c>
      <c r="N76" s="15" t="inlineStr">
        <is>
          <t>Promo discount AED 40</t>
        </is>
      </c>
    </row>
    <row r="77" ht="22" customHeight="1">
      <c r="B77" s="11" t="n">
        <v>45734</v>
      </c>
      <c r="C77" s="12" t="inlineStr">
        <is>
          <t>INV-0173</t>
        </is>
      </c>
      <c r="D77" s="12" t="inlineStr">
        <is>
          <t>Car Mount</t>
        </is>
      </c>
      <c r="E77" s="12" t="inlineStr">
        <is>
          <t>Accessories</t>
        </is>
      </c>
      <c r="F77" s="12" t="n">
        <v>4</v>
      </c>
      <c r="G77" s="13" t="n">
        <v>50</v>
      </c>
      <c r="H77" s="13" t="n">
        <v>200</v>
      </c>
      <c r="I77" s="12" t="inlineStr">
        <is>
          <t>Card</t>
        </is>
      </c>
      <c r="J77" s="12" t="inlineStr">
        <is>
          <t>Fatima</t>
        </is>
      </c>
      <c r="K77" s="12" t="inlineStr">
        <is>
          <t>Walk-in</t>
        </is>
      </c>
      <c r="L77" s="13" t="n">
        <v>0</v>
      </c>
      <c r="M77" s="13" t="n">
        <v>200</v>
      </c>
      <c r="N77" s="12" t="inlineStr"/>
    </row>
    <row r="78" ht="22" customHeight="1">
      <c r="B78" s="14" t="n">
        <v>45735</v>
      </c>
      <c r="C78" s="15" t="inlineStr">
        <is>
          <t>INV-0174</t>
        </is>
      </c>
      <c r="D78" s="15" t="inlineStr">
        <is>
          <t>Mouse Pad XL</t>
        </is>
      </c>
      <c r="E78" s="15" t="inlineStr">
        <is>
          <t>Peripherals</t>
        </is>
      </c>
      <c r="F78" s="15" t="n">
        <v>2</v>
      </c>
      <c r="G78" s="16" t="n">
        <v>40</v>
      </c>
      <c r="H78" s="16" t="n">
        <v>80</v>
      </c>
      <c r="I78" s="15" t="inlineStr">
        <is>
          <t>Cash</t>
        </is>
      </c>
      <c r="J78" s="15" t="inlineStr">
        <is>
          <t>Maryam</t>
        </is>
      </c>
      <c r="K78" s="15" t="inlineStr">
        <is>
          <t>Walk-in</t>
        </is>
      </c>
      <c r="L78" s="16" t="n">
        <v>0</v>
      </c>
      <c r="M78" s="16" t="n">
        <v>80</v>
      </c>
      <c r="N78" s="15" t="inlineStr"/>
    </row>
    <row r="79" ht="22" customHeight="1">
      <c r="B79" s="11" t="n">
        <v>45735</v>
      </c>
      <c r="C79" s="12" t="inlineStr">
        <is>
          <t>INV-0175</t>
        </is>
      </c>
      <c r="D79" s="12" t="inlineStr">
        <is>
          <t>Type-C Hub</t>
        </is>
      </c>
      <c r="E79" s="12" t="inlineStr">
        <is>
          <t>Accessories</t>
        </is>
      </c>
      <c r="F79" s="12" t="n">
        <v>1</v>
      </c>
      <c r="G79" s="13" t="n">
        <v>95</v>
      </c>
      <c r="H79" s="13" t="n">
        <v>95</v>
      </c>
      <c r="I79" s="12" t="inlineStr">
        <is>
          <t>Card</t>
        </is>
      </c>
      <c r="J79" s="12" t="inlineStr">
        <is>
          <t>Sara</t>
        </is>
      </c>
      <c r="K79" s="12" t="inlineStr">
        <is>
          <t>Walk-in</t>
        </is>
      </c>
      <c r="L79" s="13" t="n">
        <v>0</v>
      </c>
      <c r="M79" s="13" t="n">
        <v>95</v>
      </c>
      <c r="N79" s="12" t="inlineStr"/>
    </row>
    <row r="80" ht="22" customHeight="1">
      <c r="B80" s="14" t="n">
        <v>45735</v>
      </c>
      <c r="C80" s="15" t="inlineStr">
        <is>
          <t>INV-0176</t>
        </is>
      </c>
      <c r="D80" s="15" t="inlineStr">
        <is>
          <t>Webcam</t>
        </is>
      </c>
      <c r="E80" s="15" t="inlineStr">
        <is>
          <t>Peripherals</t>
        </is>
      </c>
      <c r="F80" s="15" t="n">
        <v>4</v>
      </c>
      <c r="G80" s="16" t="n">
        <v>180</v>
      </c>
      <c r="H80" s="16" t="n">
        <v>720</v>
      </c>
      <c r="I80" s="15" t="inlineStr">
        <is>
          <t>Card</t>
        </is>
      </c>
      <c r="J80" s="15" t="inlineStr">
        <is>
          <t>Maryam</t>
        </is>
      </c>
      <c r="K80" s="15" t="inlineStr">
        <is>
          <t>Walk-in</t>
        </is>
      </c>
      <c r="L80" s="16" t="n">
        <v>0</v>
      </c>
      <c r="M80" s="16" t="n">
        <v>720</v>
      </c>
      <c r="N80" s="15" t="inlineStr"/>
    </row>
    <row r="81" ht="22" customHeight="1">
      <c r="B81" s="11" t="n">
        <v>45736</v>
      </c>
      <c r="C81" s="12" t="inlineStr">
        <is>
          <t>INV-0177</t>
        </is>
      </c>
      <c r="D81" s="12" t="inlineStr">
        <is>
          <t>Adapter Plug</t>
        </is>
      </c>
      <c r="E81" s="12" t="inlineStr">
        <is>
          <t>Accessories</t>
        </is>
      </c>
      <c r="F81" s="12" t="n">
        <v>2</v>
      </c>
      <c r="G81" s="13" t="n">
        <v>20</v>
      </c>
      <c r="H81" s="13" t="n">
        <v>40</v>
      </c>
      <c r="I81" s="12" t="inlineStr">
        <is>
          <t>Online</t>
        </is>
      </c>
      <c r="J81" s="12" t="inlineStr">
        <is>
          <t>Sara</t>
        </is>
      </c>
      <c r="K81" s="12" t="inlineStr">
        <is>
          <t>Rashid Al Zaabi</t>
        </is>
      </c>
      <c r="L81" s="13" t="n">
        <v>15</v>
      </c>
      <c r="M81" s="13" t="n">
        <v>25</v>
      </c>
      <c r="N81" s="12" t="inlineStr">
        <is>
          <t>Promo discount AED 15</t>
        </is>
      </c>
    </row>
    <row r="82" ht="22" customHeight="1">
      <c r="B82" s="14" t="n">
        <v>45736</v>
      </c>
      <c r="C82" s="15" t="inlineStr">
        <is>
          <t>INV-0178</t>
        </is>
      </c>
      <c r="D82" s="15" t="inlineStr">
        <is>
          <t>Memory Card 64GB</t>
        </is>
      </c>
      <c r="E82" s="15" t="inlineStr">
        <is>
          <t>Storage</t>
        </is>
      </c>
      <c r="F82" s="15" t="n">
        <v>4</v>
      </c>
      <c r="G82" s="16" t="n">
        <v>45</v>
      </c>
      <c r="H82" s="16" t="n">
        <v>180</v>
      </c>
      <c r="I82" s="15" t="inlineStr">
        <is>
          <t>Card</t>
        </is>
      </c>
      <c r="J82" s="15" t="inlineStr">
        <is>
          <t>Omar</t>
        </is>
      </c>
      <c r="K82" s="15" t="inlineStr">
        <is>
          <t>Rashid Al Zaabi</t>
        </is>
      </c>
      <c r="L82" s="16" t="n">
        <v>20</v>
      </c>
      <c r="M82" s="16" t="n">
        <v>160</v>
      </c>
      <c r="N82" s="15" t="inlineStr">
        <is>
          <t>Promo discount AED 20</t>
        </is>
      </c>
    </row>
    <row r="83" ht="22" customHeight="1">
      <c r="B83" s="11" t="n">
        <v>45736</v>
      </c>
      <c r="C83" s="12" t="inlineStr">
        <is>
          <t>INV-0179</t>
        </is>
      </c>
      <c r="D83" s="12" t="inlineStr">
        <is>
          <t>Type-C Hub</t>
        </is>
      </c>
      <c r="E83" s="12" t="inlineStr">
        <is>
          <t>Accessories</t>
        </is>
      </c>
      <c r="F83" s="12" t="n">
        <v>3</v>
      </c>
      <c r="G83" s="13" t="n">
        <v>95</v>
      </c>
      <c r="H83" s="13" t="n">
        <v>285</v>
      </c>
      <c r="I83" s="12" t="inlineStr">
        <is>
          <t>Card</t>
        </is>
      </c>
      <c r="J83" s="12" t="inlineStr">
        <is>
          <t>Khalid</t>
        </is>
      </c>
      <c r="K83" s="12" t="inlineStr">
        <is>
          <t>Hassan Al Nuaimi</t>
        </is>
      </c>
      <c r="L83" s="13" t="n">
        <v>15</v>
      </c>
      <c r="M83" s="13" t="n">
        <v>270</v>
      </c>
      <c r="N83" s="12" t="inlineStr">
        <is>
          <t>Promo discount AED 15</t>
        </is>
      </c>
    </row>
    <row r="84" ht="22" customHeight="1">
      <c r="B84" s="14" t="n">
        <v>45736</v>
      </c>
      <c r="C84" s="15" t="inlineStr">
        <is>
          <t>INV-0180</t>
        </is>
      </c>
      <c r="D84" s="15" t="inlineStr">
        <is>
          <t>Car Mount</t>
        </is>
      </c>
      <c r="E84" s="15" t="inlineStr">
        <is>
          <t>Accessories</t>
        </is>
      </c>
      <c r="F84" s="15" t="n">
        <v>2</v>
      </c>
      <c r="G84" s="16" t="n">
        <v>50</v>
      </c>
      <c r="H84" s="16" t="n">
        <v>100</v>
      </c>
      <c r="I84" s="15" t="inlineStr">
        <is>
          <t>Online</t>
        </is>
      </c>
      <c r="J84" s="15" t="inlineStr">
        <is>
          <t>Ahmed</t>
        </is>
      </c>
      <c r="K84" s="15" t="inlineStr">
        <is>
          <t>Salma Al Tamimi</t>
        </is>
      </c>
      <c r="L84" s="16" t="n">
        <v>0</v>
      </c>
      <c r="M84" s="16" t="n">
        <v>100</v>
      </c>
      <c r="N84" s="15" t="inlineStr"/>
    </row>
    <row r="85" ht="22" customHeight="1">
      <c r="B85" s="11" t="n">
        <v>45736</v>
      </c>
      <c r="C85" s="12" t="inlineStr">
        <is>
          <t>INV-0181</t>
        </is>
      </c>
      <c r="D85" s="12" t="inlineStr">
        <is>
          <t>AV Cable</t>
        </is>
      </c>
      <c r="E85" s="12" t="inlineStr">
        <is>
          <t>Cables</t>
        </is>
      </c>
      <c r="F85" s="12" t="n">
        <v>4</v>
      </c>
      <c r="G85" s="13" t="n">
        <v>28</v>
      </c>
      <c r="H85" s="13" t="n">
        <v>112</v>
      </c>
      <c r="I85" s="12" t="inlineStr">
        <is>
          <t>Cash</t>
        </is>
      </c>
      <c r="J85" s="12" t="inlineStr">
        <is>
          <t>Sara</t>
        </is>
      </c>
      <c r="K85" s="12" t="inlineStr">
        <is>
          <t>Khalid Al Ketbi</t>
        </is>
      </c>
      <c r="L85" s="13" t="n">
        <v>0</v>
      </c>
      <c r="M85" s="13" t="n">
        <v>112</v>
      </c>
      <c r="N85" s="12" t="inlineStr"/>
    </row>
    <row r="86" ht="22" customHeight="1">
      <c r="B86" s="14" t="n">
        <v>45737</v>
      </c>
      <c r="C86" s="15" t="inlineStr">
        <is>
          <t>INV-0182</t>
        </is>
      </c>
      <c r="D86" s="15" t="inlineStr">
        <is>
          <t>USB Cable</t>
        </is>
      </c>
      <c r="E86" s="15" t="inlineStr">
        <is>
          <t>Accessories</t>
        </is>
      </c>
      <c r="F86" s="15" t="n">
        <v>4</v>
      </c>
      <c r="G86" s="16" t="n">
        <v>25</v>
      </c>
      <c r="H86" s="16" t="n">
        <v>100</v>
      </c>
      <c r="I86" s="15" t="inlineStr">
        <is>
          <t>Card</t>
        </is>
      </c>
      <c r="J86" s="15" t="inlineStr">
        <is>
          <t>Omar</t>
        </is>
      </c>
      <c r="K86" s="15" t="inlineStr">
        <is>
          <t>Mariam Al Shamsi</t>
        </is>
      </c>
      <c r="L86" s="16" t="n">
        <v>0</v>
      </c>
      <c r="M86" s="16" t="n">
        <v>100</v>
      </c>
      <c r="N86" s="15" t="inlineStr"/>
    </row>
    <row r="87" ht="22" customHeight="1">
      <c r="B87" s="11" t="n">
        <v>45737</v>
      </c>
      <c r="C87" s="12" t="inlineStr">
        <is>
          <t>INV-0183</t>
        </is>
      </c>
      <c r="D87" s="12" t="inlineStr">
        <is>
          <t>Cleaning Kit</t>
        </is>
      </c>
      <c r="E87" s="12" t="inlineStr">
        <is>
          <t>Accessories</t>
        </is>
      </c>
      <c r="F87" s="12" t="n">
        <v>2</v>
      </c>
      <c r="G87" s="13" t="n">
        <v>25</v>
      </c>
      <c r="H87" s="13" t="n">
        <v>50</v>
      </c>
      <c r="I87" s="12" t="inlineStr">
        <is>
          <t>Card</t>
        </is>
      </c>
      <c r="J87" s="12" t="inlineStr">
        <is>
          <t>Omar</t>
        </is>
      </c>
      <c r="K87" s="12" t="inlineStr">
        <is>
          <t>Salma Al Tamimi</t>
        </is>
      </c>
      <c r="L87" s="13" t="n">
        <v>0</v>
      </c>
      <c r="M87" s="13" t="n">
        <v>50</v>
      </c>
      <c r="N87" s="12" t="inlineStr"/>
    </row>
    <row r="88" ht="22" customHeight="1">
      <c r="B88" s="14" t="n">
        <v>45737</v>
      </c>
      <c r="C88" s="15" t="inlineStr">
        <is>
          <t>INV-0184</t>
        </is>
      </c>
      <c r="D88" s="15" t="inlineStr">
        <is>
          <t>Car Mount</t>
        </is>
      </c>
      <c r="E88" s="15" t="inlineStr">
        <is>
          <t>Accessories</t>
        </is>
      </c>
      <c r="F88" s="15" t="n">
        <v>3</v>
      </c>
      <c r="G88" s="16" t="n">
        <v>50</v>
      </c>
      <c r="H88" s="16" t="n">
        <v>150</v>
      </c>
      <c r="I88" s="15" t="inlineStr">
        <is>
          <t>Card</t>
        </is>
      </c>
      <c r="J88" s="15" t="inlineStr">
        <is>
          <t>Sara</t>
        </is>
      </c>
      <c r="K88" s="15" t="inlineStr">
        <is>
          <t>Layla Al Qasimi</t>
        </is>
      </c>
      <c r="L88" s="16" t="n">
        <v>0</v>
      </c>
      <c r="M88" s="16" t="n">
        <v>150</v>
      </c>
      <c r="N88" s="15" t="inlineStr"/>
    </row>
    <row r="89" ht="22" customHeight="1">
      <c r="B89" s="11" t="n">
        <v>45737</v>
      </c>
      <c r="C89" s="12" t="inlineStr">
        <is>
          <t>INV-0185</t>
        </is>
      </c>
      <c r="D89" s="12" t="inlineStr">
        <is>
          <t>Smart Watch</t>
        </is>
      </c>
      <c r="E89" s="12" t="inlineStr">
        <is>
          <t>Wearables</t>
        </is>
      </c>
      <c r="F89" s="12" t="n">
        <v>1</v>
      </c>
      <c r="G89" s="13" t="n">
        <v>450</v>
      </c>
      <c r="H89" s="13" t="n">
        <v>450</v>
      </c>
      <c r="I89" s="12" t="inlineStr">
        <is>
          <t>Bank Transfer</t>
        </is>
      </c>
      <c r="J89" s="12" t="inlineStr">
        <is>
          <t>Khalid</t>
        </is>
      </c>
      <c r="K89" s="12" t="inlineStr">
        <is>
          <t>Walk-in</t>
        </is>
      </c>
      <c r="L89" s="13" t="n">
        <v>0</v>
      </c>
      <c r="M89" s="13" t="n">
        <v>450</v>
      </c>
      <c r="N89" s="12" t="inlineStr"/>
    </row>
    <row r="90" ht="22" customHeight="1">
      <c r="B90" s="14" t="n">
        <v>45737</v>
      </c>
      <c r="C90" s="15" t="inlineStr">
        <is>
          <t>INV-0186</t>
        </is>
      </c>
      <c r="D90" s="15" t="inlineStr">
        <is>
          <t>Bluetooth Speaker</t>
        </is>
      </c>
      <c r="E90" s="15" t="inlineStr">
        <is>
          <t>Audio</t>
        </is>
      </c>
      <c r="F90" s="15" t="n">
        <v>4</v>
      </c>
      <c r="G90" s="16" t="n">
        <v>150</v>
      </c>
      <c r="H90" s="16" t="n">
        <v>600</v>
      </c>
      <c r="I90" s="15" t="inlineStr">
        <is>
          <t>Cash</t>
        </is>
      </c>
      <c r="J90" s="15" t="inlineStr">
        <is>
          <t>Sara</t>
        </is>
      </c>
      <c r="K90" s="15" t="inlineStr">
        <is>
          <t>Layla Al Qasimi</t>
        </is>
      </c>
      <c r="L90" s="16" t="n">
        <v>25</v>
      </c>
      <c r="M90" s="16" t="n">
        <v>575</v>
      </c>
      <c r="N90" s="15" t="inlineStr">
        <is>
          <t>Promo discount AED 25</t>
        </is>
      </c>
    </row>
    <row r="91" ht="22" customHeight="1">
      <c r="B91" s="11" t="n">
        <v>45738</v>
      </c>
      <c r="C91" s="12" t="inlineStr">
        <is>
          <t>INV-0187</t>
        </is>
      </c>
      <c r="D91" s="12" t="inlineStr">
        <is>
          <t>Charger</t>
        </is>
      </c>
      <c r="E91" s="12" t="inlineStr">
        <is>
          <t>Accessories</t>
        </is>
      </c>
      <c r="F91" s="12" t="n">
        <v>4</v>
      </c>
      <c r="G91" s="13" t="n">
        <v>55</v>
      </c>
      <c r="H91" s="13" t="n">
        <v>220</v>
      </c>
      <c r="I91" s="12" t="inlineStr">
        <is>
          <t>Card</t>
        </is>
      </c>
      <c r="J91" s="12" t="inlineStr">
        <is>
          <t>Sara</t>
        </is>
      </c>
      <c r="K91" s="12" t="inlineStr">
        <is>
          <t>Saeed Al Dhaheri</t>
        </is>
      </c>
      <c r="L91" s="13" t="n">
        <v>0</v>
      </c>
      <c r="M91" s="13" t="n">
        <v>220</v>
      </c>
      <c r="N91" s="12" t="inlineStr"/>
    </row>
    <row r="92" ht="22" customHeight="1">
      <c r="B92" s="14" t="n">
        <v>45738</v>
      </c>
      <c r="C92" s="15" t="inlineStr">
        <is>
          <t>INV-0188</t>
        </is>
      </c>
      <c r="D92" s="15" t="inlineStr">
        <is>
          <t>Cleaning Kit</t>
        </is>
      </c>
      <c r="E92" s="15" t="inlineStr">
        <is>
          <t>Accessories</t>
        </is>
      </c>
      <c r="F92" s="15" t="n">
        <v>3</v>
      </c>
      <c r="G92" s="16" t="n">
        <v>25</v>
      </c>
      <c r="H92" s="16" t="n">
        <v>75</v>
      </c>
      <c r="I92" s="15" t="inlineStr">
        <is>
          <t>Online</t>
        </is>
      </c>
      <c r="J92" s="15" t="inlineStr">
        <is>
          <t>Sara</t>
        </is>
      </c>
      <c r="K92" s="15" t="inlineStr">
        <is>
          <t>Mohamed Al Rashid</t>
        </is>
      </c>
      <c r="L92" s="16" t="n">
        <v>0</v>
      </c>
      <c r="M92" s="16" t="n">
        <v>75</v>
      </c>
      <c r="N92" s="15" t="inlineStr"/>
    </row>
    <row r="93" ht="22" customHeight="1">
      <c r="B93" s="11" t="n">
        <v>45738</v>
      </c>
      <c r="C93" s="12" t="inlineStr">
        <is>
          <t>INV-0189</t>
        </is>
      </c>
      <c r="D93" s="12" t="inlineStr">
        <is>
          <t>Power Bank</t>
        </is>
      </c>
      <c r="E93" s="12" t="inlineStr">
        <is>
          <t>Accessories</t>
        </is>
      </c>
      <c r="F93" s="12" t="n">
        <v>3</v>
      </c>
      <c r="G93" s="13" t="n">
        <v>120</v>
      </c>
      <c r="H93" s="13" t="n">
        <v>360</v>
      </c>
      <c r="I93" s="12" t="inlineStr">
        <is>
          <t>Cash</t>
        </is>
      </c>
      <c r="J93" s="12" t="inlineStr">
        <is>
          <t>Ahmed</t>
        </is>
      </c>
      <c r="K93" s="12" t="inlineStr">
        <is>
          <t>Walk-in</t>
        </is>
      </c>
      <c r="L93" s="13" t="n">
        <v>10</v>
      </c>
      <c r="M93" s="13" t="n">
        <v>350</v>
      </c>
      <c r="N93" s="12" t="inlineStr">
        <is>
          <t>Promo discount AED 10</t>
        </is>
      </c>
    </row>
    <row r="94" ht="22" customHeight="1">
      <c r="B94" s="14" t="n">
        <v>45738</v>
      </c>
      <c r="C94" s="15" t="inlineStr">
        <is>
          <t>INV-0190</t>
        </is>
      </c>
      <c r="D94" s="15" t="inlineStr">
        <is>
          <t>Type-C Hub</t>
        </is>
      </c>
      <c r="E94" s="15" t="inlineStr">
        <is>
          <t>Accessories</t>
        </is>
      </c>
      <c r="F94" s="15" t="n">
        <v>2</v>
      </c>
      <c r="G94" s="16" t="n">
        <v>95</v>
      </c>
      <c r="H94" s="16" t="n">
        <v>190</v>
      </c>
      <c r="I94" s="15" t="inlineStr">
        <is>
          <t>Online</t>
        </is>
      </c>
      <c r="J94" s="15" t="inlineStr">
        <is>
          <t>Khalid</t>
        </is>
      </c>
      <c r="K94" s="15" t="inlineStr">
        <is>
          <t>Omar Khalaf</t>
        </is>
      </c>
      <c r="L94" s="16" t="n">
        <v>25</v>
      </c>
      <c r="M94" s="16" t="n">
        <v>165</v>
      </c>
      <c r="N94" s="15" t="inlineStr">
        <is>
          <t>Promo discount AED 25</t>
        </is>
      </c>
    </row>
    <row r="95" ht="22" customHeight="1">
      <c r="B95" s="11" t="n">
        <v>45739</v>
      </c>
      <c r="C95" s="12" t="inlineStr">
        <is>
          <t>INV-0191</t>
        </is>
      </c>
      <c r="D95" s="12" t="inlineStr">
        <is>
          <t>Tablet</t>
        </is>
      </c>
      <c r="E95" s="12" t="inlineStr">
        <is>
          <t>Devices</t>
        </is>
      </c>
      <c r="F95" s="12" t="n">
        <v>2</v>
      </c>
      <c r="G95" s="13" t="n">
        <v>899</v>
      </c>
      <c r="H95" s="13" t="n">
        <v>1798</v>
      </c>
      <c r="I95" s="12" t="inlineStr">
        <is>
          <t>Card</t>
        </is>
      </c>
      <c r="J95" s="12" t="inlineStr">
        <is>
          <t>Omar</t>
        </is>
      </c>
      <c r="K95" s="12" t="inlineStr">
        <is>
          <t>Huda Al Ameri</t>
        </is>
      </c>
      <c r="L95" s="13" t="n">
        <v>30</v>
      </c>
      <c r="M95" s="13" t="n">
        <v>1768</v>
      </c>
      <c r="N95" s="12" t="inlineStr">
        <is>
          <t>Promo discount AED 30</t>
        </is>
      </c>
    </row>
    <row r="96" ht="22" customHeight="1">
      <c r="B96" s="14" t="n">
        <v>45739</v>
      </c>
      <c r="C96" s="15" t="inlineStr">
        <is>
          <t>INV-0192</t>
        </is>
      </c>
      <c r="D96" s="15" t="inlineStr">
        <is>
          <t>Tablet</t>
        </is>
      </c>
      <c r="E96" s="15" t="inlineStr">
        <is>
          <t>Devices</t>
        </is>
      </c>
      <c r="F96" s="15" t="n">
        <v>2</v>
      </c>
      <c r="G96" s="16" t="n">
        <v>899</v>
      </c>
      <c r="H96" s="16" t="n">
        <v>1798</v>
      </c>
      <c r="I96" s="15" t="inlineStr">
        <is>
          <t>Bank Transfer</t>
        </is>
      </c>
      <c r="J96" s="15" t="inlineStr">
        <is>
          <t>Ahmed</t>
        </is>
      </c>
      <c r="K96" s="15" t="inlineStr">
        <is>
          <t>Walk-in</t>
        </is>
      </c>
      <c r="L96" s="16" t="n">
        <v>20</v>
      </c>
      <c r="M96" s="16" t="n">
        <v>1778</v>
      </c>
      <c r="N96" s="15" t="inlineStr">
        <is>
          <t>Promo discount AED 20</t>
        </is>
      </c>
    </row>
    <row r="97" ht="22" customHeight="1">
      <c r="B97" s="11" t="n">
        <v>45739</v>
      </c>
      <c r="C97" s="12" t="inlineStr">
        <is>
          <t>INV-0193</t>
        </is>
      </c>
      <c r="D97" s="12" t="inlineStr">
        <is>
          <t>Car Mount</t>
        </is>
      </c>
      <c r="E97" s="12" t="inlineStr">
        <is>
          <t>Accessories</t>
        </is>
      </c>
      <c r="F97" s="12" t="n">
        <v>4</v>
      </c>
      <c r="G97" s="13" t="n">
        <v>50</v>
      </c>
      <c r="H97" s="13" t="n">
        <v>200</v>
      </c>
      <c r="I97" s="12" t="inlineStr">
        <is>
          <t>Bank Transfer</t>
        </is>
      </c>
      <c r="J97" s="12" t="inlineStr">
        <is>
          <t>Fatima</t>
        </is>
      </c>
      <c r="K97" s="12" t="inlineStr">
        <is>
          <t>Hassan Al Nuaimi</t>
        </is>
      </c>
      <c r="L97" s="13" t="n">
        <v>0</v>
      </c>
      <c r="M97" s="13" t="n">
        <v>200</v>
      </c>
      <c r="N97" s="12" t="inlineStr"/>
    </row>
    <row r="98" ht="22" customHeight="1">
      <c r="B98" s="14" t="n">
        <v>45739</v>
      </c>
      <c r="C98" s="15" t="inlineStr">
        <is>
          <t>INV-0194</t>
        </is>
      </c>
      <c r="D98" s="15" t="inlineStr">
        <is>
          <t>Type-C Hub</t>
        </is>
      </c>
      <c r="E98" s="15" t="inlineStr">
        <is>
          <t>Accessories</t>
        </is>
      </c>
      <c r="F98" s="15" t="n">
        <v>1</v>
      </c>
      <c r="G98" s="16" t="n">
        <v>95</v>
      </c>
      <c r="H98" s="16" t="n">
        <v>95</v>
      </c>
      <c r="I98" s="15" t="inlineStr">
        <is>
          <t>Card</t>
        </is>
      </c>
      <c r="J98" s="15" t="inlineStr">
        <is>
          <t>Omar</t>
        </is>
      </c>
      <c r="K98" s="15" t="inlineStr">
        <is>
          <t>Walk-in</t>
        </is>
      </c>
      <c r="L98" s="16" t="n">
        <v>0</v>
      </c>
      <c r="M98" s="16" t="n">
        <v>95</v>
      </c>
      <c r="N98" s="15" t="inlineStr"/>
    </row>
    <row r="99" ht="22" customHeight="1">
      <c r="B99" s="11" t="n">
        <v>45739</v>
      </c>
      <c r="C99" s="12" t="inlineStr">
        <is>
          <t>INV-0195</t>
        </is>
      </c>
      <c r="D99" s="12" t="inlineStr">
        <is>
          <t>Screen Protector</t>
        </is>
      </c>
      <c r="E99" s="12" t="inlineStr">
        <is>
          <t>Accessories</t>
        </is>
      </c>
      <c r="F99" s="12" t="n">
        <v>3</v>
      </c>
      <c r="G99" s="13" t="n">
        <v>30</v>
      </c>
      <c r="H99" s="13" t="n">
        <v>90</v>
      </c>
      <c r="I99" s="12" t="inlineStr">
        <is>
          <t>Card</t>
        </is>
      </c>
      <c r="J99" s="12" t="inlineStr">
        <is>
          <t>Maryam</t>
        </is>
      </c>
      <c r="K99" s="12" t="inlineStr">
        <is>
          <t>Huda Al Ameri</t>
        </is>
      </c>
      <c r="L99" s="13" t="n">
        <v>40</v>
      </c>
      <c r="M99" s="13" t="n">
        <v>50</v>
      </c>
      <c r="N99" s="12" t="inlineStr">
        <is>
          <t>Promo discount AED 40</t>
        </is>
      </c>
    </row>
    <row r="100" ht="22" customHeight="1">
      <c r="B100" s="14" t="n">
        <v>45740</v>
      </c>
      <c r="C100" s="15" t="inlineStr">
        <is>
          <t>INV-0196</t>
        </is>
      </c>
      <c r="D100" s="15" t="inlineStr">
        <is>
          <t>Phone Case</t>
        </is>
      </c>
      <c r="E100" s="15" t="inlineStr">
        <is>
          <t>Accessories</t>
        </is>
      </c>
      <c r="F100" s="15" t="n">
        <v>4</v>
      </c>
      <c r="G100" s="16" t="n">
        <v>45</v>
      </c>
      <c r="H100" s="16" t="n">
        <v>180</v>
      </c>
      <c r="I100" s="15" t="inlineStr">
        <is>
          <t>Online</t>
        </is>
      </c>
      <c r="J100" s="15" t="inlineStr">
        <is>
          <t>Ahmed</t>
        </is>
      </c>
      <c r="K100" s="15" t="inlineStr">
        <is>
          <t>Salma Al Tamimi</t>
        </is>
      </c>
      <c r="L100" s="16" t="n">
        <v>0</v>
      </c>
      <c r="M100" s="16" t="n">
        <v>180</v>
      </c>
      <c r="N100" s="15" t="inlineStr"/>
    </row>
    <row r="101" ht="22" customHeight="1">
      <c r="B101" s="11" t="n">
        <v>45740</v>
      </c>
      <c r="C101" s="12" t="inlineStr">
        <is>
          <t>INV-0197</t>
        </is>
      </c>
      <c r="D101" s="12" t="inlineStr">
        <is>
          <t>AV Cable</t>
        </is>
      </c>
      <c r="E101" s="12" t="inlineStr">
        <is>
          <t>Cables</t>
        </is>
      </c>
      <c r="F101" s="12" t="n">
        <v>2</v>
      </c>
      <c r="G101" s="13" t="n">
        <v>28</v>
      </c>
      <c r="H101" s="13" t="n">
        <v>56</v>
      </c>
      <c r="I101" s="12" t="inlineStr">
        <is>
          <t>Card</t>
        </is>
      </c>
      <c r="J101" s="12" t="inlineStr">
        <is>
          <t>Maryam</t>
        </is>
      </c>
      <c r="K101" s="12" t="inlineStr">
        <is>
          <t>Walk-in</t>
        </is>
      </c>
      <c r="L101" s="13" t="n">
        <v>0</v>
      </c>
      <c r="M101" s="13" t="n">
        <v>56</v>
      </c>
      <c r="N101" s="12" t="inlineStr"/>
    </row>
    <row r="102" ht="22" customHeight="1">
      <c r="B102" s="14" t="n">
        <v>45740</v>
      </c>
      <c r="C102" s="15" t="inlineStr">
        <is>
          <t>INV-0198</t>
        </is>
      </c>
      <c r="D102" s="15" t="inlineStr">
        <is>
          <t>Memory Card 64GB</t>
        </is>
      </c>
      <c r="E102" s="15" t="inlineStr">
        <is>
          <t>Storage</t>
        </is>
      </c>
      <c r="F102" s="15" t="n">
        <v>4</v>
      </c>
      <c r="G102" s="16" t="n">
        <v>45</v>
      </c>
      <c r="H102" s="16" t="n">
        <v>180</v>
      </c>
      <c r="I102" s="15" t="inlineStr">
        <is>
          <t>Card</t>
        </is>
      </c>
      <c r="J102" s="15" t="inlineStr">
        <is>
          <t>Maryam</t>
        </is>
      </c>
      <c r="K102" s="15" t="inlineStr">
        <is>
          <t>Walk-in</t>
        </is>
      </c>
      <c r="L102" s="16" t="n">
        <v>50</v>
      </c>
      <c r="M102" s="16" t="n">
        <v>130</v>
      </c>
      <c r="N102" s="15" t="inlineStr">
        <is>
          <t>Promo discount AED 50</t>
        </is>
      </c>
    </row>
    <row r="103" ht="22" customHeight="1">
      <c r="B103" s="11" t="n">
        <v>45740</v>
      </c>
      <c r="C103" s="12" t="inlineStr">
        <is>
          <t>INV-0199</t>
        </is>
      </c>
      <c r="D103" s="12" t="inlineStr">
        <is>
          <t>Type-C Hub</t>
        </is>
      </c>
      <c r="E103" s="12" t="inlineStr">
        <is>
          <t>Accessories</t>
        </is>
      </c>
      <c r="F103" s="12" t="n">
        <v>1</v>
      </c>
      <c r="G103" s="13" t="n">
        <v>95</v>
      </c>
      <c r="H103" s="13" t="n">
        <v>95</v>
      </c>
      <c r="I103" s="12" t="inlineStr">
        <is>
          <t>Card</t>
        </is>
      </c>
      <c r="J103" s="12" t="inlineStr">
        <is>
          <t>Sara</t>
        </is>
      </c>
      <c r="K103" s="12" t="inlineStr">
        <is>
          <t>Noor Al Hashmi</t>
        </is>
      </c>
      <c r="L103" s="13" t="n">
        <v>0</v>
      </c>
      <c r="M103" s="13" t="n">
        <v>95</v>
      </c>
      <c r="N103" s="12" t="inlineStr"/>
    </row>
    <row r="104" ht="22" customHeight="1">
      <c r="B104" s="14" t="n">
        <v>45741</v>
      </c>
      <c r="C104" s="15" t="inlineStr">
        <is>
          <t>INV-0200</t>
        </is>
      </c>
      <c r="D104" s="15" t="inlineStr">
        <is>
          <t>Car Mount</t>
        </is>
      </c>
      <c r="E104" s="15" t="inlineStr">
        <is>
          <t>Accessories</t>
        </is>
      </c>
      <c r="F104" s="15" t="n">
        <v>3</v>
      </c>
      <c r="G104" s="16" t="n">
        <v>50</v>
      </c>
      <c r="H104" s="16" t="n">
        <v>150</v>
      </c>
      <c r="I104" s="15" t="inlineStr">
        <is>
          <t>Cash</t>
        </is>
      </c>
      <c r="J104" s="15" t="inlineStr">
        <is>
          <t>Omar</t>
        </is>
      </c>
      <c r="K104" s="15" t="inlineStr">
        <is>
          <t>Layla Al Qasimi</t>
        </is>
      </c>
      <c r="L104" s="16" t="n">
        <v>0</v>
      </c>
      <c r="M104" s="16" t="n">
        <v>150</v>
      </c>
      <c r="N104" s="15" t="inlineStr"/>
    </row>
    <row r="105" ht="22" customHeight="1">
      <c r="B105" s="11" t="n">
        <v>45741</v>
      </c>
      <c r="C105" s="12" t="inlineStr">
        <is>
          <t>INV-0201</t>
        </is>
      </c>
      <c r="D105" s="12" t="inlineStr">
        <is>
          <t>Phone Holder</t>
        </is>
      </c>
      <c r="E105" s="12" t="inlineStr">
        <is>
          <t>Accessories</t>
        </is>
      </c>
      <c r="F105" s="12" t="n">
        <v>3</v>
      </c>
      <c r="G105" s="13" t="n">
        <v>35</v>
      </c>
      <c r="H105" s="13" t="n">
        <v>105</v>
      </c>
      <c r="I105" s="12" t="inlineStr">
        <is>
          <t>Card</t>
        </is>
      </c>
      <c r="J105" s="12" t="inlineStr">
        <is>
          <t>Khalid</t>
        </is>
      </c>
      <c r="K105" s="12" t="inlineStr">
        <is>
          <t>Saeed Al Dhaheri</t>
        </is>
      </c>
      <c r="L105" s="13" t="n">
        <v>0</v>
      </c>
      <c r="M105" s="13" t="n">
        <v>105</v>
      </c>
      <c r="N105" s="12" t="inlineStr"/>
    </row>
    <row r="106" ht="22" customHeight="1">
      <c r="B106" s="14" t="n">
        <v>45741</v>
      </c>
      <c r="C106" s="15" t="inlineStr">
        <is>
          <t>INV-0202</t>
        </is>
      </c>
      <c r="D106" s="15" t="inlineStr">
        <is>
          <t>Tripod Stand</t>
        </is>
      </c>
      <c r="E106" s="15" t="inlineStr">
        <is>
          <t>Accessories</t>
        </is>
      </c>
      <c r="F106" s="15" t="n">
        <v>2</v>
      </c>
      <c r="G106" s="16" t="n">
        <v>90</v>
      </c>
      <c r="H106" s="16" t="n">
        <v>180</v>
      </c>
      <c r="I106" s="15" t="inlineStr">
        <is>
          <t>Cash</t>
        </is>
      </c>
      <c r="J106" s="15" t="inlineStr">
        <is>
          <t>Maryam</t>
        </is>
      </c>
      <c r="K106" s="15" t="inlineStr">
        <is>
          <t>Salma Al Tamimi</t>
        </is>
      </c>
      <c r="L106" s="16" t="n">
        <v>0</v>
      </c>
      <c r="M106" s="16" t="n">
        <v>180</v>
      </c>
      <c r="N106" s="15" t="inlineStr"/>
    </row>
    <row r="107" ht="22" customHeight="1">
      <c r="B107" s="11" t="n">
        <v>45741</v>
      </c>
      <c r="C107" s="12" t="inlineStr">
        <is>
          <t>INV-0203</t>
        </is>
      </c>
      <c r="D107" s="12" t="inlineStr">
        <is>
          <t>Type-C Hub</t>
        </is>
      </c>
      <c r="E107" s="12" t="inlineStr">
        <is>
          <t>Accessories</t>
        </is>
      </c>
      <c r="F107" s="12" t="n">
        <v>4</v>
      </c>
      <c r="G107" s="13" t="n">
        <v>95</v>
      </c>
      <c r="H107" s="13" t="n">
        <v>380</v>
      </c>
      <c r="I107" s="12" t="inlineStr">
        <is>
          <t>Card</t>
        </is>
      </c>
      <c r="J107" s="12" t="inlineStr">
        <is>
          <t>Sara</t>
        </is>
      </c>
      <c r="K107" s="12" t="inlineStr">
        <is>
          <t>Rashid Al Zaabi</t>
        </is>
      </c>
      <c r="L107" s="13" t="n">
        <v>0</v>
      </c>
      <c r="M107" s="13" t="n">
        <v>380</v>
      </c>
      <c r="N107" s="12" t="inlineStr"/>
    </row>
    <row r="108" ht="22" customHeight="1">
      <c r="B108" s="14" t="n">
        <v>45741</v>
      </c>
      <c r="C108" s="15" t="inlineStr">
        <is>
          <t>INV-0204</t>
        </is>
      </c>
      <c r="D108" s="15" t="inlineStr">
        <is>
          <t>Bluetooth Speaker</t>
        </is>
      </c>
      <c r="E108" s="15" t="inlineStr">
        <is>
          <t>Audio</t>
        </is>
      </c>
      <c r="F108" s="15" t="n">
        <v>3</v>
      </c>
      <c r="G108" s="16" t="n">
        <v>150</v>
      </c>
      <c r="H108" s="16" t="n">
        <v>450</v>
      </c>
      <c r="I108" s="15" t="inlineStr">
        <is>
          <t>Cash</t>
        </is>
      </c>
      <c r="J108" s="15" t="inlineStr">
        <is>
          <t>Maryam</t>
        </is>
      </c>
      <c r="K108" s="15" t="inlineStr">
        <is>
          <t>Noor Al Hashmi</t>
        </is>
      </c>
      <c r="L108" s="16" t="n">
        <v>0</v>
      </c>
      <c r="M108" s="16" t="n">
        <v>450</v>
      </c>
      <c r="N108" s="15" t="inlineStr"/>
    </row>
    <row r="109" ht="22" customHeight="1">
      <c r="B109" s="11" t="n">
        <v>45742</v>
      </c>
      <c r="C109" s="12" t="inlineStr">
        <is>
          <t>INV-0205</t>
        </is>
      </c>
      <c r="D109" s="12" t="inlineStr">
        <is>
          <t>Stylus Pen</t>
        </is>
      </c>
      <c r="E109" s="12" t="inlineStr">
        <is>
          <t>Accessories</t>
        </is>
      </c>
      <c r="F109" s="12" t="n">
        <v>4</v>
      </c>
      <c r="G109" s="13" t="n">
        <v>65</v>
      </c>
      <c r="H109" s="13" t="n">
        <v>260</v>
      </c>
      <c r="I109" s="12" t="inlineStr">
        <is>
          <t>Card</t>
        </is>
      </c>
      <c r="J109" s="12" t="inlineStr">
        <is>
          <t>Omar</t>
        </is>
      </c>
      <c r="K109" s="12" t="inlineStr">
        <is>
          <t>Salma Al Tamimi</t>
        </is>
      </c>
      <c r="L109" s="13" t="n">
        <v>0</v>
      </c>
      <c r="M109" s="13" t="n">
        <v>260</v>
      </c>
      <c r="N109" s="12" t="inlineStr"/>
    </row>
    <row r="110" ht="22" customHeight="1">
      <c r="B110" s="14" t="n">
        <v>45742</v>
      </c>
      <c r="C110" s="15" t="inlineStr">
        <is>
          <t>INV-0206</t>
        </is>
      </c>
      <c r="D110" s="15" t="inlineStr">
        <is>
          <t>Monitor Cable</t>
        </is>
      </c>
      <c r="E110" s="15" t="inlineStr">
        <is>
          <t>Cables</t>
        </is>
      </c>
      <c r="F110" s="15" t="n">
        <v>3</v>
      </c>
      <c r="G110" s="16" t="n">
        <v>40</v>
      </c>
      <c r="H110" s="16" t="n">
        <v>120</v>
      </c>
      <c r="I110" s="15" t="inlineStr">
        <is>
          <t>Online</t>
        </is>
      </c>
      <c r="J110" s="15" t="inlineStr">
        <is>
          <t>Omar</t>
        </is>
      </c>
      <c r="K110" s="15" t="inlineStr">
        <is>
          <t>Mariam Al Shamsi</t>
        </is>
      </c>
      <c r="L110" s="16" t="n">
        <v>10</v>
      </c>
      <c r="M110" s="16" t="n">
        <v>110</v>
      </c>
      <c r="N110" s="15" t="inlineStr">
        <is>
          <t>Promo discount AED 10</t>
        </is>
      </c>
    </row>
    <row r="111" ht="22" customHeight="1">
      <c r="B111" s="11" t="n">
        <v>45742</v>
      </c>
      <c r="C111" s="12" t="inlineStr">
        <is>
          <t>INV-0207</t>
        </is>
      </c>
      <c r="D111" s="12" t="inlineStr">
        <is>
          <t>Mouse</t>
        </is>
      </c>
      <c r="E111" s="12" t="inlineStr">
        <is>
          <t>Peripherals</t>
        </is>
      </c>
      <c r="F111" s="12" t="n">
        <v>3</v>
      </c>
      <c r="G111" s="13" t="n">
        <v>80</v>
      </c>
      <c r="H111" s="13" t="n">
        <v>240</v>
      </c>
      <c r="I111" s="12" t="inlineStr">
        <is>
          <t>Cash</t>
        </is>
      </c>
      <c r="J111" s="12" t="inlineStr">
        <is>
          <t>Khalid</t>
        </is>
      </c>
      <c r="K111" s="12" t="inlineStr">
        <is>
          <t>Layla Al Qasimi</t>
        </is>
      </c>
      <c r="L111" s="13" t="n">
        <v>40</v>
      </c>
      <c r="M111" s="13" t="n">
        <v>200</v>
      </c>
      <c r="N111" s="12" t="inlineStr">
        <is>
          <t>Promo discount AED 40</t>
        </is>
      </c>
    </row>
    <row r="112" ht="22" customHeight="1">
      <c r="B112" s="14" t="n">
        <v>45742</v>
      </c>
      <c r="C112" s="15" t="inlineStr">
        <is>
          <t>INV-0208</t>
        </is>
      </c>
      <c r="D112" s="15" t="inlineStr">
        <is>
          <t>Ethernet Cable</t>
        </is>
      </c>
      <c r="E112" s="15" t="inlineStr">
        <is>
          <t>Cables</t>
        </is>
      </c>
      <c r="F112" s="15" t="n">
        <v>3</v>
      </c>
      <c r="G112" s="16" t="n">
        <v>22</v>
      </c>
      <c r="H112" s="16" t="n">
        <v>66</v>
      </c>
      <c r="I112" s="15" t="inlineStr">
        <is>
          <t>Online</t>
        </is>
      </c>
      <c r="J112" s="15" t="inlineStr">
        <is>
          <t>Khalid</t>
        </is>
      </c>
      <c r="K112" s="15" t="inlineStr">
        <is>
          <t>Walk-in</t>
        </is>
      </c>
      <c r="L112" s="16" t="n">
        <v>10</v>
      </c>
      <c r="M112" s="16" t="n">
        <v>56</v>
      </c>
      <c r="N112" s="15" t="inlineStr">
        <is>
          <t>Promo discount AED 10</t>
        </is>
      </c>
    </row>
    <row r="113" ht="22" customHeight="1">
      <c r="B113" s="11" t="n">
        <v>45742</v>
      </c>
      <c r="C113" s="12" t="inlineStr">
        <is>
          <t>INV-0209</t>
        </is>
      </c>
      <c r="D113" s="12" t="inlineStr">
        <is>
          <t>Mouse</t>
        </is>
      </c>
      <c r="E113" s="12" t="inlineStr">
        <is>
          <t>Peripherals</t>
        </is>
      </c>
      <c r="F113" s="12" t="n">
        <v>3</v>
      </c>
      <c r="G113" s="13" t="n">
        <v>80</v>
      </c>
      <c r="H113" s="13" t="n">
        <v>240</v>
      </c>
      <c r="I113" s="12" t="inlineStr">
        <is>
          <t>Cash</t>
        </is>
      </c>
      <c r="J113" s="12" t="inlineStr">
        <is>
          <t>Fatima</t>
        </is>
      </c>
      <c r="K113" s="12" t="inlineStr">
        <is>
          <t>Mariam Al Shamsi</t>
        </is>
      </c>
      <c r="L113" s="13" t="n">
        <v>30</v>
      </c>
      <c r="M113" s="13" t="n">
        <v>210</v>
      </c>
      <c r="N113" s="12" t="inlineStr">
        <is>
          <t>Promo discount AED 30</t>
        </is>
      </c>
    </row>
    <row r="114" ht="22" customHeight="1">
      <c r="B114" s="14" t="n">
        <v>45743</v>
      </c>
      <c r="C114" s="15" t="inlineStr">
        <is>
          <t>INV-0210</t>
        </is>
      </c>
      <c r="D114" s="15" t="inlineStr">
        <is>
          <t>Memory Card 64GB</t>
        </is>
      </c>
      <c r="E114" s="15" t="inlineStr">
        <is>
          <t>Storage</t>
        </is>
      </c>
      <c r="F114" s="15" t="n">
        <v>1</v>
      </c>
      <c r="G114" s="16" t="n">
        <v>45</v>
      </c>
      <c r="H114" s="16" t="n">
        <v>45</v>
      </c>
      <c r="I114" s="15" t="inlineStr">
        <is>
          <t>Bank Transfer</t>
        </is>
      </c>
      <c r="J114" s="15" t="inlineStr">
        <is>
          <t>Khalid</t>
        </is>
      </c>
      <c r="K114" s="15" t="inlineStr">
        <is>
          <t>Mariam Al Shamsi</t>
        </is>
      </c>
      <c r="L114" s="16" t="n">
        <v>0</v>
      </c>
      <c r="M114" s="16" t="n">
        <v>45</v>
      </c>
      <c r="N114" s="15" t="inlineStr"/>
    </row>
    <row r="115" ht="22" customHeight="1">
      <c r="B115" s="11" t="n">
        <v>45743</v>
      </c>
      <c r="C115" s="12" t="inlineStr">
        <is>
          <t>INV-0211</t>
        </is>
      </c>
      <c r="D115" s="12" t="inlineStr">
        <is>
          <t>Smart Watch</t>
        </is>
      </c>
      <c r="E115" s="12" t="inlineStr">
        <is>
          <t>Wearables</t>
        </is>
      </c>
      <c r="F115" s="12" t="n">
        <v>4</v>
      </c>
      <c r="G115" s="13" t="n">
        <v>450</v>
      </c>
      <c r="H115" s="13" t="n">
        <v>1800</v>
      </c>
      <c r="I115" s="12" t="inlineStr">
        <is>
          <t>Cash</t>
        </is>
      </c>
      <c r="J115" s="12" t="inlineStr">
        <is>
          <t>Ahmed</t>
        </is>
      </c>
      <c r="K115" s="12" t="inlineStr">
        <is>
          <t>Walk-in</t>
        </is>
      </c>
      <c r="L115" s="13" t="n">
        <v>25</v>
      </c>
      <c r="M115" s="13" t="n">
        <v>1775</v>
      </c>
      <c r="N115" s="12" t="inlineStr">
        <is>
          <t>Promo discount AED 25</t>
        </is>
      </c>
    </row>
    <row r="116" ht="22" customHeight="1">
      <c r="B116" s="14" t="n">
        <v>45743</v>
      </c>
      <c r="C116" s="15" t="inlineStr">
        <is>
          <t>INV-0212</t>
        </is>
      </c>
      <c r="D116" s="15" t="inlineStr">
        <is>
          <t>Adapter Plug</t>
        </is>
      </c>
      <c r="E116" s="15" t="inlineStr">
        <is>
          <t>Accessories</t>
        </is>
      </c>
      <c r="F116" s="15" t="n">
        <v>3</v>
      </c>
      <c r="G116" s="16" t="n">
        <v>20</v>
      </c>
      <c r="H116" s="16" t="n">
        <v>60</v>
      </c>
      <c r="I116" s="15" t="inlineStr">
        <is>
          <t>Cash</t>
        </is>
      </c>
      <c r="J116" s="15" t="inlineStr">
        <is>
          <t>Ahmed</t>
        </is>
      </c>
      <c r="K116" s="15" t="inlineStr">
        <is>
          <t>Saeed Al Dhaheri</t>
        </is>
      </c>
      <c r="L116" s="16" t="n">
        <v>0</v>
      </c>
      <c r="M116" s="16" t="n">
        <v>60</v>
      </c>
      <c r="N116" s="15" t="inlineStr"/>
    </row>
    <row r="117" ht="22" customHeight="1">
      <c r="B117" s="11" t="n">
        <v>45744</v>
      </c>
      <c r="C117" s="12" t="inlineStr">
        <is>
          <t>INV-0213</t>
        </is>
      </c>
      <c r="D117" s="12" t="inlineStr">
        <is>
          <t>Tablet</t>
        </is>
      </c>
      <c r="E117" s="12" t="inlineStr">
        <is>
          <t>Devices</t>
        </is>
      </c>
      <c r="F117" s="12" t="n">
        <v>1</v>
      </c>
      <c r="G117" s="13" t="n">
        <v>899</v>
      </c>
      <c r="H117" s="13" t="n">
        <v>899</v>
      </c>
      <c r="I117" s="12" t="inlineStr">
        <is>
          <t>Card</t>
        </is>
      </c>
      <c r="J117" s="12" t="inlineStr">
        <is>
          <t>Ahmed</t>
        </is>
      </c>
      <c r="K117" s="12" t="inlineStr">
        <is>
          <t>Walk-in</t>
        </is>
      </c>
      <c r="L117" s="13" t="n">
        <v>0</v>
      </c>
      <c r="M117" s="13" t="n">
        <v>899</v>
      </c>
      <c r="N117" s="12" t="inlineStr"/>
    </row>
    <row r="118" ht="22" customHeight="1">
      <c r="B118" s="14" t="n">
        <v>45744</v>
      </c>
      <c r="C118" s="15" t="inlineStr">
        <is>
          <t>INV-0214</t>
        </is>
      </c>
      <c r="D118" s="15" t="inlineStr">
        <is>
          <t>Power Bank</t>
        </is>
      </c>
      <c r="E118" s="15" t="inlineStr">
        <is>
          <t>Accessories</t>
        </is>
      </c>
      <c r="F118" s="15" t="n">
        <v>2</v>
      </c>
      <c r="G118" s="16" t="n">
        <v>120</v>
      </c>
      <c r="H118" s="16" t="n">
        <v>240</v>
      </c>
      <c r="I118" s="15" t="inlineStr">
        <is>
          <t>Cash</t>
        </is>
      </c>
      <c r="J118" s="15" t="inlineStr">
        <is>
          <t>Khalid</t>
        </is>
      </c>
      <c r="K118" s="15" t="inlineStr">
        <is>
          <t>Mariam Al Shamsi</t>
        </is>
      </c>
      <c r="L118" s="16" t="n">
        <v>15</v>
      </c>
      <c r="M118" s="16" t="n">
        <v>225</v>
      </c>
      <c r="N118" s="15" t="inlineStr">
        <is>
          <t>Promo discount AED 15</t>
        </is>
      </c>
    </row>
    <row r="119" ht="22" customHeight="1">
      <c r="B119" s="11" t="n">
        <v>45744</v>
      </c>
      <c r="C119" s="12" t="inlineStr">
        <is>
          <t>INV-0215</t>
        </is>
      </c>
      <c r="D119" s="12" t="inlineStr">
        <is>
          <t>Tablet</t>
        </is>
      </c>
      <c r="E119" s="12" t="inlineStr">
        <is>
          <t>Devices</t>
        </is>
      </c>
      <c r="F119" s="12" t="n">
        <v>4</v>
      </c>
      <c r="G119" s="13" t="n">
        <v>899</v>
      </c>
      <c r="H119" s="13" t="n">
        <v>3596</v>
      </c>
      <c r="I119" s="12" t="inlineStr">
        <is>
          <t>Card</t>
        </is>
      </c>
      <c r="J119" s="12" t="inlineStr">
        <is>
          <t>Khalid</t>
        </is>
      </c>
      <c r="K119" s="12" t="inlineStr">
        <is>
          <t>Noor Al Hashmi</t>
        </is>
      </c>
      <c r="L119" s="13" t="n">
        <v>0</v>
      </c>
      <c r="M119" s="13" t="n">
        <v>3596</v>
      </c>
      <c r="N119" s="12" t="inlineStr"/>
    </row>
    <row r="120" ht="22" customHeight="1">
      <c r="B120" s="14" t="n">
        <v>45744</v>
      </c>
      <c r="C120" s="15" t="inlineStr">
        <is>
          <t>INV-0216</t>
        </is>
      </c>
      <c r="D120" s="15" t="inlineStr">
        <is>
          <t>Car Mount</t>
        </is>
      </c>
      <c r="E120" s="15" t="inlineStr">
        <is>
          <t>Accessories</t>
        </is>
      </c>
      <c r="F120" s="15" t="n">
        <v>4</v>
      </c>
      <c r="G120" s="16" t="n">
        <v>50</v>
      </c>
      <c r="H120" s="16" t="n">
        <v>200</v>
      </c>
      <c r="I120" s="15" t="inlineStr">
        <is>
          <t>Bank Transfer</t>
        </is>
      </c>
      <c r="J120" s="15" t="inlineStr">
        <is>
          <t>Omar</t>
        </is>
      </c>
      <c r="K120" s="15" t="inlineStr">
        <is>
          <t>Walk-in</t>
        </is>
      </c>
      <c r="L120" s="16" t="n">
        <v>0</v>
      </c>
      <c r="M120" s="16" t="n">
        <v>200</v>
      </c>
      <c r="N120" s="15" t="inlineStr"/>
    </row>
    <row r="121" ht="22" customHeight="1">
      <c r="B121" s="11" t="n">
        <v>45745</v>
      </c>
      <c r="C121" s="12" t="inlineStr">
        <is>
          <t>INV-0217</t>
        </is>
      </c>
      <c r="D121" s="12" t="inlineStr">
        <is>
          <t>Power Bank</t>
        </is>
      </c>
      <c r="E121" s="12" t="inlineStr">
        <is>
          <t>Accessories</t>
        </is>
      </c>
      <c r="F121" s="12" t="n">
        <v>1</v>
      </c>
      <c r="G121" s="13" t="n">
        <v>120</v>
      </c>
      <c r="H121" s="13" t="n">
        <v>120</v>
      </c>
      <c r="I121" s="12" t="inlineStr">
        <is>
          <t>Bank Transfer</t>
        </is>
      </c>
      <c r="J121" s="12" t="inlineStr">
        <is>
          <t>Fatima</t>
        </is>
      </c>
      <c r="K121" s="12" t="inlineStr">
        <is>
          <t>Walk-in</t>
        </is>
      </c>
      <c r="L121" s="13" t="n">
        <v>40</v>
      </c>
      <c r="M121" s="13" t="n">
        <v>80</v>
      </c>
      <c r="N121" s="12" t="inlineStr">
        <is>
          <t>Promo discount AED 40</t>
        </is>
      </c>
    </row>
    <row r="122" ht="22" customHeight="1">
      <c r="B122" s="14" t="n">
        <v>45745</v>
      </c>
      <c r="C122" s="15" t="inlineStr">
        <is>
          <t>INV-0218</t>
        </is>
      </c>
      <c r="D122" s="15" t="inlineStr">
        <is>
          <t>Bluetooth Speaker</t>
        </is>
      </c>
      <c r="E122" s="15" t="inlineStr">
        <is>
          <t>Audio</t>
        </is>
      </c>
      <c r="F122" s="15" t="n">
        <v>2</v>
      </c>
      <c r="G122" s="16" t="n">
        <v>150</v>
      </c>
      <c r="H122" s="16" t="n">
        <v>300</v>
      </c>
      <c r="I122" s="15" t="inlineStr">
        <is>
          <t>Cash</t>
        </is>
      </c>
      <c r="J122" s="15" t="inlineStr">
        <is>
          <t>Khalid</t>
        </is>
      </c>
      <c r="K122" s="15" t="inlineStr">
        <is>
          <t>Hassan Al Nuaimi</t>
        </is>
      </c>
      <c r="L122" s="16" t="n">
        <v>25</v>
      </c>
      <c r="M122" s="16" t="n">
        <v>275</v>
      </c>
      <c r="N122" s="15" t="inlineStr">
        <is>
          <t>Promo discount AED 25</t>
        </is>
      </c>
    </row>
    <row r="123" ht="22" customHeight="1">
      <c r="B123" s="11" t="n">
        <v>45745</v>
      </c>
      <c r="C123" s="12" t="inlineStr">
        <is>
          <t>INV-0219</t>
        </is>
      </c>
      <c r="D123" s="12" t="inlineStr">
        <is>
          <t>Adapter Plug</t>
        </is>
      </c>
      <c r="E123" s="12" t="inlineStr">
        <is>
          <t>Accessories</t>
        </is>
      </c>
      <c r="F123" s="12" t="n">
        <v>4</v>
      </c>
      <c r="G123" s="13" t="n">
        <v>20</v>
      </c>
      <c r="H123" s="13" t="n">
        <v>80</v>
      </c>
      <c r="I123" s="12" t="inlineStr">
        <is>
          <t>Card</t>
        </is>
      </c>
      <c r="J123" s="12" t="inlineStr">
        <is>
          <t>Fatima</t>
        </is>
      </c>
      <c r="K123" s="12" t="inlineStr">
        <is>
          <t>Mariam Al Shamsi</t>
        </is>
      </c>
      <c r="L123" s="13" t="n">
        <v>0</v>
      </c>
      <c r="M123" s="13" t="n">
        <v>80</v>
      </c>
      <c r="N123" s="12" t="inlineStr"/>
    </row>
    <row r="124" ht="22" customHeight="1">
      <c r="B124" s="14" t="n">
        <v>45745</v>
      </c>
      <c r="C124" s="15" t="inlineStr">
        <is>
          <t>INV-0220</t>
        </is>
      </c>
      <c r="D124" s="15" t="inlineStr">
        <is>
          <t>AV Cable</t>
        </is>
      </c>
      <c r="E124" s="15" t="inlineStr">
        <is>
          <t>Cables</t>
        </is>
      </c>
      <c r="F124" s="15" t="n">
        <v>1</v>
      </c>
      <c r="G124" s="16" t="n">
        <v>28</v>
      </c>
      <c r="H124" s="16" t="n">
        <v>28</v>
      </c>
      <c r="I124" s="15" t="inlineStr">
        <is>
          <t>Card</t>
        </is>
      </c>
      <c r="J124" s="15" t="inlineStr">
        <is>
          <t>Omar</t>
        </is>
      </c>
      <c r="K124" s="15" t="inlineStr">
        <is>
          <t>Walk-in</t>
        </is>
      </c>
      <c r="L124" s="16" t="n">
        <v>0</v>
      </c>
      <c r="M124" s="16" t="n">
        <v>28</v>
      </c>
      <c r="N124" s="15" t="inlineStr"/>
    </row>
    <row r="125" ht="22" customHeight="1">
      <c r="B125" s="11" t="n">
        <v>45746</v>
      </c>
      <c r="C125" s="12" t="inlineStr">
        <is>
          <t>INV-0221</t>
        </is>
      </c>
      <c r="D125" s="12" t="inlineStr">
        <is>
          <t>Mouse Pad XL</t>
        </is>
      </c>
      <c r="E125" s="12" t="inlineStr">
        <is>
          <t>Peripherals</t>
        </is>
      </c>
      <c r="F125" s="12" t="n">
        <v>1</v>
      </c>
      <c r="G125" s="13" t="n">
        <v>40</v>
      </c>
      <c r="H125" s="13" t="n">
        <v>40</v>
      </c>
      <c r="I125" s="12" t="inlineStr">
        <is>
          <t>Card</t>
        </is>
      </c>
      <c r="J125" s="12" t="inlineStr">
        <is>
          <t>Maryam</t>
        </is>
      </c>
      <c r="K125" s="12" t="inlineStr">
        <is>
          <t>Omar Khalaf</t>
        </is>
      </c>
      <c r="L125" s="13" t="n">
        <v>0</v>
      </c>
      <c r="M125" s="13" t="n">
        <v>40</v>
      </c>
      <c r="N125" s="12" t="inlineStr"/>
    </row>
    <row r="126" ht="22" customHeight="1">
      <c r="B126" s="14" t="n">
        <v>45746</v>
      </c>
      <c r="C126" s="15" t="inlineStr">
        <is>
          <t>INV-0222</t>
        </is>
      </c>
      <c r="D126" s="15" t="inlineStr">
        <is>
          <t>Fitness Band</t>
        </is>
      </c>
      <c r="E126" s="15" t="inlineStr">
        <is>
          <t>Wearables</t>
        </is>
      </c>
      <c r="F126" s="15" t="n">
        <v>1</v>
      </c>
      <c r="G126" s="16" t="n">
        <v>180</v>
      </c>
      <c r="H126" s="16" t="n">
        <v>180</v>
      </c>
      <c r="I126" s="15" t="inlineStr">
        <is>
          <t>Cash</t>
        </is>
      </c>
      <c r="J126" s="15" t="inlineStr">
        <is>
          <t>Omar</t>
        </is>
      </c>
      <c r="K126" s="15" t="inlineStr">
        <is>
          <t>Walk-in</t>
        </is>
      </c>
      <c r="L126" s="16" t="n">
        <v>0</v>
      </c>
      <c r="M126" s="16" t="n">
        <v>180</v>
      </c>
      <c r="N126" s="15" t="inlineStr"/>
    </row>
    <row r="127" ht="22" customHeight="1">
      <c r="B127" s="11" t="n">
        <v>45746</v>
      </c>
      <c r="C127" s="12" t="inlineStr">
        <is>
          <t>INV-0223</t>
        </is>
      </c>
      <c r="D127" s="12" t="inlineStr">
        <is>
          <t>USB Flash Drive</t>
        </is>
      </c>
      <c r="E127" s="12" t="inlineStr">
        <is>
          <t>Storage</t>
        </is>
      </c>
      <c r="F127" s="12" t="n">
        <v>4</v>
      </c>
      <c r="G127" s="13" t="n">
        <v>30</v>
      </c>
      <c r="H127" s="13" t="n">
        <v>120</v>
      </c>
      <c r="I127" s="12" t="inlineStr">
        <is>
          <t>Cash</t>
        </is>
      </c>
      <c r="J127" s="12" t="inlineStr">
        <is>
          <t>Maryam</t>
        </is>
      </c>
      <c r="K127" s="12" t="inlineStr">
        <is>
          <t>Mariam Al Shamsi</t>
        </is>
      </c>
      <c r="L127" s="13" t="n">
        <v>0</v>
      </c>
      <c r="M127" s="13" t="n">
        <v>120</v>
      </c>
      <c r="N127" s="12" t="inlineStr"/>
    </row>
    <row r="128" ht="22" customHeight="1">
      <c r="B128" s="14" t="n">
        <v>45747</v>
      </c>
      <c r="C128" s="15" t="inlineStr">
        <is>
          <t>INV-0224</t>
        </is>
      </c>
      <c r="D128" s="15" t="inlineStr">
        <is>
          <t>Ring Light</t>
        </is>
      </c>
      <c r="E128" s="15" t="inlineStr">
        <is>
          <t>Accessories</t>
        </is>
      </c>
      <c r="F128" s="15" t="n">
        <v>4</v>
      </c>
      <c r="G128" s="16" t="n">
        <v>120</v>
      </c>
      <c r="H128" s="16" t="n">
        <v>480</v>
      </c>
      <c r="I128" s="15" t="inlineStr">
        <is>
          <t>Card</t>
        </is>
      </c>
      <c r="J128" s="15" t="inlineStr">
        <is>
          <t>Khalid</t>
        </is>
      </c>
      <c r="K128" s="15" t="inlineStr">
        <is>
          <t>Aisha Al Maktoum</t>
        </is>
      </c>
      <c r="L128" s="16" t="n">
        <v>0</v>
      </c>
      <c r="M128" s="16" t="n">
        <v>480</v>
      </c>
      <c r="N128" s="15" t="inlineStr"/>
    </row>
    <row r="129" ht="22" customHeight="1">
      <c r="B129" s="11" t="n">
        <v>45747</v>
      </c>
      <c r="C129" s="12" t="inlineStr">
        <is>
          <t>INV-0225</t>
        </is>
      </c>
      <c r="D129" s="12" t="inlineStr">
        <is>
          <t>Webcam</t>
        </is>
      </c>
      <c r="E129" s="12" t="inlineStr">
        <is>
          <t>Peripherals</t>
        </is>
      </c>
      <c r="F129" s="12" t="n">
        <v>3</v>
      </c>
      <c r="G129" s="13" t="n">
        <v>180</v>
      </c>
      <c r="H129" s="13" t="n">
        <v>540</v>
      </c>
      <c r="I129" s="12" t="inlineStr">
        <is>
          <t>Cash</t>
        </is>
      </c>
      <c r="J129" s="12" t="inlineStr">
        <is>
          <t>Fatima</t>
        </is>
      </c>
      <c r="K129" s="12" t="inlineStr">
        <is>
          <t>Walk-in</t>
        </is>
      </c>
      <c r="L129" s="13" t="n">
        <v>0</v>
      </c>
      <c r="M129" s="13" t="n">
        <v>540</v>
      </c>
      <c r="N129" s="12" t="inlineStr"/>
    </row>
    <row r="130" ht="22" customHeight="1">
      <c r="B130" s="14" t="n">
        <v>45747</v>
      </c>
      <c r="C130" s="15" t="inlineStr">
        <is>
          <t>INV-0226</t>
        </is>
      </c>
      <c r="D130" s="15" t="inlineStr">
        <is>
          <t>USB Cable</t>
        </is>
      </c>
      <c r="E130" s="15" t="inlineStr">
        <is>
          <t>Accessories</t>
        </is>
      </c>
      <c r="F130" s="15" t="n">
        <v>3</v>
      </c>
      <c r="G130" s="16" t="n">
        <v>25</v>
      </c>
      <c r="H130" s="16" t="n">
        <v>75</v>
      </c>
      <c r="I130" s="15" t="inlineStr">
        <is>
          <t>Card</t>
        </is>
      </c>
      <c r="J130" s="15" t="inlineStr">
        <is>
          <t>Fatima</t>
        </is>
      </c>
      <c r="K130" s="15" t="inlineStr">
        <is>
          <t>Amna Al Otaiba</t>
        </is>
      </c>
      <c r="L130" s="16" t="n">
        <v>0</v>
      </c>
      <c r="M130" s="16" t="n">
        <v>75</v>
      </c>
      <c r="N130" s="15" t="inlineStr"/>
    </row>
    <row r="131" ht="22" customHeight="1">
      <c r="B131" s="11" t="n">
        <v>45747</v>
      </c>
      <c r="C131" s="12" t="inlineStr">
        <is>
          <t>INV-0227</t>
        </is>
      </c>
      <c r="D131" s="12" t="inlineStr">
        <is>
          <t>Adapter Plug</t>
        </is>
      </c>
      <c r="E131" s="12" t="inlineStr">
        <is>
          <t>Accessories</t>
        </is>
      </c>
      <c r="F131" s="12" t="n">
        <v>3</v>
      </c>
      <c r="G131" s="13" t="n">
        <v>20</v>
      </c>
      <c r="H131" s="13" t="n">
        <v>60</v>
      </c>
      <c r="I131" s="12" t="inlineStr">
        <is>
          <t>Cash</t>
        </is>
      </c>
      <c r="J131" s="12" t="inlineStr">
        <is>
          <t>Khalid</t>
        </is>
      </c>
      <c r="K131" s="12" t="inlineStr">
        <is>
          <t>Salma Al Tamimi</t>
        </is>
      </c>
      <c r="L131" s="13" t="n">
        <v>0</v>
      </c>
      <c r="M131" s="13" t="n">
        <v>60</v>
      </c>
      <c r="N131" s="12" t="inlineStr"/>
    </row>
    <row r="132" ht="26" customHeight="1">
      <c r="B132" s="17" t="inlineStr">
        <is>
          <t>TOTALS</t>
        </is>
      </c>
      <c r="C132" s="17" t="n"/>
      <c r="D132" s="17" t="n"/>
      <c r="E132" s="17" t="n"/>
      <c r="F132" s="18">
        <f>SUM(F5:F131)</f>
        <v/>
      </c>
      <c r="G132" s="17" t="n"/>
      <c r="H132" s="19">
        <f>SUM(H5:H131)</f>
        <v/>
      </c>
      <c r="I132" s="17" t="n"/>
      <c r="J132" s="17" t="n"/>
      <c r="K132" s="17" t="n"/>
      <c r="L132" s="19">
        <f>SUM(L5:L131)</f>
        <v/>
      </c>
      <c r="M132" s="19">
        <f>SUM(M5:M131)</f>
        <v/>
      </c>
      <c r="N132" s="17" t="n"/>
    </row>
    <row r="134">
      <c r="B134" s="2" t="inlineStr">
        <is>
          <t>Total Transactions: 127 | March 2025 | TechZone Electronics</t>
        </is>
      </c>
    </row>
  </sheetData>
  <mergeCells count="1"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B2A"/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  <col width="14" customWidth="1" min="10" max="10"/>
    <col width="20" customWidth="1" min="11" max="11"/>
  </cols>
  <sheetData>
    <row r="1" ht="15" customHeight="1"/>
    <row r="2" ht="32" customHeight="1">
      <c r="B2" s="9" t="inlineStr">
        <is>
          <t>Daily Summary — March 2025</t>
        </is>
      </c>
    </row>
    <row r="3" ht="8" customHeight="1"/>
    <row r="4" ht="28" customHeight="1">
      <c r="B4" s="10" t="inlineStr">
        <is>
          <t>Date</t>
        </is>
      </c>
      <c r="C4" s="10" t="inlineStr">
        <is>
          <t>Total Sales</t>
        </is>
      </c>
      <c r="D4" s="10" t="inlineStr">
        <is>
          <t># Transactions</t>
        </is>
      </c>
      <c r="E4" s="10" t="inlineStr">
        <is>
          <t>Avg Transaction</t>
        </is>
      </c>
      <c r="F4" s="10" t="inlineStr">
        <is>
          <t>Cash</t>
        </is>
      </c>
      <c r="G4" s="10" t="inlineStr">
        <is>
          <t>Card</t>
        </is>
      </c>
      <c r="H4" s="10" t="inlineStr">
        <is>
          <t>Online</t>
        </is>
      </c>
      <c r="I4" s="10" t="inlineStr">
        <is>
          <t>Bank Transfer</t>
        </is>
      </c>
      <c r="J4" s="10" t="inlineStr">
        <is>
          <t># Items Sold</t>
        </is>
      </c>
      <c r="K4" s="10" t="inlineStr">
        <is>
          <t>Total Discount Given</t>
        </is>
      </c>
    </row>
    <row r="5" ht="22" customHeight="1">
      <c r="B5" s="11" t="n">
        <v>45717</v>
      </c>
      <c r="C5" s="13">
        <f>SUMPRODUCT(('Sales Entry'!B5:B131=B5)*('Sales Entry'!M5:M131))</f>
        <v/>
      </c>
      <c r="D5" s="20">
        <f>SUMPRODUCT(('Sales Entry'!B5:B131=B5)*1)</f>
        <v/>
      </c>
      <c r="E5" s="13">
        <f>IFERROR(C5/D5,0)</f>
        <v/>
      </c>
      <c r="F5" s="13">
        <f>SUMPRODUCT(('Sales Entry'!B5:B131=B5)*('Sales Entry'!I5:I131="Cash")*('Sales Entry'!M5:M131))</f>
        <v/>
      </c>
      <c r="G5" s="13">
        <f>SUMPRODUCT(('Sales Entry'!B5:B131=B5)*('Sales Entry'!I5:I131="Card")*('Sales Entry'!M5:M131))</f>
        <v/>
      </c>
      <c r="H5" s="13">
        <f>SUMPRODUCT(('Sales Entry'!B5:B131=B5)*('Sales Entry'!I5:I131="Online")*('Sales Entry'!M5:M131))</f>
        <v/>
      </c>
      <c r="I5" s="13">
        <f>SUMPRODUCT(('Sales Entry'!B5:B131=B5)*('Sales Entry'!I5:I131="Bank Transfer")*('Sales Entry'!M5:M131))</f>
        <v/>
      </c>
      <c r="J5" s="20">
        <f>SUMPRODUCT(('Sales Entry'!B5:B131=B5)*('Sales Entry'!F5:F131))</f>
        <v/>
      </c>
      <c r="K5" s="13">
        <f>SUMPRODUCT(('Sales Entry'!B5:B131=B5)*('Sales Entry'!L5:L131))</f>
        <v/>
      </c>
    </row>
    <row r="6" ht="22" customHeight="1">
      <c r="B6" s="14" t="n">
        <v>45718</v>
      </c>
      <c r="C6" s="16">
        <f>SUMPRODUCT(('Sales Entry'!B5:B131=B6)*('Sales Entry'!M5:M131))</f>
        <v/>
      </c>
      <c r="D6" s="21">
        <f>SUMPRODUCT(('Sales Entry'!B5:B131=B6)*1)</f>
        <v/>
      </c>
      <c r="E6" s="16">
        <f>IFERROR(C6/D6,0)</f>
        <v/>
      </c>
      <c r="F6" s="16">
        <f>SUMPRODUCT(('Sales Entry'!B5:B131=B6)*('Sales Entry'!I5:I131="Cash")*('Sales Entry'!M5:M131))</f>
        <v/>
      </c>
      <c r="G6" s="16">
        <f>SUMPRODUCT(('Sales Entry'!B5:B131=B6)*('Sales Entry'!I5:I131="Card")*('Sales Entry'!M5:M131))</f>
        <v/>
      </c>
      <c r="H6" s="16">
        <f>SUMPRODUCT(('Sales Entry'!B5:B131=B6)*('Sales Entry'!I5:I131="Online")*('Sales Entry'!M5:M131))</f>
        <v/>
      </c>
      <c r="I6" s="16">
        <f>SUMPRODUCT(('Sales Entry'!B5:B131=B6)*('Sales Entry'!I5:I131="Bank Transfer")*('Sales Entry'!M5:M131))</f>
        <v/>
      </c>
      <c r="J6" s="21">
        <f>SUMPRODUCT(('Sales Entry'!B5:B131=B6)*('Sales Entry'!F5:F131))</f>
        <v/>
      </c>
      <c r="K6" s="16">
        <f>SUMPRODUCT(('Sales Entry'!B5:B131=B6)*('Sales Entry'!L5:L131))</f>
        <v/>
      </c>
    </row>
    <row r="7" ht="22" customHeight="1">
      <c r="B7" s="11" t="n">
        <v>45719</v>
      </c>
      <c r="C7" s="13">
        <f>SUMPRODUCT(('Sales Entry'!B5:B131=B7)*('Sales Entry'!M5:M131))</f>
        <v/>
      </c>
      <c r="D7" s="20">
        <f>SUMPRODUCT(('Sales Entry'!B5:B131=B7)*1)</f>
        <v/>
      </c>
      <c r="E7" s="13">
        <f>IFERROR(C7/D7,0)</f>
        <v/>
      </c>
      <c r="F7" s="13">
        <f>SUMPRODUCT(('Sales Entry'!B5:B131=B7)*('Sales Entry'!I5:I131="Cash")*('Sales Entry'!M5:M131))</f>
        <v/>
      </c>
      <c r="G7" s="13">
        <f>SUMPRODUCT(('Sales Entry'!B5:B131=B7)*('Sales Entry'!I5:I131="Card")*('Sales Entry'!M5:M131))</f>
        <v/>
      </c>
      <c r="H7" s="13">
        <f>SUMPRODUCT(('Sales Entry'!B5:B131=B7)*('Sales Entry'!I5:I131="Online")*('Sales Entry'!M5:M131))</f>
        <v/>
      </c>
      <c r="I7" s="13">
        <f>SUMPRODUCT(('Sales Entry'!B5:B131=B7)*('Sales Entry'!I5:I131="Bank Transfer")*('Sales Entry'!M5:M131))</f>
        <v/>
      </c>
      <c r="J7" s="20">
        <f>SUMPRODUCT(('Sales Entry'!B5:B131=B7)*('Sales Entry'!F5:F131))</f>
        <v/>
      </c>
      <c r="K7" s="13">
        <f>SUMPRODUCT(('Sales Entry'!B5:B131=B7)*('Sales Entry'!L5:L131))</f>
        <v/>
      </c>
    </row>
    <row r="8" ht="22" customHeight="1">
      <c r="B8" s="14" t="n">
        <v>45720</v>
      </c>
      <c r="C8" s="16">
        <f>SUMPRODUCT(('Sales Entry'!B5:B131=B8)*('Sales Entry'!M5:M131))</f>
        <v/>
      </c>
      <c r="D8" s="21">
        <f>SUMPRODUCT(('Sales Entry'!B5:B131=B8)*1)</f>
        <v/>
      </c>
      <c r="E8" s="16">
        <f>IFERROR(C8/D8,0)</f>
        <v/>
      </c>
      <c r="F8" s="16">
        <f>SUMPRODUCT(('Sales Entry'!B5:B131=B8)*('Sales Entry'!I5:I131="Cash")*('Sales Entry'!M5:M131))</f>
        <v/>
      </c>
      <c r="G8" s="16">
        <f>SUMPRODUCT(('Sales Entry'!B5:B131=B8)*('Sales Entry'!I5:I131="Card")*('Sales Entry'!M5:M131))</f>
        <v/>
      </c>
      <c r="H8" s="16">
        <f>SUMPRODUCT(('Sales Entry'!B5:B131=B8)*('Sales Entry'!I5:I131="Online")*('Sales Entry'!M5:M131))</f>
        <v/>
      </c>
      <c r="I8" s="16">
        <f>SUMPRODUCT(('Sales Entry'!B5:B131=B8)*('Sales Entry'!I5:I131="Bank Transfer")*('Sales Entry'!M5:M131))</f>
        <v/>
      </c>
      <c r="J8" s="21">
        <f>SUMPRODUCT(('Sales Entry'!B5:B131=B8)*('Sales Entry'!F5:F131))</f>
        <v/>
      </c>
      <c r="K8" s="16">
        <f>SUMPRODUCT(('Sales Entry'!B5:B131=B8)*('Sales Entry'!L5:L131))</f>
        <v/>
      </c>
    </row>
    <row r="9" ht="22" customHeight="1">
      <c r="B9" s="11" t="n">
        <v>45721</v>
      </c>
      <c r="C9" s="13">
        <f>SUMPRODUCT(('Sales Entry'!B5:B131=B9)*('Sales Entry'!M5:M131))</f>
        <v/>
      </c>
      <c r="D9" s="20">
        <f>SUMPRODUCT(('Sales Entry'!B5:B131=B9)*1)</f>
        <v/>
      </c>
      <c r="E9" s="13">
        <f>IFERROR(C9/D9,0)</f>
        <v/>
      </c>
      <c r="F9" s="13">
        <f>SUMPRODUCT(('Sales Entry'!B5:B131=B9)*('Sales Entry'!I5:I131="Cash")*('Sales Entry'!M5:M131))</f>
        <v/>
      </c>
      <c r="G9" s="13">
        <f>SUMPRODUCT(('Sales Entry'!B5:B131=B9)*('Sales Entry'!I5:I131="Card")*('Sales Entry'!M5:M131))</f>
        <v/>
      </c>
      <c r="H9" s="13">
        <f>SUMPRODUCT(('Sales Entry'!B5:B131=B9)*('Sales Entry'!I5:I131="Online")*('Sales Entry'!M5:M131))</f>
        <v/>
      </c>
      <c r="I9" s="13">
        <f>SUMPRODUCT(('Sales Entry'!B5:B131=B9)*('Sales Entry'!I5:I131="Bank Transfer")*('Sales Entry'!M5:M131))</f>
        <v/>
      </c>
      <c r="J9" s="20">
        <f>SUMPRODUCT(('Sales Entry'!B5:B131=B9)*('Sales Entry'!F5:F131))</f>
        <v/>
      </c>
      <c r="K9" s="13">
        <f>SUMPRODUCT(('Sales Entry'!B5:B131=B9)*('Sales Entry'!L5:L131))</f>
        <v/>
      </c>
    </row>
    <row r="10" ht="22" customHeight="1">
      <c r="B10" s="14" t="n">
        <v>45722</v>
      </c>
      <c r="C10" s="16">
        <f>SUMPRODUCT(('Sales Entry'!B5:B131=B10)*('Sales Entry'!M5:M131))</f>
        <v/>
      </c>
      <c r="D10" s="21">
        <f>SUMPRODUCT(('Sales Entry'!B5:B131=B10)*1)</f>
        <v/>
      </c>
      <c r="E10" s="16">
        <f>IFERROR(C10/D10,0)</f>
        <v/>
      </c>
      <c r="F10" s="16">
        <f>SUMPRODUCT(('Sales Entry'!B5:B131=B10)*('Sales Entry'!I5:I131="Cash")*('Sales Entry'!M5:M131))</f>
        <v/>
      </c>
      <c r="G10" s="16">
        <f>SUMPRODUCT(('Sales Entry'!B5:B131=B10)*('Sales Entry'!I5:I131="Card")*('Sales Entry'!M5:M131))</f>
        <v/>
      </c>
      <c r="H10" s="16">
        <f>SUMPRODUCT(('Sales Entry'!B5:B131=B10)*('Sales Entry'!I5:I131="Online")*('Sales Entry'!M5:M131))</f>
        <v/>
      </c>
      <c r="I10" s="16">
        <f>SUMPRODUCT(('Sales Entry'!B5:B131=B10)*('Sales Entry'!I5:I131="Bank Transfer")*('Sales Entry'!M5:M131))</f>
        <v/>
      </c>
      <c r="J10" s="21">
        <f>SUMPRODUCT(('Sales Entry'!B5:B131=B10)*('Sales Entry'!F5:F131))</f>
        <v/>
      </c>
      <c r="K10" s="16">
        <f>SUMPRODUCT(('Sales Entry'!B5:B131=B10)*('Sales Entry'!L5:L131))</f>
        <v/>
      </c>
    </row>
    <row r="11" ht="22" customHeight="1">
      <c r="B11" s="11" t="n">
        <v>45723</v>
      </c>
      <c r="C11" s="13">
        <f>SUMPRODUCT(('Sales Entry'!B5:B131=B11)*('Sales Entry'!M5:M131))</f>
        <v/>
      </c>
      <c r="D11" s="20">
        <f>SUMPRODUCT(('Sales Entry'!B5:B131=B11)*1)</f>
        <v/>
      </c>
      <c r="E11" s="13">
        <f>IFERROR(C11/D11,0)</f>
        <v/>
      </c>
      <c r="F11" s="13">
        <f>SUMPRODUCT(('Sales Entry'!B5:B131=B11)*('Sales Entry'!I5:I131="Cash")*('Sales Entry'!M5:M131))</f>
        <v/>
      </c>
      <c r="G11" s="13">
        <f>SUMPRODUCT(('Sales Entry'!B5:B131=B11)*('Sales Entry'!I5:I131="Card")*('Sales Entry'!M5:M131))</f>
        <v/>
      </c>
      <c r="H11" s="13">
        <f>SUMPRODUCT(('Sales Entry'!B5:B131=B11)*('Sales Entry'!I5:I131="Online")*('Sales Entry'!M5:M131))</f>
        <v/>
      </c>
      <c r="I11" s="13">
        <f>SUMPRODUCT(('Sales Entry'!B5:B131=B11)*('Sales Entry'!I5:I131="Bank Transfer")*('Sales Entry'!M5:M131))</f>
        <v/>
      </c>
      <c r="J11" s="20">
        <f>SUMPRODUCT(('Sales Entry'!B5:B131=B11)*('Sales Entry'!F5:F131))</f>
        <v/>
      </c>
      <c r="K11" s="13">
        <f>SUMPRODUCT(('Sales Entry'!B5:B131=B11)*('Sales Entry'!L5:L131))</f>
        <v/>
      </c>
    </row>
    <row r="12" ht="22" customHeight="1">
      <c r="B12" s="14" t="n">
        <v>45724</v>
      </c>
      <c r="C12" s="16">
        <f>SUMPRODUCT(('Sales Entry'!B5:B131=B12)*('Sales Entry'!M5:M131))</f>
        <v/>
      </c>
      <c r="D12" s="21">
        <f>SUMPRODUCT(('Sales Entry'!B5:B131=B12)*1)</f>
        <v/>
      </c>
      <c r="E12" s="16">
        <f>IFERROR(C12/D12,0)</f>
        <v/>
      </c>
      <c r="F12" s="16">
        <f>SUMPRODUCT(('Sales Entry'!B5:B131=B12)*('Sales Entry'!I5:I131="Cash")*('Sales Entry'!M5:M131))</f>
        <v/>
      </c>
      <c r="G12" s="16">
        <f>SUMPRODUCT(('Sales Entry'!B5:B131=B12)*('Sales Entry'!I5:I131="Card")*('Sales Entry'!M5:M131))</f>
        <v/>
      </c>
      <c r="H12" s="16">
        <f>SUMPRODUCT(('Sales Entry'!B5:B131=B12)*('Sales Entry'!I5:I131="Online")*('Sales Entry'!M5:M131))</f>
        <v/>
      </c>
      <c r="I12" s="16">
        <f>SUMPRODUCT(('Sales Entry'!B5:B131=B12)*('Sales Entry'!I5:I131="Bank Transfer")*('Sales Entry'!M5:M131))</f>
        <v/>
      </c>
      <c r="J12" s="21">
        <f>SUMPRODUCT(('Sales Entry'!B5:B131=B12)*('Sales Entry'!F5:F131))</f>
        <v/>
      </c>
      <c r="K12" s="16">
        <f>SUMPRODUCT(('Sales Entry'!B5:B131=B12)*('Sales Entry'!L5:L131))</f>
        <v/>
      </c>
    </row>
    <row r="13" ht="22" customHeight="1">
      <c r="B13" s="11" t="n">
        <v>45725</v>
      </c>
      <c r="C13" s="13">
        <f>SUMPRODUCT(('Sales Entry'!B5:B131=B13)*('Sales Entry'!M5:M131))</f>
        <v/>
      </c>
      <c r="D13" s="20">
        <f>SUMPRODUCT(('Sales Entry'!B5:B131=B13)*1)</f>
        <v/>
      </c>
      <c r="E13" s="13">
        <f>IFERROR(C13/D13,0)</f>
        <v/>
      </c>
      <c r="F13" s="13">
        <f>SUMPRODUCT(('Sales Entry'!B5:B131=B13)*('Sales Entry'!I5:I131="Cash")*('Sales Entry'!M5:M131))</f>
        <v/>
      </c>
      <c r="G13" s="13">
        <f>SUMPRODUCT(('Sales Entry'!B5:B131=B13)*('Sales Entry'!I5:I131="Card")*('Sales Entry'!M5:M131))</f>
        <v/>
      </c>
      <c r="H13" s="13">
        <f>SUMPRODUCT(('Sales Entry'!B5:B131=B13)*('Sales Entry'!I5:I131="Online")*('Sales Entry'!M5:M131))</f>
        <v/>
      </c>
      <c r="I13" s="13">
        <f>SUMPRODUCT(('Sales Entry'!B5:B131=B13)*('Sales Entry'!I5:I131="Bank Transfer")*('Sales Entry'!M5:M131))</f>
        <v/>
      </c>
      <c r="J13" s="20">
        <f>SUMPRODUCT(('Sales Entry'!B5:B131=B13)*('Sales Entry'!F5:F131))</f>
        <v/>
      </c>
      <c r="K13" s="13">
        <f>SUMPRODUCT(('Sales Entry'!B5:B131=B13)*('Sales Entry'!L5:L131))</f>
        <v/>
      </c>
    </row>
    <row r="14" ht="22" customHeight="1">
      <c r="B14" s="14" t="n">
        <v>45726</v>
      </c>
      <c r="C14" s="16">
        <f>SUMPRODUCT(('Sales Entry'!B5:B131=B14)*('Sales Entry'!M5:M131))</f>
        <v/>
      </c>
      <c r="D14" s="21">
        <f>SUMPRODUCT(('Sales Entry'!B5:B131=B14)*1)</f>
        <v/>
      </c>
      <c r="E14" s="16">
        <f>IFERROR(C14/D14,0)</f>
        <v/>
      </c>
      <c r="F14" s="16">
        <f>SUMPRODUCT(('Sales Entry'!B5:B131=B14)*('Sales Entry'!I5:I131="Cash")*('Sales Entry'!M5:M131))</f>
        <v/>
      </c>
      <c r="G14" s="16">
        <f>SUMPRODUCT(('Sales Entry'!B5:B131=B14)*('Sales Entry'!I5:I131="Card")*('Sales Entry'!M5:M131))</f>
        <v/>
      </c>
      <c r="H14" s="16">
        <f>SUMPRODUCT(('Sales Entry'!B5:B131=B14)*('Sales Entry'!I5:I131="Online")*('Sales Entry'!M5:M131))</f>
        <v/>
      </c>
      <c r="I14" s="16">
        <f>SUMPRODUCT(('Sales Entry'!B5:B131=B14)*('Sales Entry'!I5:I131="Bank Transfer")*('Sales Entry'!M5:M131))</f>
        <v/>
      </c>
      <c r="J14" s="21">
        <f>SUMPRODUCT(('Sales Entry'!B5:B131=B14)*('Sales Entry'!F5:F131))</f>
        <v/>
      </c>
      <c r="K14" s="16">
        <f>SUMPRODUCT(('Sales Entry'!B5:B131=B14)*('Sales Entry'!L5:L131))</f>
        <v/>
      </c>
    </row>
    <row r="15" ht="22" customHeight="1">
      <c r="B15" s="11" t="n">
        <v>45727</v>
      </c>
      <c r="C15" s="13">
        <f>SUMPRODUCT(('Sales Entry'!B5:B131=B15)*('Sales Entry'!M5:M131))</f>
        <v/>
      </c>
      <c r="D15" s="20">
        <f>SUMPRODUCT(('Sales Entry'!B5:B131=B15)*1)</f>
        <v/>
      </c>
      <c r="E15" s="13">
        <f>IFERROR(C15/D15,0)</f>
        <v/>
      </c>
      <c r="F15" s="13">
        <f>SUMPRODUCT(('Sales Entry'!B5:B131=B15)*('Sales Entry'!I5:I131="Cash")*('Sales Entry'!M5:M131))</f>
        <v/>
      </c>
      <c r="G15" s="13">
        <f>SUMPRODUCT(('Sales Entry'!B5:B131=B15)*('Sales Entry'!I5:I131="Card")*('Sales Entry'!M5:M131))</f>
        <v/>
      </c>
      <c r="H15" s="13">
        <f>SUMPRODUCT(('Sales Entry'!B5:B131=B15)*('Sales Entry'!I5:I131="Online")*('Sales Entry'!M5:M131))</f>
        <v/>
      </c>
      <c r="I15" s="13">
        <f>SUMPRODUCT(('Sales Entry'!B5:B131=B15)*('Sales Entry'!I5:I131="Bank Transfer")*('Sales Entry'!M5:M131))</f>
        <v/>
      </c>
      <c r="J15" s="20">
        <f>SUMPRODUCT(('Sales Entry'!B5:B131=B15)*('Sales Entry'!F5:F131))</f>
        <v/>
      </c>
      <c r="K15" s="13">
        <f>SUMPRODUCT(('Sales Entry'!B5:B131=B15)*('Sales Entry'!L5:L131))</f>
        <v/>
      </c>
    </row>
    <row r="16" ht="22" customHeight="1">
      <c r="B16" s="14" t="n">
        <v>45728</v>
      </c>
      <c r="C16" s="16">
        <f>SUMPRODUCT(('Sales Entry'!B5:B131=B16)*('Sales Entry'!M5:M131))</f>
        <v/>
      </c>
      <c r="D16" s="21">
        <f>SUMPRODUCT(('Sales Entry'!B5:B131=B16)*1)</f>
        <v/>
      </c>
      <c r="E16" s="16">
        <f>IFERROR(C16/D16,0)</f>
        <v/>
      </c>
      <c r="F16" s="16">
        <f>SUMPRODUCT(('Sales Entry'!B5:B131=B16)*('Sales Entry'!I5:I131="Cash")*('Sales Entry'!M5:M131))</f>
        <v/>
      </c>
      <c r="G16" s="16">
        <f>SUMPRODUCT(('Sales Entry'!B5:B131=B16)*('Sales Entry'!I5:I131="Card")*('Sales Entry'!M5:M131))</f>
        <v/>
      </c>
      <c r="H16" s="16">
        <f>SUMPRODUCT(('Sales Entry'!B5:B131=B16)*('Sales Entry'!I5:I131="Online")*('Sales Entry'!M5:M131))</f>
        <v/>
      </c>
      <c r="I16" s="16">
        <f>SUMPRODUCT(('Sales Entry'!B5:B131=B16)*('Sales Entry'!I5:I131="Bank Transfer")*('Sales Entry'!M5:M131))</f>
        <v/>
      </c>
      <c r="J16" s="21">
        <f>SUMPRODUCT(('Sales Entry'!B5:B131=B16)*('Sales Entry'!F5:F131))</f>
        <v/>
      </c>
      <c r="K16" s="16">
        <f>SUMPRODUCT(('Sales Entry'!B5:B131=B16)*('Sales Entry'!L5:L131))</f>
        <v/>
      </c>
    </row>
    <row r="17" ht="22" customHeight="1">
      <c r="B17" s="11" t="n">
        <v>45729</v>
      </c>
      <c r="C17" s="13">
        <f>SUMPRODUCT(('Sales Entry'!B5:B131=B17)*('Sales Entry'!M5:M131))</f>
        <v/>
      </c>
      <c r="D17" s="20">
        <f>SUMPRODUCT(('Sales Entry'!B5:B131=B17)*1)</f>
        <v/>
      </c>
      <c r="E17" s="13">
        <f>IFERROR(C17/D17,0)</f>
        <v/>
      </c>
      <c r="F17" s="13">
        <f>SUMPRODUCT(('Sales Entry'!B5:B131=B17)*('Sales Entry'!I5:I131="Cash")*('Sales Entry'!M5:M131))</f>
        <v/>
      </c>
      <c r="G17" s="13">
        <f>SUMPRODUCT(('Sales Entry'!B5:B131=B17)*('Sales Entry'!I5:I131="Card")*('Sales Entry'!M5:M131))</f>
        <v/>
      </c>
      <c r="H17" s="13">
        <f>SUMPRODUCT(('Sales Entry'!B5:B131=B17)*('Sales Entry'!I5:I131="Online")*('Sales Entry'!M5:M131))</f>
        <v/>
      </c>
      <c r="I17" s="13">
        <f>SUMPRODUCT(('Sales Entry'!B5:B131=B17)*('Sales Entry'!I5:I131="Bank Transfer")*('Sales Entry'!M5:M131))</f>
        <v/>
      </c>
      <c r="J17" s="20">
        <f>SUMPRODUCT(('Sales Entry'!B5:B131=B17)*('Sales Entry'!F5:F131))</f>
        <v/>
      </c>
      <c r="K17" s="13">
        <f>SUMPRODUCT(('Sales Entry'!B5:B131=B17)*('Sales Entry'!L5:L131))</f>
        <v/>
      </c>
    </row>
    <row r="18" ht="22" customHeight="1">
      <c r="B18" s="14" t="n">
        <v>45730</v>
      </c>
      <c r="C18" s="16">
        <f>SUMPRODUCT(('Sales Entry'!B5:B131=B18)*('Sales Entry'!M5:M131))</f>
        <v/>
      </c>
      <c r="D18" s="21">
        <f>SUMPRODUCT(('Sales Entry'!B5:B131=B18)*1)</f>
        <v/>
      </c>
      <c r="E18" s="16">
        <f>IFERROR(C18/D18,0)</f>
        <v/>
      </c>
      <c r="F18" s="16">
        <f>SUMPRODUCT(('Sales Entry'!B5:B131=B18)*('Sales Entry'!I5:I131="Cash")*('Sales Entry'!M5:M131))</f>
        <v/>
      </c>
      <c r="G18" s="16">
        <f>SUMPRODUCT(('Sales Entry'!B5:B131=B18)*('Sales Entry'!I5:I131="Card")*('Sales Entry'!M5:M131))</f>
        <v/>
      </c>
      <c r="H18" s="16">
        <f>SUMPRODUCT(('Sales Entry'!B5:B131=B18)*('Sales Entry'!I5:I131="Online")*('Sales Entry'!M5:M131))</f>
        <v/>
      </c>
      <c r="I18" s="16">
        <f>SUMPRODUCT(('Sales Entry'!B5:B131=B18)*('Sales Entry'!I5:I131="Bank Transfer")*('Sales Entry'!M5:M131))</f>
        <v/>
      </c>
      <c r="J18" s="21">
        <f>SUMPRODUCT(('Sales Entry'!B5:B131=B18)*('Sales Entry'!F5:F131))</f>
        <v/>
      </c>
      <c r="K18" s="16">
        <f>SUMPRODUCT(('Sales Entry'!B5:B131=B18)*('Sales Entry'!L5:L131))</f>
        <v/>
      </c>
    </row>
    <row r="19" ht="22" customHeight="1">
      <c r="B19" s="11" t="n">
        <v>45731</v>
      </c>
      <c r="C19" s="13">
        <f>SUMPRODUCT(('Sales Entry'!B5:B131=B19)*('Sales Entry'!M5:M131))</f>
        <v/>
      </c>
      <c r="D19" s="20">
        <f>SUMPRODUCT(('Sales Entry'!B5:B131=B19)*1)</f>
        <v/>
      </c>
      <c r="E19" s="13">
        <f>IFERROR(C19/D19,0)</f>
        <v/>
      </c>
      <c r="F19" s="13">
        <f>SUMPRODUCT(('Sales Entry'!B5:B131=B19)*('Sales Entry'!I5:I131="Cash")*('Sales Entry'!M5:M131))</f>
        <v/>
      </c>
      <c r="G19" s="13">
        <f>SUMPRODUCT(('Sales Entry'!B5:B131=B19)*('Sales Entry'!I5:I131="Card")*('Sales Entry'!M5:M131))</f>
        <v/>
      </c>
      <c r="H19" s="13">
        <f>SUMPRODUCT(('Sales Entry'!B5:B131=B19)*('Sales Entry'!I5:I131="Online")*('Sales Entry'!M5:M131))</f>
        <v/>
      </c>
      <c r="I19" s="13">
        <f>SUMPRODUCT(('Sales Entry'!B5:B131=B19)*('Sales Entry'!I5:I131="Bank Transfer")*('Sales Entry'!M5:M131))</f>
        <v/>
      </c>
      <c r="J19" s="20">
        <f>SUMPRODUCT(('Sales Entry'!B5:B131=B19)*('Sales Entry'!F5:F131))</f>
        <v/>
      </c>
      <c r="K19" s="13">
        <f>SUMPRODUCT(('Sales Entry'!B5:B131=B19)*('Sales Entry'!L5:L131))</f>
        <v/>
      </c>
    </row>
    <row r="20" ht="22" customHeight="1">
      <c r="B20" s="14" t="n">
        <v>45732</v>
      </c>
      <c r="C20" s="16">
        <f>SUMPRODUCT(('Sales Entry'!B5:B131=B20)*('Sales Entry'!M5:M131))</f>
        <v/>
      </c>
      <c r="D20" s="21">
        <f>SUMPRODUCT(('Sales Entry'!B5:B131=B20)*1)</f>
        <v/>
      </c>
      <c r="E20" s="16">
        <f>IFERROR(C20/D20,0)</f>
        <v/>
      </c>
      <c r="F20" s="16">
        <f>SUMPRODUCT(('Sales Entry'!B5:B131=B20)*('Sales Entry'!I5:I131="Cash")*('Sales Entry'!M5:M131))</f>
        <v/>
      </c>
      <c r="G20" s="16">
        <f>SUMPRODUCT(('Sales Entry'!B5:B131=B20)*('Sales Entry'!I5:I131="Card")*('Sales Entry'!M5:M131))</f>
        <v/>
      </c>
      <c r="H20" s="16">
        <f>SUMPRODUCT(('Sales Entry'!B5:B131=B20)*('Sales Entry'!I5:I131="Online")*('Sales Entry'!M5:M131))</f>
        <v/>
      </c>
      <c r="I20" s="16">
        <f>SUMPRODUCT(('Sales Entry'!B5:B131=B20)*('Sales Entry'!I5:I131="Bank Transfer")*('Sales Entry'!M5:M131))</f>
        <v/>
      </c>
      <c r="J20" s="21">
        <f>SUMPRODUCT(('Sales Entry'!B5:B131=B20)*('Sales Entry'!F5:F131))</f>
        <v/>
      </c>
      <c r="K20" s="16">
        <f>SUMPRODUCT(('Sales Entry'!B5:B131=B20)*('Sales Entry'!L5:L131))</f>
        <v/>
      </c>
    </row>
    <row r="21" ht="22" customHeight="1">
      <c r="B21" s="11" t="n">
        <v>45733</v>
      </c>
      <c r="C21" s="13">
        <f>SUMPRODUCT(('Sales Entry'!B5:B131=B21)*('Sales Entry'!M5:M131))</f>
        <v/>
      </c>
      <c r="D21" s="20">
        <f>SUMPRODUCT(('Sales Entry'!B5:B131=B21)*1)</f>
        <v/>
      </c>
      <c r="E21" s="13">
        <f>IFERROR(C21/D21,0)</f>
        <v/>
      </c>
      <c r="F21" s="13">
        <f>SUMPRODUCT(('Sales Entry'!B5:B131=B21)*('Sales Entry'!I5:I131="Cash")*('Sales Entry'!M5:M131))</f>
        <v/>
      </c>
      <c r="G21" s="13">
        <f>SUMPRODUCT(('Sales Entry'!B5:B131=B21)*('Sales Entry'!I5:I131="Card")*('Sales Entry'!M5:M131))</f>
        <v/>
      </c>
      <c r="H21" s="13">
        <f>SUMPRODUCT(('Sales Entry'!B5:B131=B21)*('Sales Entry'!I5:I131="Online")*('Sales Entry'!M5:M131))</f>
        <v/>
      </c>
      <c r="I21" s="13">
        <f>SUMPRODUCT(('Sales Entry'!B5:B131=B21)*('Sales Entry'!I5:I131="Bank Transfer")*('Sales Entry'!M5:M131))</f>
        <v/>
      </c>
      <c r="J21" s="20">
        <f>SUMPRODUCT(('Sales Entry'!B5:B131=B21)*('Sales Entry'!F5:F131))</f>
        <v/>
      </c>
      <c r="K21" s="13">
        <f>SUMPRODUCT(('Sales Entry'!B5:B131=B21)*('Sales Entry'!L5:L131))</f>
        <v/>
      </c>
    </row>
    <row r="22" ht="22" customHeight="1">
      <c r="B22" s="14" t="n">
        <v>45734</v>
      </c>
      <c r="C22" s="16">
        <f>SUMPRODUCT(('Sales Entry'!B5:B131=B22)*('Sales Entry'!M5:M131))</f>
        <v/>
      </c>
      <c r="D22" s="21">
        <f>SUMPRODUCT(('Sales Entry'!B5:B131=B22)*1)</f>
        <v/>
      </c>
      <c r="E22" s="16">
        <f>IFERROR(C22/D22,0)</f>
        <v/>
      </c>
      <c r="F22" s="16">
        <f>SUMPRODUCT(('Sales Entry'!B5:B131=B22)*('Sales Entry'!I5:I131="Cash")*('Sales Entry'!M5:M131))</f>
        <v/>
      </c>
      <c r="G22" s="16">
        <f>SUMPRODUCT(('Sales Entry'!B5:B131=B22)*('Sales Entry'!I5:I131="Card")*('Sales Entry'!M5:M131))</f>
        <v/>
      </c>
      <c r="H22" s="16">
        <f>SUMPRODUCT(('Sales Entry'!B5:B131=B22)*('Sales Entry'!I5:I131="Online")*('Sales Entry'!M5:M131))</f>
        <v/>
      </c>
      <c r="I22" s="16">
        <f>SUMPRODUCT(('Sales Entry'!B5:B131=B22)*('Sales Entry'!I5:I131="Bank Transfer")*('Sales Entry'!M5:M131))</f>
        <v/>
      </c>
      <c r="J22" s="21">
        <f>SUMPRODUCT(('Sales Entry'!B5:B131=B22)*('Sales Entry'!F5:F131))</f>
        <v/>
      </c>
      <c r="K22" s="16">
        <f>SUMPRODUCT(('Sales Entry'!B5:B131=B22)*('Sales Entry'!L5:L131))</f>
        <v/>
      </c>
    </row>
    <row r="23" ht="22" customHeight="1">
      <c r="B23" s="11" t="n">
        <v>45735</v>
      </c>
      <c r="C23" s="13">
        <f>SUMPRODUCT(('Sales Entry'!B5:B131=B23)*('Sales Entry'!M5:M131))</f>
        <v/>
      </c>
      <c r="D23" s="20">
        <f>SUMPRODUCT(('Sales Entry'!B5:B131=B23)*1)</f>
        <v/>
      </c>
      <c r="E23" s="13">
        <f>IFERROR(C23/D23,0)</f>
        <v/>
      </c>
      <c r="F23" s="13">
        <f>SUMPRODUCT(('Sales Entry'!B5:B131=B23)*('Sales Entry'!I5:I131="Cash")*('Sales Entry'!M5:M131))</f>
        <v/>
      </c>
      <c r="G23" s="13">
        <f>SUMPRODUCT(('Sales Entry'!B5:B131=B23)*('Sales Entry'!I5:I131="Card")*('Sales Entry'!M5:M131))</f>
        <v/>
      </c>
      <c r="H23" s="13">
        <f>SUMPRODUCT(('Sales Entry'!B5:B131=B23)*('Sales Entry'!I5:I131="Online")*('Sales Entry'!M5:M131))</f>
        <v/>
      </c>
      <c r="I23" s="13">
        <f>SUMPRODUCT(('Sales Entry'!B5:B131=B23)*('Sales Entry'!I5:I131="Bank Transfer")*('Sales Entry'!M5:M131))</f>
        <v/>
      </c>
      <c r="J23" s="20">
        <f>SUMPRODUCT(('Sales Entry'!B5:B131=B23)*('Sales Entry'!F5:F131))</f>
        <v/>
      </c>
      <c r="K23" s="13">
        <f>SUMPRODUCT(('Sales Entry'!B5:B131=B23)*('Sales Entry'!L5:L131))</f>
        <v/>
      </c>
    </row>
    <row r="24" ht="22" customHeight="1">
      <c r="B24" s="14" t="n">
        <v>45736</v>
      </c>
      <c r="C24" s="16">
        <f>SUMPRODUCT(('Sales Entry'!B5:B131=B24)*('Sales Entry'!M5:M131))</f>
        <v/>
      </c>
      <c r="D24" s="21">
        <f>SUMPRODUCT(('Sales Entry'!B5:B131=B24)*1)</f>
        <v/>
      </c>
      <c r="E24" s="16">
        <f>IFERROR(C24/D24,0)</f>
        <v/>
      </c>
      <c r="F24" s="16">
        <f>SUMPRODUCT(('Sales Entry'!B5:B131=B24)*('Sales Entry'!I5:I131="Cash")*('Sales Entry'!M5:M131))</f>
        <v/>
      </c>
      <c r="G24" s="16">
        <f>SUMPRODUCT(('Sales Entry'!B5:B131=B24)*('Sales Entry'!I5:I131="Card")*('Sales Entry'!M5:M131))</f>
        <v/>
      </c>
      <c r="H24" s="16">
        <f>SUMPRODUCT(('Sales Entry'!B5:B131=B24)*('Sales Entry'!I5:I131="Online")*('Sales Entry'!M5:M131))</f>
        <v/>
      </c>
      <c r="I24" s="16">
        <f>SUMPRODUCT(('Sales Entry'!B5:B131=B24)*('Sales Entry'!I5:I131="Bank Transfer")*('Sales Entry'!M5:M131))</f>
        <v/>
      </c>
      <c r="J24" s="21">
        <f>SUMPRODUCT(('Sales Entry'!B5:B131=B24)*('Sales Entry'!F5:F131))</f>
        <v/>
      </c>
      <c r="K24" s="16">
        <f>SUMPRODUCT(('Sales Entry'!B5:B131=B24)*('Sales Entry'!L5:L131))</f>
        <v/>
      </c>
    </row>
    <row r="25" ht="22" customHeight="1">
      <c r="B25" s="11" t="n">
        <v>45737</v>
      </c>
      <c r="C25" s="13">
        <f>SUMPRODUCT(('Sales Entry'!B5:B131=B25)*('Sales Entry'!M5:M131))</f>
        <v/>
      </c>
      <c r="D25" s="20">
        <f>SUMPRODUCT(('Sales Entry'!B5:B131=B25)*1)</f>
        <v/>
      </c>
      <c r="E25" s="13">
        <f>IFERROR(C25/D25,0)</f>
        <v/>
      </c>
      <c r="F25" s="13">
        <f>SUMPRODUCT(('Sales Entry'!B5:B131=B25)*('Sales Entry'!I5:I131="Cash")*('Sales Entry'!M5:M131))</f>
        <v/>
      </c>
      <c r="G25" s="13">
        <f>SUMPRODUCT(('Sales Entry'!B5:B131=B25)*('Sales Entry'!I5:I131="Card")*('Sales Entry'!M5:M131))</f>
        <v/>
      </c>
      <c r="H25" s="13">
        <f>SUMPRODUCT(('Sales Entry'!B5:B131=B25)*('Sales Entry'!I5:I131="Online")*('Sales Entry'!M5:M131))</f>
        <v/>
      </c>
      <c r="I25" s="13">
        <f>SUMPRODUCT(('Sales Entry'!B5:B131=B25)*('Sales Entry'!I5:I131="Bank Transfer")*('Sales Entry'!M5:M131))</f>
        <v/>
      </c>
      <c r="J25" s="20">
        <f>SUMPRODUCT(('Sales Entry'!B5:B131=B25)*('Sales Entry'!F5:F131))</f>
        <v/>
      </c>
      <c r="K25" s="13">
        <f>SUMPRODUCT(('Sales Entry'!B5:B131=B25)*('Sales Entry'!L5:L131))</f>
        <v/>
      </c>
    </row>
    <row r="26" ht="22" customHeight="1">
      <c r="B26" s="14" t="n">
        <v>45738</v>
      </c>
      <c r="C26" s="16">
        <f>SUMPRODUCT(('Sales Entry'!B5:B131=B26)*('Sales Entry'!M5:M131))</f>
        <v/>
      </c>
      <c r="D26" s="21">
        <f>SUMPRODUCT(('Sales Entry'!B5:B131=B26)*1)</f>
        <v/>
      </c>
      <c r="E26" s="16">
        <f>IFERROR(C26/D26,0)</f>
        <v/>
      </c>
      <c r="F26" s="16">
        <f>SUMPRODUCT(('Sales Entry'!B5:B131=B26)*('Sales Entry'!I5:I131="Cash")*('Sales Entry'!M5:M131))</f>
        <v/>
      </c>
      <c r="G26" s="16">
        <f>SUMPRODUCT(('Sales Entry'!B5:B131=B26)*('Sales Entry'!I5:I131="Card")*('Sales Entry'!M5:M131))</f>
        <v/>
      </c>
      <c r="H26" s="16">
        <f>SUMPRODUCT(('Sales Entry'!B5:B131=B26)*('Sales Entry'!I5:I131="Online")*('Sales Entry'!M5:M131))</f>
        <v/>
      </c>
      <c r="I26" s="16">
        <f>SUMPRODUCT(('Sales Entry'!B5:B131=B26)*('Sales Entry'!I5:I131="Bank Transfer")*('Sales Entry'!M5:M131))</f>
        <v/>
      </c>
      <c r="J26" s="21">
        <f>SUMPRODUCT(('Sales Entry'!B5:B131=B26)*('Sales Entry'!F5:F131))</f>
        <v/>
      </c>
      <c r="K26" s="16">
        <f>SUMPRODUCT(('Sales Entry'!B5:B131=B26)*('Sales Entry'!L5:L131))</f>
        <v/>
      </c>
    </row>
    <row r="27" ht="22" customHeight="1">
      <c r="B27" s="11" t="n">
        <v>45739</v>
      </c>
      <c r="C27" s="13">
        <f>SUMPRODUCT(('Sales Entry'!B5:B131=B27)*('Sales Entry'!M5:M131))</f>
        <v/>
      </c>
      <c r="D27" s="20">
        <f>SUMPRODUCT(('Sales Entry'!B5:B131=B27)*1)</f>
        <v/>
      </c>
      <c r="E27" s="13">
        <f>IFERROR(C27/D27,0)</f>
        <v/>
      </c>
      <c r="F27" s="13">
        <f>SUMPRODUCT(('Sales Entry'!B5:B131=B27)*('Sales Entry'!I5:I131="Cash")*('Sales Entry'!M5:M131))</f>
        <v/>
      </c>
      <c r="G27" s="13">
        <f>SUMPRODUCT(('Sales Entry'!B5:B131=B27)*('Sales Entry'!I5:I131="Card")*('Sales Entry'!M5:M131))</f>
        <v/>
      </c>
      <c r="H27" s="13">
        <f>SUMPRODUCT(('Sales Entry'!B5:B131=B27)*('Sales Entry'!I5:I131="Online")*('Sales Entry'!M5:M131))</f>
        <v/>
      </c>
      <c r="I27" s="13">
        <f>SUMPRODUCT(('Sales Entry'!B5:B131=B27)*('Sales Entry'!I5:I131="Bank Transfer")*('Sales Entry'!M5:M131))</f>
        <v/>
      </c>
      <c r="J27" s="20">
        <f>SUMPRODUCT(('Sales Entry'!B5:B131=B27)*('Sales Entry'!F5:F131))</f>
        <v/>
      </c>
      <c r="K27" s="13">
        <f>SUMPRODUCT(('Sales Entry'!B5:B131=B27)*('Sales Entry'!L5:L131))</f>
        <v/>
      </c>
    </row>
    <row r="28" ht="22" customHeight="1">
      <c r="B28" s="14" t="n">
        <v>45740</v>
      </c>
      <c r="C28" s="16">
        <f>SUMPRODUCT(('Sales Entry'!B5:B131=B28)*('Sales Entry'!M5:M131))</f>
        <v/>
      </c>
      <c r="D28" s="21">
        <f>SUMPRODUCT(('Sales Entry'!B5:B131=B28)*1)</f>
        <v/>
      </c>
      <c r="E28" s="16">
        <f>IFERROR(C28/D28,0)</f>
        <v/>
      </c>
      <c r="F28" s="16">
        <f>SUMPRODUCT(('Sales Entry'!B5:B131=B28)*('Sales Entry'!I5:I131="Cash")*('Sales Entry'!M5:M131))</f>
        <v/>
      </c>
      <c r="G28" s="16">
        <f>SUMPRODUCT(('Sales Entry'!B5:B131=B28)*('Sales Entry'!I5:I131="Card")*('Sales Entry'!M5:M131))</f>
        <v/>
      </c>
      <c r="H28" s="16">
        <f>SUMPRODUCT(('Sales Entry'!B5:B131=B28)*('Sales Entry'!I5:I131="Online")*('Sales Entry'!M5:M131))</f>
        <v/>
      </c>
      <c r="I28" s="16">
        <f>SUMPRODUCT(('Sales Entry'!B5:B131=B28)*('Sales Entry'!I5:I131="Bank Transfer")*('Sales Entry'!M5:M131))</f>
        <v/>
      </c>
      <c r="J28" s="21">
        <f>SUMPRODUCT(('Sales Entry'!B5:B131=B28)*('Sales Entry'!F5:F131))</f>
        <v/>
      </c>
      <c r="K28" s="16">
        <f>SUMPRODUCT(('Sales Entry'!B5:B131=B28)*('Sales Entry'!L5:L131))</f>
        <v/>
      </c>
    </row>
    <row r="29" ht="22" customHeight="1">
      <c r="B29" s="11" t="n">
        <v>45741</v>
      </c>
      <c r="C29" s="13">
        <f>SUMPRODUCT(('Sales Entry'!B5:B131=B29)*('Sales Entry'!M5:M131))</f>
        <v/>
      </c>
      <c r="D29" s="20">
        <f>SUMPRODUCT(('Sales Entry'!B5:B131=B29)*1)</f>
        <v/>
      </c>
      <c r="E29" s="13">
        <f>IFERROR(C29/D29,0)</f>
        <v/>
      </c>
      <c r="F29" s="13">
        <f>SUMPRODUCT(('Sales Entry'!B5:B131=B29)*('Sales Entry'!I5:I131="Cash")*('Sales Entry'!M5:M131))</f>
        <v/>
      </c>
      <c r="G29" s="13">
        <f>SUMPRODUCT(('Sales Entry'!B5:B131=B29)*('Sales Entry'!I5:I131="Card")*('Sales Entry'!M5:M131))</f>
        <v/>
      </c>
      <c r="H29" s="13">
        <f>SUMPRODUCT(('Sales Entry'!B5:B131=B29)*('Sales Entry'!I5:I131="Online")*('Sales Entry'!M5:M131))</f>
        <v/>
      </c>
      <c r="I29" s="13">
        <f>SUMPRODUCT(('Sales Entry'!B5:B131=B29)*('Sales Entry'!I5:I131="Bank Transfer")*('Sales Entry'!M5:M131))</f>
        <v/>
      </c>
      <c r="J29" s="20">
        <f>SUMPRODUCT(('Sales Entry'!B5:B131=B29)*('Sales Entry'!F5:F131))</f>
        <v/>
      </c>
      <c r="K29" s="13">
        <f>SUMPRODUCT(('Sales Entry'!B5:B131=B29)*('Sales Entry'!L5:L131))</f>
        <v/>
      </c>
    </row>
    <row r="30" ht="22" customHeight="1">
      <c r="B30" s="14" t="n">
        <v>45742</v>
      </c>
      <c r="C30" s="16">
        <f>SUMPRODUCT(('Sales Entry'!B5:B131=B30)*('Sales Entry'!M5:M131))</f>
        <v/>
      </c>
      <c r="D30" s="21">
        <f>SUMPRODUCT(('Sales Entry'!B5:B131=B30)*1)</f>
        <v/>
      </c>
      <c r="E30" s="16">
        <f>IFERROR(C30/D30,0)</f>
        <v/>
      </c>
      <c r="F30" s="16">
        <f>SUMPRODUCT(('Sales Entry'!B5:B131=B30)*('Sales Entry'!I5:I131="Cash")*('Sales Entry'!M5:M131))</f>
        <v/>
      </c>
      <c r="G30" s="16">
        <f>SUMPRODUCT(('Sales Entry'!B5:B131=B30)*('Sales Entry'!I5:I131="Card")*('Sales Entry'!M5:M131))</f>
        <v/>
      </c>
      <c r="H30" s="16">
        <f>SUMPRODUCT(('Sales Entry'!B5:B131=B30)*('Sales Entry'!I5:I131="Online")*('Sales Entry'!M5:M131))</f>
        <v/>
      </c>
      <c r="I30" s="16">
        <f>SUMPRODUCT(('Sales Entry'!B5:B131=B30)*('Sales Entry'!I5:I131="Bank Transfer")*('Sales Entry'!M5:M131))</f>
        <v/>
      </c>
      <c r="J30" s="21">
        <f>SUMPRODUCT(('Sales Entry'!B5:B131=B30)*('Sales Entry'!F5:F131))</f>
        <v/>
      </c>
      <c r="K30" s="16">
        <f>SUMPRODUCT(('Sales Entry'!B5:B131=B30)*('Sales Entry'!L5:L131))</f>
        <v/>
      </c>
    </row>
    <row r="31" ht="22" customHeight="1">
      <c r="B31" s="11" t="n">
        <v>45743</v>
      </c>
      <c r="C31" s="13">
        <f>SUMPRODUCT(('Sales Entry'!B5:B131=B31)*('Sales Entry'!M5:M131))</f>
        <v/>
      </c>
      <c r="D31" s="20">
        <f>SUMPRODUCT(('Sales Entry'!B5:B131=B31)*1)</f>
        <v/>
      </c>
      <c r="E31" s="13">
        <f>IFERROR(C31/D31,0)</f>
        <v/>
      </c>
      <c r="F31" s="13">
        <f>SUMPRODUCT(('Sales Entry'!B5:B131=B31)*('Sales Entry'!I5:I131="Cash")*('Sales Entry'!M5:M131))</f>
        <v/>
      </c>
      <c r="G31" s="13">
        <f>SUMPRODUCT(('Sales Entry'!B5:B131=B31)*('Sales Entry'!I5:I131="Card")*('Sales Entry'!M5:M131))</f>
        <v/>
      </c>
      <c r="H31" s="13">
        <f>SUMPRODUCT(('Sales Entry'!B5:B131=B31)*('Sales Entry'!I5:I131="Online")*('Sales Entry'!M5:M131))</f>
        <v/>
      </c>
      <c r="I31" s="13">
        <f>SUMPRODUCT(('Sales Entry'!B5:B131=B31)*('Sales Entry'!I5:I131="Bank Transfer")*('Sales Entry'!M5:M131))</f>
        <v/>
      </c>
      <c r="J31" s="20">
        <f>SUMPRODUCT(('Sales Entry'!B5:B131=B31)*('Sales Entry'!F5:F131))</f>
        <v/>
      </c>
      <c r="K31" s="13">
        <f>SUMPRODUCT(('Sales Entry'!B5:B131=B31)*('Sales Entry'!L5:L131))</f>
        <v/>
      </c>
    </row>
    <row r="32" ht="22" customHeight="1">
      <c r="B32" s="14" t="n">
        <v>45744</v>
      </c>
      <c r="C32" s="16">
        <f>SUMPRODUCT(('Sales Entry'!B5:B131=B32)*('Sales Entry'!M5:M131))</f>
        <v/>
      </c>
      <c r="D32" s="21">
        <f>SUMPRODUCT(('Sales Entry'!B5:B131=B32)*1)</f>
        <v/>
      </c>
      <c r="E32" s="16">
        <f>IFERROR(C32/D32,0)</f>
        <v/>
      </c>
      <c r="F32" s="16">
        <f>SUMPRODUCT(('Sales Entry'!B5:B131=B32)*('Sales Entry'!I5:I131="Cash")*('Sales Entry'!M5:M131))</f>
        <v/>
      </c>
      <c r="G32" s="16">
        <f>SUMPRODUCT(('Sales Entry'!B5:B131=B32)*('Sales Entry'!I5:I131="Card")*('Sales Entry'!M5:M131))</f>
        <v/>
      </c>
      <c r="H32" s="16">
        <f>SUMPRODUCT(('Sales Entry'!B5:B131=B32)*('Sales Entry'!I5:I131="Online")*('Sales Entry'!M5:M131))</f>
        <v/>
      </c>
      <c r="I32" s="16">
        <f>SUMPRODUCT(('Sales Entry'!B5:B131=B32)*('Sales Entry'!I5:I131="Bank Transfer")*('Sales Entry'!M5:M131))</f>
        <v/>
      </c>
      <c r="J32" s="21">
        <f>SUMPRODUCT(('Sales Entry'!B5:B131=B32)*('Sales Entry'!F5:F131))</f>
        <v/>
      </c>
      <c r="K32" s="16">
        <f>SUMPRODUCT(('Sales Entry'!B5:B131=B32)*('Sales Entry'!L5:L131))</f>
        <v/>
      </c>
    </row>
    <row r="33" ht="22" customHeight="1">
      <c r="B33" s="11" t="n">
        <v>45745</v>
      </c>
      <c r="C33" s="13">
        <f>SUMPRODUCT(('Sales Entry'!B5:B131=B33)*('Sales Entry'!M5:M131))</f>
        <v/>
      </c>
      <c r="D33" s="20">
        <f>SUMPRODUCT(('Sales Entry'!B5:B131=B33)*1)</f>
        <v/>
      </c>
      <c r="E33" s="13">
        <f>IFERROR(C33/D33,0)</f>
        <v/>
      </c>
      <c r="F33" s="13">
        <f>SUMPRODUCT(('Sales Entry'!B5:B131=B33)*('Sales Entry'!I5:I131="Cash")*('Sales Entry'!M5:M131))</f>
        <v/>
      </c>
      <c r="G33" s="13">
        <f>SUMPRODUCT(('Sales Entry'!B5:B131=B33)*('Sales Entry'!I5:I131="Card")*('Sales Entry'!M5:M131))</f>
        <v/>
      </c>
      <c r="H33" s="13">
        <f>SUMPRODUCT(('Sales Entry'!B5:B131=B33)*('Sales Entry'!I5:I131="Online")*('Sales Entry'!M5:M131))</f>
        <v/>
      </c>
      <c r="I33" s="13">
        <f>SUMPRODUCT(('Sales Entry'!B5:B131=B33)*('Sales Entry'!I5:I131="Bank Transfer")*('Sales Entry'!M5:M131))</f>
        <v/>
      </c>
      <c r="J33" s="20">
        <f>SUMPRODUCT(('Sales Entry'!B5:B131=B33)*('Sales Entry'!F5:F131))</f>
        <v/>
      </c>
      <c r="K33" s="13">
        <f>SUMPRODUCT(('Sales Entry'!B5:B131=B33)*('Sales Entry'!L5:L131))</f>
        <v/>
      </c>
    </row>
    <row r="34" ht="22" customHeight="1">
      <c r="B34" s="14" t="n">
        <v>45746</v>
      </c>
      <c r="C34" s="16">
        <f>SUMPRODUCT(('Sales Entry'!B5:B131=B34)*('Sales Entry'!M5:M131))</f>
        <v/>
      </c>
      <c r="D34" s="21">
        <f>SUMPRODUCT(('Sales Entry'!B5:B131=B34)*1)</f>
        <v/>
      </c>
      <c r="E34" s="16">
        <f>IFERROR(C34/D34,0)</f>
        <v/>
      </c>
      <c r="F34" s="16">
        <f>SUMPRODUCT(('Sales Entry'!B5:B131=B34)*('Sales Entry'!I5:I131="Cash")*('Sales Entry'!M5:M131))</f>
        <v/>
      </c>
      <c r="G34" s="16">
        <f>SUMPRODUCT(('Sales Entry'!B5:B131=B34)*('Sales Entry'!I5:I131="Card")*('Sales Entry'!M5:M131))</f>
        <v/>
      </c>
      <c r="H34" s="16">
        <f>SUMPRODUCT(('Sales Entry'!B5:B131=B34)*('Sales Entry'!I5:I131="Online")*('Sales Entry'!M5:M131))</f>
        <v/>
      </c>
      <c r="I34" s="16">
        <f>SUMPRODUCT(('Sales Entry'!B5:B131=B34)*('Sales Entry'!I5:I131="Bank Transfer")*('Sales Entry'!M5:M131))</f>
        <v/>
      </c>
      <c r="J34" s="21">
        <f>SUMPRODUCT(('Sales Entry'!B5:B131=B34)*('Sales Entry'!F5:F131))</f>
        <v/>
      </c>
      <c r="K34" s="16">
        <f>SUMPRODUCT(('Sales Entry'!B5:B131=B34)*('Sales Entry'!L5:L131))</f>
        <v/>
      </c>
    </row>
    <row r="35" ht="22" customHeight="1">
      <c r="B35" s="11" t="n">
        <v>45747</v>
      </c>
      <c r="C35" s="13">
        <f>SUMPRODUCT(('Sales Entry'!B5:B131=B35)*('Sales Entry'!M5:M131))</f>
        <v/>
      </c>
      <c r="D35" s="20">
        <f>SUMPRODUCT(('Sales Entry'!B5:B131=B35)*1)</f>
        <v/>
      </c>
      <c r="E35" s="13">
        <f>IFERROR(C35/D35,0)</f>
        <v/>
      </c>
      <c r="F35" s="13">
        <f>SUMPRODUCT(('Sales Entry'!B5:B131=B35)*('Sales Entry'!I5:I131="Cash")*('Sales Entry'!M5:M131))</f>
        <v/>
      </c>
      <c r="G35" s="13">
        <f>SUMPRODUCT(('Sales Entry'!B5:B131=B35)*('Sales Entry'!I5:I131="Card")*('Sales Entry'!M5:M131))</f>
        <v/>
      </c>
      <c r="H35" s="13">
        <f>SUMPRODUCT(('Sales Entry'!B5:B131=B35)*('Sales Entry'!I5:I131="Online")*('Sales Entry'!M5:M131))</f>
        <v/>
      </c>
      <c r="I35" s="13">
        <f>SUMPRODUCT(('Sales Entry'!B5:B131=B35)*('Sales Entry'!I5:I131="Bank Transfer")*('Sales Entry'!M5:M131))</f>
        <v/>
      </c>
      <c r="J35" s="20">
        <f>SUMPRODUCT(('Sales Entry'!B5:B131=B35)*('Sales Entry'!F5:F131))</f>
        <v/>
      </c>
      <c r="K35" s="13">
        <f>SUMPRODUCT(('Sales Entry'!B5:B131=B35)*('Sales Entry'!L5:L131))</f>
        <v/>
      </c>
    </row>
    <row r="36" ht="26" customHeight="1">
      <c r="B36" s="17" t="inlineStr">
        <is>
          <t>TOTALS</t>
        </is>
      </c>
      <c r="C36" s="19">
        <f>SUM(C5:C35)</f>
        <v/>
      </c>
      <c r="D36" s="18">
        <f>SUM(D5:D35)</f>
        <v/>
      </c>
      <c r="E36" s="19">
        <f>IFERROR(C36/D36,0)</f>
        <v/>
      </c>
      <c r="F36" s="19">
        <f>SUM(F5:F35)</f>
        <v/>
      </c>
      <c r="G36" s="19">
        <f>SUM(G5:G35)</f>
        <v/>
      </c>
      <c r="H36" s="19">
        <f>SUM(H5:H35)</f>
        <v/>
      </c>
      <c r="I36" s="19">
        <f>SUM(I5:I35)</f>
        <v/>
      </c>
      <c r="J36" s="18">
        <f>SUM(J5:J35)</f>
        <v/>
      </c>
      <c r="K36" s="19">
        <f>SUM(K5:K35)</f>
        <v/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1B2A"/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</cols>
  <sheetData>
    <row r="1" ht="15" customHeight="1"/>
    <row r="2" ht="32" customHeight="1">
      <c r="B2" s="9" t="inlineStr">
        <is>
          <t>Weekly Summary — March 2025</t>
        </is>
      </c>
    </row>
    <row r="3" ht="8" customHeight="1"/>
    <row r="4" ht="28" customHeight="1">
      <c r="B4" s="10" t="inlineStr">
        <is>
          <t>Week #</t>
        </is>
      </c>
      <c r="C4" s="10" t="inlineStr">
        <is>
          <t>Week Start</t>
        </is>
      </c>
      <c r="D4" s="10" t="inlineStr">
        <is>
          <t>Week End</t>
        </is>
      </c>
      <c r="E4" s="10" t="inlineStr">
        <is>
          <t>Total Sales</t>
        </is>
      </c>
      <c r="F4" s="10" t="inlineStr">
        <is>
          <t># Transactions</t>
        </is>
      </c>
      <c r="G4" s="10" t="inlineStr">
        <is>
          <t>Avg Transaction</t>
        </is>
      </c>
      <c r="H4" s="10" t="inlineStr">
        <is>
          <t>Top Staff</t>
        </is>
      </c>
      <c r="I4" s="10" t="inlineStr">
        <is>
          <t>Profit Estimate</t>
        </is>
      </c>
    </row>
    <row r="5" ht="22" customHeight="1">
      <c r="B5" s="12" t="n">
        <v>1</v>
      </c>
      <c r="C5" s="11" t="n">
        <v>45717</v>
      </c>
      <c r="D5" s="11" t="n">
        <v>45723</v>
      </c>
      <c r="E5" s="13">
        <f>SUM('Daily Summary'!C5:C11)</f>
        <v/>
      </c>
      <c r="F5" s="20">
        <f>SUM('Daily Summary'!D5:D11)</f>
        <v/>
      </c>
      <c r="G5" s="13">
        <f>IFERROR(E5/F5,0)</f>
        <v/>
      </c>
      <c r="H5" s="12" t="inlineStr">
        <is>
          <t>Ahmed</t>
        </is>
      </c>
      <c r="I5" s="13">
        <f>E5*0.4</f>
        <v/>
      </c>
    </row>
    <row r="6" ht="22" customHeight="1">
      <c r="B6" s="15" t="n">
        <v>2</v>
      </c>
      <c r="C6" s="14" t="n">
        <v>45724</v>
      </c>
      <c r="D6" s="14" t="n">
        <v>45730</v>
      </c>
      <c r="E6" s="16">
        <f>SUM('Daily Summary'!C12:C18)</f>
        <v/>
      </c>
      <c r="F6" s="21">
        <f>SUM('Daily Summary'!D12:D18)</f>
        <v/>
      </c>
      <c r="G6" s="16">
        <f>IFERROR(E6/F6,0)</f>
        <v/>
      </c>
      <c r="H6" s="15" t="inlineStr">
        <is>
          <t>Fatima</t>
        </is>
      </c>
      <c r="I6" s="16">
        <f>E6*0.4</f>
        <v/>
      </c>
    </row>
    <row r="7" ht="22" customHeight="1">
      <c r="B7" s="12" t="n">
        <v>3</v>
      </c>
      <c r="C7" s="11" t="n">
        <v>45731</v>
      </c>
      <c r="D7" s="11" t="n">
        <v>45737</v>
      </c>
      <c r="E7" s="13">
        <f>SUM('Daily Summary'!C19:C25)</f>
        <v/>
      </c>
      <c r="F7" s="20">
        <f>SUM('Daily Summary'!D19:D25)</f>
        <v/>
      </c>
      <c r="G7" s="13">
        <f>IFERROR(E7/F7,0)</f>
        <v/>
      </c>
      <c r="H7" s="12" t="inlineStr">
        <is>
          <t>Sara</t>
        </is>
      </c>
      <c r="I7" s="13">
        <f>E7*0.4</f>
        <v/>
      </c>
    </row>
    <row r="8" ht="22" customHeight="1">
      <c r="B8" s="15" t="n">
        <v>4</v>
      </c>
      <c r="C8" s="14" t="n">
        <v>45738</v>
      </c>
      <c r="D8" s="14" t="n">
        <v>45744</v>
      </c>
      <c r="E8" s="16">
        <f>SUM('Daily Summary'!C26:C32)</f>
        <v/>
      </c>
      <c r="F8" s="21">
        <f>SUM('Daily Summary'!D26:D32)</f>
        <v/>
      </c>
      <c r="G8" s="16">
        <f>IFERROR(E8/F8,0)</f>
        <v/>
      </c>
      <c r="H8" s="15" t="inlineStr">
        <is>
          <t>Khalid</t>
        </is>
      </c>
      <c r="I8" s="16">
        <f>E8*0.4</f>
        <v/>
      </c>
    </row>
    <row r="9" ht="22" customHeight="1">
      <c r="B9" s="12" t="n">
        <v>5</v>
      </c>
      <c r="C9" s="11" t="n">
        <v>45745</v>
      </c>
      <c r="D9" s="11" t="n">
        <v>45747</v>
      </c>
      <c r="E9" s="13">
        <f>SUM('Daily Summary'!C33:C35)</f>
        <v/>
      </c>
      <c r="F9" s="20">
        <f>SUM('Daily Summary'!D33:D35)</f>
        <v/>
      </c>
      <c r="G9" s="13">
        <f>IFERROR(E9/F9,0)</f>
        <v/>
      </c>
      <c r="H9" s="12" t="inlineStr">
        <is>
          <t>Omar</t>
        </is>
      </c>
      <c r="I9" s="13">
        <f>E9*0.4</f>
        <v/>
      </c>
    </row>
    <row r="10" ht="26" customHeight="1">
      <c r="B10" s="17" t="inlineStr">
        <is>
          <t>TOTALS</t>
        </is>
      </c>
      <c r="C10" s="17" t="n"/>
      <c r="D10" s="17" t="n"/>
      <c r="E10" s="19">
        <f>SUM(E5:E9)</f>
        <v/>
      </c>
      <c r="F10" s="18">
        <f>SUM(F5:F9)</f>
        <v/>
      </c>
      <c r="G10" s="19">
        <f>IFERROR(E10/F10,0)</f>
        <v/>
      </c>
      <c r="H10" s="17" t="n"/>
      <c r="I10" s="19">
        <f>SUM(I5:I9)</f>
        <v/>
      </c>
    </row>
  </sheetData>
  <mergeCells count="1"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1B2A"/>
    <outlinePr summaryBelow="1" summaryRight="1"/>
    <pageSetUpPr/>
  </sheetPr>
  <dimension ref="B2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</cols>
  <sheetData>
    <row r="1" ht="15" customHeight="1"/>
    <row r="2" ht="32" customHeight="1">
      <c r="B2" s="9" t="inlineStr">
        <is>
          <t>Monthly Summary — March 2025</t>
        </is>
      </c>
    </row>
    <row r="3" ht="8" customHeight="1"/>
    <row r="4" ht="28" customHeight="1">
      <c r="B4" s="10" t="inlineStr">
        <is>
          <t>Month</t>
        </is>
      </c>
      <c r="C4" s="10" t="inlineStr">
        <is>
          <t>Total Sales</t>
        </is>
      </c>
      <c r="D4" s="10" t="inlineStr">
        <is>
          <t># Transactions</t>
        </is>
      </c>
      <c r="E4" s="10" t="inlineStr">
        <is>
          <t>Avg Transaction</t>
        </is>
      </c>
      <c r="F4" s="10" t="inlineStr">
        <is>
          <t>Best Day Sales</t>
        </is>
      </c>
      <c r="G4" s="10" t="inlineStr">
        <is>
          <t>Best Day Date</t>
        </is>
      </c>
      <c r="H4" s="10" t="inlineStr">
        <is>
          <t>Total Expenses</t>
        </is>
      </c>
      <c r="I4" s="10" t="inlineStr">
        <is>
          <t>Net Profit</t>
        </is>
      </c>
    </row>
    <row r="5" ht="22" customHeight="1">
      <c r="B5" s="12" t="inlineStr">
        <is>
          <t>March 2025</t>
        </is>
      </c>
      <c r="C5" s="13">
        <f>SUM('Daily Summary'!C5:C35)</f>
        <v/>
      </c>
      <c r="D5" s="20">
        <f>SUM('Daily Summary'!D5:D35)</f>
        <v/>
      </c>
      <c r="E5" s="13">
        <f>IFERROR(C5/D5,0)</f>
        <v/>
      </c>
      <c r="F5" s="13">
        <f>MAX('Daily Summary'!C5:C35)</f>
        <v/>
      </c>
      <c r="G5" s="11">
        <f>INDEX('Daily Summary'!B5:B35,MATCH(E5,'Daily Summary'!C5:C35,0))</f>
        <v/>
      </c>
      <c r="H5" s="13">
        <f>SUM('Expenses'!E5:E44)</f>
        <v/>
      </c>
      <c r="I5" s="13">
        <f>C5-G5</f>
        <v/>
      </c>
    </row>
    <row r="6" ht="26" customHeight="1">
      <c r="B6" s="17" t="inlineStr">
        <is>
          <t>TOTALS</t>
        </is>
      </c>
      <c r="C6" s="19">
        <f>SUM('Daily Summary'!C5:C35)</f>
        <v/>
      </c>
      <c r="D6" s="18">
        <f>SUM('Daily Summary'!D5:D35)</f>
        <v/>
      </c>
      <c r="E6" s="19">
        <f>IFERROR(C6/D6,0)</f>
        <v/>
      </c>
      <c r="F6" s="19">
        <f>MAX('Daily Summary'!C5:C35)</f>
        <v/>
      </c>
      <c r="G6" s="17" t="n"/>
      <c r="H6" s="19">
        <f>SUM('Expenses'!E5:E44)</f>
        <v/>
      </c>
      <c r="I6" s="19">
        <f>C5-G5</f>
        <v/>
      </c>
    </row>
    <row r="9">
      <c r="B9" s="2" t="inlineStr">
        <is>
          <t>Category</t>
        </is>
      </c>
      <c r="C9" s="2" t="inlineStr">
        <is>
          <t>Amount</t>
        </is>
      </c>
    </row>
    <row r="10">
      <c r="B10" s="2" t="inlineStr">
        <is>
          <t>Total Sales</t>
        </is>
      </c>
      <c r="C10" s="2">
        <f>C5</f>
        <v/>
      </c>
    </row>
    <row r="11">
      <c r="B11" s="2" t="inlineStr">
        <is>
          <t>Total Expenses</t>
        </is>
      </c>
      <c r="C11" s="2">
        <f>G5</f>
        <v/>
      </c>
    </row>
    <row r="12">
      <c r="B12" s="2" t="inlineStr">
        <is>
          <t>Net Profit</t>
        </is>
      </c>
      <c r="C12" s="2">
        <f>H5</f>
        <v/>
      </c>
    </row>
  </sheetData>
  <mergeCells count="1"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1B2A"/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0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 ht="15" customHeight="1"/>
    <row r="2" ht="36" customHeight="1">
      <c r="B2" s="1" t="inlineStr">
        <is>
          <t>TechZone Electronics</t>
        </is>
      </c>
    </row>
    <row r="3" ht="8" customHeight="1">
      <c r="B3" s="2" t="inlineStr">
        <is>
          <t>Premium Electronics &amp; Accessories | Dubai, UAE</t>
        </is>
      </c>
    </row>
    <row r="5">
      <c r="B5" s="22" t="inlineStr">
        <is>
          <t>INVOICE</t>
        </is>
      </c>
      <c r="E5" s="23" t="inlineStr">
        <is>
          <t>Invoice #:</t>
        </is>
      </c>
      <c r="F5" s="24" t="inlineStr">
        <is>
          <t>INV-0142</t>
        </is>
      </c>
    </row>
    <row r="6">
      <c r="E6" s="23" t="inlineStr">
        <is>
          <t>Date:</t>
        </is>
      </c>
      <c r="F6" s="25" t="n">
        <v>45731</v>
      </c>
    </row>
    <row r="7">
      <c r="E7" s="23" t="inlineStr">
        <is>
          <t>Customer:</t>
        </is>
      </c>
      <c r="F7" s="24" t="inlineStr">
        <is>
          <t>Mohamed Al Rashid</t>
        </is>
      </c>
    </row>
    <row r="8">
      <c r="E8" s="23" t="inlineStr">
        <is>
          <t>Staff:</t>
        </is>
      </c>
      <c r="F8" s="23" t="inlineStr">
        <is>
          <t>Fatima</t>
        </is>
      </c>
    </row>
    <row r="10" ht="28" customHeight="1">
      <c r="B10" s="10" t="inlineStr">
        <is>
          <t>#</t>
        </is>
      </c>
      <c r="C10" s="10" t="inlineStr">
        <is>
          <t>Item</t>
        </is>
      </c>
      <c r="D10" s="10" t="inlineStr">
        <is>
          <t>Qty</t>
        </is>
      </c>
      <c r="E10" s="10" t="inlineStr">
        <is>
          <t>Unit Price</t>
        </is>
      </c>
      <c r="F10" s="10" t="inlineStr">
        <is>
          <t>Total</t>
        </is>
      </c>
    </row>
    <row r="11" ht="22" customHeight="1">
      <c r="B11" s="12" t="n">
        <v>1</v>
      </c>
      <c r="C11" s="12" t="inlineStr">
        <is>
          <t>Tablet</t>
        </is>
      </c>
      <c r="D11" s="12" t="n">
        <v>1</v>
      </c>
      <c r="E11" s="26" t="n">
        <v>899</v>
      </c>
      <c r="F11" s="26" t="n">
        <v>899</v>
      </c>
    </row>
    <row r="12" ht="22" customHeight="1">
      <c r="B12" s="15" t="n">
        <v>2</v>
      </c>
      <c r="C12" s="15" t="inlineStr">
        <is>
          <t>Screen Protector</t>
        </is>
      </c>
      <c r="D12" s="15" t="n">
        <v>2</v>
      </c>
      <c r="E12" s="27" t="n">
        <v>30</v>
      </c>
      <c r="F12" s="27" t="n">
        <v>60</v>
      </c>
    </row>
    <row r="13" ht="22" customHeight="1">
      <c r="B13" s="12" t="n">
        <v>3</v>
      </c>
      <c r="C13" s="12" t="inlineStr">
        <is>
          <t>Earbuds</t>
        </is>
      </c>
      <c r="D13" s="12" t="n">
        <v>1</v>
      </c>
      <c r="E13" s="26" t="n">
        <v>85</v>
      </c>
      <c r="F13" s="26" t="n">
        <v>85</v>
      </c>
    </row>
    <row r="14" ht="22" customHeight="1">
      <c r="B14" s="15" t="n">
        <v>4</v>
      </c>
      <c r="C14" s="15" t="inlineStr">
        <is>
          <t>Phone Case</t>
        </is>
      </c>
      <c r="D14" s="15" t="n">
        <v>1</v>
      </c>
      <c r="E14" s="27" t="n">
        <v>45</v>
      </c>
      <c r="F14" s="27" t="n">
        <v>45</v>
      </c>
    </row>
    <row r="15">
      <c r="C15" s="23" t="inlineStr">
        <is>
          <t>Subtotal</t>
        </is>
      </c>
      <c r="F15" s="28" t="n">
        <v>1089</v>
      </c>
    </row>
    <row r="16">
      <c r="C16" s="23" t="inlineStr">
        <is>
          <t>Discount</t>
        </is>
      </c>
      <c r="F16" s="29" t="n">
        <v>-50</v>
      </c>
    </row>
    <row r="17">
      <c r="C17" s="23" t="inlineStr">
        <is>
          <t>VAT (5%)</t>
        </is>
      </c>
      <c r="F17" s="28" t="n">
        <v>51.95</v>
      </c>
    </row>
    <row r="18">
      <c r="B18" s="30" t="n"/>
      <c r="C18" s="30" t="n"/>
      <c r="D18" s="30" t="n"/>
      <c r="E18" s="30" t="n"/>
      <c r="F18" s="30" t="n"/>
    </row>
    <row r="19">
      <c r="C19" s="31" t="inlineStr">
        <is>
          <t>GRAND TOTAL</t>
        </is>
      </c>
      <c r="F19" s="32" t="n">
        <v>1090.95</v>
      </c>
    </row>
    <row r="21">
      <c r="B21" s="2" t="inlineStr">
        <is>
          <t>Thank you for shopping at TechZone Electronics!</t>
        </is>
      </c>
    </row>
    <row r="22">
      <c r="B22" s="2" t="inlineStr">
        <is>
          <t>Returns within 14 days with receipt. VAT Registration No: 100XXXXXX000003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1B2A"/>
    <outlinePr summaryBelow="1" summaryRight="1"/>
    <pageSetUpPr/>
  </sheetPr>
  <dimension ref="B2:M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4" customWidth="1" min="10" max="10"/>
    <col width="18" customWidth="1" min="11" max="11"/>
    <col width="14" customWidth="1" min="12" max="12"/>
    <col width="18" customWidth="1" min="13" max="13"/>
  </cols>
  <sheetData>
    <row r="1" ht="15" customHeight="1"/>
    <row r="2" ht="32" customHeight="1">
      <c r="B2" s="9" t="inlineStr">
        <is>
          <t>Inventory — TechZone Electronics</t>
        </is>
      </c>
    </row>
    <row r="3" ht="8" customHeight="1"/>
    <row r="4" ht="28" customHeight="1">
      <c r="B4" s="10" t="inlineStr">
        <is>
          <t>Product ID</t>
        </is>
      </c>
      <c r="C4" s="10" t="inlineStr">
        <is>
          <t>Item Name</t>
        </is>
      </c>
      <c r="D4" s="10" t="inlineStr">
        <is>
          <t>Category</t>
        </is>
      </c>
      <c r="E4" s="10" t="inlineStr">
        <is>
          <t>Unit Price</t>
        </is>
      </c>
      <c r="F4" s="10" t="inlineStr">
        <is>
          <t>Cost Price</t>
        </is>
      </c>
      <c r="G4" s="10" t="inlineStr">
        <is>
          <t>Margin</t>
        </is>
      </c>
      <c r="H4" s="10" t="inlineStr">
        <is>
          <t>Stock Qty</t>
        </is>
      </c>
      <c r="I4" s="10" t="inlineStr">
        <is>
          <t>Reorder Level</t>
        </is>
      </c>
      <c r="J4" s="10" t="inlineStr">
        <is>
          <t>Status</t>
        </is>
      </c>
      <c r="K4" s="10" t="inlineStr">
        <is>
          <t>Supplier</t>
        </is>
      </c>
      <c r="L4" s="10" t="inlineStr">
        <is>
          <t>Last Restocked</t>
        </is>
      </c>
      <c r="M4" s="10" t="inlineStr">
        <is>
          <t>Days Since Restock</t>
        </is>
      </c>
    </row>
    <row r="5" ht="22" customHeight="1">
      <c r="B5" s="12" t="inlineStr">
        <is>
          <t>P001</t>
        </is>
      </c>
      <c r="C5" s="12" t="inlineStr">
        <is>
          <t>Phone Case</t>
        </is>
      </c>
      <c r="D5" s="12" t="inlineStr">
        <is>
          <t>Accessories</t>
        </is>
      </c>
      <c r="E5" s="13" t="n">
        <v>45</v>
      </c>
      <c r="F5" s="13" t="n">
        <v>20</v>
      </c>
      <c r="G5" s="33">
        <f>IFERROR((E5-F5)/E5,0)</f>
        <v/>
      </c>
      <c r="H5" s="34" t="n">
        <v>22</v>
      </c>
      <c r="I5" s="34" t="n">
        <v>15</v>
      </c>
      <c r="J5" s="12">
        <f>IF(H5&lt;=I5,"LOW STOCK","In Stock")</f>
        <v/>
      </c>
      <c r="K5" s="12" t="inlineStr">
        <is>
          <t>Samsung Gulf</t>
        </is>
      </c>
      <c r="L5" s="11" t="n">
        <v>45726</v>
      </c>
      <c r="M5" s="20">
        <f>MAX(0,TODAY()-L5)</f>
        <v/>
      </c>
    </row>
    <row r="6" ht="22" customHeight="1">
      <c r="B6" s="15" t="inlineStr">
        <is>
          <t>P002</t>
        </is>
      </c>
      <c r="C6" s="15" t="inlineStr">
        <is>
          <t>USB Cable</t>
        </is>
      </c>
      <c r="D6" s="15" t="inlineStr">
        <is>
          <t>Accessories</t>
        </is>
      </c>
      <c r="E6" s="16" t="n">
        <v>25</v>
      </c>
      <c r="F6" s="16" t="n">
        <v>10</v>
      </c>
      <c r="G6" s="35">
        <f>IFERROR((E6-F6)/E6,0)</f>
        <v/>
      </c>
      <c r="H6" s="36" t="n">
        <v>28</v>
      </c>
      <c r="I6" s="36" t="n">
        <v>20</v>
      </c>
      <c r="J6" s="15">
        <f>IF(H6&lt;=I6,"LOW STOCK","In Stock")</f>
        <v/>
      </c>
      <c r="K6" s="15" t="inlineStr">
        <is>
          <t>Accessories Plus</t>
        </is>
      </c>
      <c r="L6" s="14" t="n">
        <v>45724</v>
      </c>
      <c r="M6" s="21">
        <f>MAX(0,TODAY()-L6)</f>
        <v/>
      </c>
    </row>
    <row r="7" ht="22" customHeight="1">
      <c r="B7" s="12" t="inlineStr">
        <is>
          <t>P003</t>
        </is>
      </c>
      <c r="C7" s="12" t="inlineStr">
        <is>
          <t>Screen Protector</t>
        </is>
      </c>
      <c r="D7" s="12" t="inlineStr">
        <is>
          <t>Accessories</t>
        </is>
      </c>
      <c r="E7" s="13" t="n">
        <v>30</v>
      </c>
      <c r="F7" s="13" t="n">
        <v>12</v>
      </c>
      <c r="G7" s="33">
        <f>IFERROR((E7-F7)/E7,0)</f>
        <v/>
      </c>
      <c r="H7" s="34" t="n">
        <v>3</v>
      </c>
      <c r="I7" s="34" t="n">
        <v>15</v>
      </c>
      <c r="J7" s="12">
        <f>IF(H7&lt;=I7,"LOW STOCK","In Stock")</f>
        <v/>
      </c>
      <c r="K7" s="12" t="inlineStr">
        <is>
          <t>Apple ME</t>
        </is>
      </c>
      <c r="L7" s="11" t="n">
        <v>45728</v>
      </c>
      <c r="M7" s="20">
        <f>MAX(0,TODAY()-L7)</f>
        <v/>
      </c>
    </row>
    <row r="8" ht="22" customHeight="1">
      <c r="B8" s="15" t="inlineStr">
        <is>
          <t>P004</t>
        </is>
      </c>
      <c r="C8" s="15" t="inlineStr">
        <is>
          <t>Power Bank</t>
        </is>
      </c>
      <c r="D8" s="15" t="inlineStr">
        <is>
          <t>Accessories</t>
        </is>
      </c>
      <c r="E8" s="16" t="n">
        <v>120</v>
      </c>
      <c r="F8" s="16" t="n">
        <v>55</v>
      </c>
      <c r="G8" s="35">
        <f>IFERROR((E8-F8)/E8,0)</f>
        <v/>
      </c>
      <c r="H8" s="36" t="n">
        <v>12</v>
      </c>
      <c r="I8" s="36" t="n">
        <v>10</v>
      </c>
      <c r="J8" s="15">
        <f>IF(H8&lt;=I8,"LOW STOCK","In Stock")</f>
        <v/>
      </c>
      <c r="K8" s="15" t="inlineStr">
        <is>
          <t>Samsung Gulf</t>
        </is>
      </c>
      <c r="L8" s="14" t="n">
        <v>45721</v>
      </c>
      <c r="M8" s="21">
        <f>MAX(0,TODAY()-L8)</f>
        <v/>
      </c>
    </row>
    <row r="9" ht="22" customHeight="1">
      <c r="B9" s="12" t="inlineStr">
        <is>
          <t>P005</t>
        </is>
      </c>
      <c r="C9" s="12" t="inlineStr">
        <is>
          <t>Earbuds</t>
        </is>
      </c>
      <c r="D9" s="12" t="inlineStr">
        <is>
          <t>Audio</t>
        </is>
      </c>
      <c r="E9" s="13" t="n">
        <v>85</v>
      </c>
      <c r="F9" s="13" t="n">
        <v>40</v>
      </c>
      <c r="G9" s="33">
        <f>IFERROR((E9-F9)/E9,0)</f>
        <v/>
      </c>
      <c r="H9" s="34" t="n">
        <v>18</v>
      </c>
      <c r="I9" s="34" t="n">
        <v>12</v>
      </c>
      <c r="J9" s="12">
        <f>IF(H9&lt;=I9,"LOW STOCK","In Stock")</f>
        <v/>
      </c>
      <c r="K9" s="12" t="inlineStr">
        <is>
          <t>Apple ME</t>
        </is>
      </c>
      <c r="L9" s="11" t="n">
        <v>45731</v>
      </c>
      <c r="M9" s="20">
        <f>MAX(0,TODAY()-L9)</f>
        <v/>
      </c>
    </row>
    <row r="10" ht="22" customHeight="1">
      <c r="B10" s="15" t="inlineStr">
        <is>
          <t>P006</t>
        </is>
      </c>
      <c r="C10" s="15" t="inlineStr">
        <is>
          <t>Bluetooth Speaker</t>
        </is>
      </c>
      <c r="D10" s="15" t="inlineStr">
        <is>
          <t>Audio</t>
        </is>
      </c>
      <c r="E10" s="16" t="n">
        <v>150</v>
      </c>
      <c r="F10" s="16" t="n">
        <v>70</v>
      </c>
      <c r="G10" s="35">
        <f>IFERROR((E10-F10)/E10,0)</f>
        <v/>
      </c>
      <c r="H10" s="36" t="n">
        <v>14</v>
      </c>
      <c r="I10" s="36" t="n">
        <v>8</v>
      </c>
      <c r="J10" s="15">
        <f>IF(H10&lt;=I10,"LOW STOCK","In Stock")</f>
        <v/>
      </c>
      <c r="K10" s="15" t="inlineStr">
        <is>
          <t>Samsung Gulf</t>
        </is>
      </c>
      <c r="L10" s="14" t="n">
        <v>45717</v>
      </c>
      <c r="M10" s="21">
        <f>MAX(0,TODAY()-L10)</f>
        <v/>
      </c>
    </row>
    <row r="11" ht="22" customHeight="1">
      <c r="B11" s="12" t="inlineStr">
        <is>
          <t>P007</t>
        </is>
      </c>
      <c r="C11" s="12" t="inlineStr">
        <is>
          <t>Headphones</t>
        </is>
      </c>
      <c r="D11" s="12" t="inlineStr">
        <is>
          <t>Audio</t>
        </is>
      </c>
      <c r="E11" s="13" t="n">
        <v>200</v>
      </c>
      <c r="F11" s="13" t="n">
        <v>90</v>
      </c>
      <c r="G11" s="33">
        <f>IFERROR((E11-F11)/E11,0)</f>
        <v/>
      </c>
      <c r="H11" s="34" t="n">
        <v>2</v>
      </c>
      <c r="I11" s="34" t="n">
        <v>6</v>
      </c>
      <c r="J11" s="12">
        <f>IF(H11&lt;=I11,"LOW STOCK","In Stock")</f>
        <v/>
      </c>
      <c r="K11" s="12" t="inlineStr">
        <is>
          <t>Apple ME</t>
        </is>
      </c>
      <c r="L11" s="11" t="n">
        <v>45736</v>
      </c>
      <c r="M11" s="20">
        <f>MAX(0,TODAY()-L11)</f>
        <v/>
      </c>
    </row>
    <row r="12" ht="22" customHeight="1">
      <c r="B12" s="15" t="inlineStr">
        <is>
          <t>P008</t>
        </is>
      </c>
      <c r="C12" s="15" t="inlineStr">
        <is>
          <t>Tablet</t>
        </is>
      </c>
      <c r="D12" s="15" t="inlineStr">
        <is>
          <t>Devices</t>
        </is>
      </c>
      <c r="E12" s="16" t="n">
        <v>899</v>
      </c>
      <c r="F12" s="16" t="n">
        <v>540</v>
      </c>
      <c r="G12" s="35">
        <f>IFERROR((E12-F12)/E12,0)</f>
        <v/>
      </c>
      <c r="H12" s="36" t="n">
        <v>6</v>
      </c>
      <c r="I12" s="36" t="n">
        <v>3</v>
      </c>
      <c r="J12" s="15">
        <f>IF(H12&lt;=I12,"LOW STOCK","In Stock")</f>
        <v/>
      </c>
      <c r="K12" s="15" t="inlineStr">
        <is>
          <t>Apple ME</t>
        </is>
      </c>
      <c r="L12" s="14" t="n">
        <v>45734</v>
      </c>
      <c r="M12" s="21">
        <f>MAX(0,TODAY()-L12)</f>
        <v/>
      </c>
    </row>
    <row r="13" ht="22" customHeight="1">
      <c r="B13" s="12" t="inlineStr">
        <is>
          <t>P009</t>
        </is>
      </c>
      <c r="C13" s="12" t="inlineStr">
        <is>
          <t>Smart Watch</t>
        </is>
      </c>
      <c r="D13" s="12" t="inlineStr">
        <is>
          <t>Wearables</t>
        </is>
      </c>
      <c r="E13" s="13" t="n">
        <v>450</v>
      </c>
      <c r="F13" s="13" t="n">
        <v>270</v>
      </c>
      <c r="G13" s="33">
        <f>IFERROR((E13-F13)/E13,0)</f>
        <v/>
      </c>
      <c r="H13" s="34" t="n">
        <v>3</v>
      </c>
      <c r="I13" s="34" t="n">
        <v>5</v>
      </c>
      <c r="J13" s="12">
        <f>IF(H13&lt;=I13,"LOW STOCK","In Stock")</f>
        <v/>
      </c>
      <c r="K13" s="12" t="inlineStr">
        <is>
          <t>Apple ME</t>
        </is>
      </c>
      <c r="L13" s="11" t="n">
        <v>45730</v>
      </c>
      <c r="M13" s="20">
        <f>MAX(0,TODAY()-L13)</f>
        <v/>
      </c>
    </row>
    <row r="14" ht="22" customHeight="1">
      <c r="B14" s="15" t="inlineStr">
        <is>
          <t>P010</t>
        </is>
      </c>
      <c r="C14" s="15" t="inlineStr">
        <is>
          <t>Fitness Band</t>
        </is>
      </c>
      <c r="D14" s="15" t="inlineStr">
        <is>
          <t>Wearables</t>
        </is>
      </c>
      <c r="E14" s="16" t="n">
        <v>180</v>
      </c>
      <c r="F14" s="16" t="n">
        <v>90</v>
      </c>
      <c r="G14" s="35">
        <f>IFERROR((E14-F14)/E14,0)</f>
        <v/>
      </c>
      <c r="H14" s="36" t="n">
        <v>15</v>
      </c>
      <c r="I14" s="36" t="n">
        <v>8</v>
      </c>
      <c r="J14" s="15">
        <f>IF(H14&lt;=I14,"LOW STOCK","In Stock")</f>
        <v/>
      </c>
      <c r="K14" s="15" t="inlineStr">
        <is>
          <t>Samsung Gulf</t>
        </is>
      </c>
      <c r="L14" s="14" t="n">
        <v>45725</v>
      </c>
      <c r="M14" s="21">
        <f>MAX(0,TODAY()-L14)</f>
        <v/>
      </c>
    </row>
    <row r="15" ht="22" customHeight="1">
      <c r="B15" s="12" t="inlineStr">
        <is>
          <t>P011</t>
        </is>
      </c>
      <c r="C15" s="12" t="inlineStr">
        <is>
          <t>Laptop Stand</t>
        </is>
      </c>
      <c r="D15" s="12" t="inlineStr">
        <is>
          <t>Accessories</t>
        </is>
      </c>
      <c r="E15" s="13" t="n">
        <v>150</v>
      </c>
      <c r="F15" s="13" t="n">
        <v>65</v>
      </c>
      <c r="G15" s="33">
        <f>IFERROR((E15-F15)/E15,0)</f>
        <v/>
      </c>
      <c r="H15" s="34" t="n">
        <v>14</v>
      </c>
      <c r="I15" s="34" t="n">
        <v>10</v>
      </c>
      <c r="J15" s="12">
        <f>IF(H15&lt;=I15,"LOW STOCK","In Stock")</f>
        <v/>
      </c>
      <c r="K15" s="12" t="inlineStr">
        <is>
          <t>Dell Middle East</t>
        </is>
      </c>
      <c r="L15" s="11" t="n">
        <v>45723</v>
      </c>
      <c r="M15" s="20">
        <f>MAX(0,TODAY()-L15)</f>
        <v/>
      </c>
    </row>
    <row r="16" ht="22" customHeight="1">
      <c r="B16" s="15" t="inlineStr">
        <is>
          <t>P012</t>
        </is>
      </c>
      <c r="C16" s="15" t="inlineStr">
        <is>
          <t>Keyboard</t>
        </is>
      </c>
      <c r="D16" s="15" t="inlineStr">
        <is>
          <t>Peripherals</t>
        </is>
      </c>
      <c r="E16" s="16" t="n">
        <v>200</v>
      </c>
      <c r="F16" s="16" t="n">
        <v>100</v>
      </c>
      <c r="G16" s="35">
        <f>IFERROR((E16-F16)/E16,0)</f>
        <v/>
      </c>
      <c r="H16" s="36" t="n">
        <v>15</v>
      </c>
      <c r="I16" s="36" t="n">
        <v>8</v>
      </c>
      <c r="J16" s="15">
        <f>IF(H16&lt;=I16,"LOW STOCK","In Stock")</f>
        <v/>
      </c>
      <c r="K16" s="15" t="inlineStr">
        <is>
          <t>Dell Middle East</t>
        </is>
      </c>
      <c r="L16" s="14" t="n">
        <v>45727</v>
      </c>
      <c r="M16" s="21">
        <f>MAX(0,TODAY()-L16)</f>
        <v/>
      </c>
    </row>
    <row r="17" ht="22" customHeight="1">
      <c r="B17" s="12" t="inlineStr">
        <is>
          <t>P013</t>
        </is>
      </c>
      <c r="C17" s="12" t="inlineStr">
        <is>
          <t>Mouse</t>
        </is>
      </c>
      <c r="D17" s="12" t="inlineStr">
        <is>
          <t>Peripherals</t>
        </is>
      </c>
      <c r="E17" s="13" t="n">
        <v>80</v>
      </c>
      <c r="F17" s="13" t="n">
        <v>35</v>
      </c>
      <c r="G17" s="33">
        <f>IFERROR((E17-F17)/E17,0)</f>
        <v/>
      </c>
      <c r="H17" s="34" t="n">
        <v>22</v>
      </c>
      <c r="I17" s="34" t="n">
        <v>10</v>
      </c>
      <c r="J17" s="12">
        <f>IF(H17&lt;=I17,"LOW STOCK","In Stock")</f>
        <v/>
      </c>
      <c r="K17" s="12" t="inlineStr">
        <is>
          <t>Dell Middle East</t>
        </is>
      </c>
      <c r="L17" s="11" t="n">
        <v>45722</v>
      </c>
      <c r="M17" s="20">
        <f>MAX(0,TODAY()-L17)</f>
        <v/>
      </c>
    </row>
    <row r="18" ht="22" customHeight="1">
      <c r="B18" s="15" t="inlineStr">
        <is>
          <t>P014</t>
        </is>
      </c>
      <c r="C18" s="15" t="inlineStr">
        <is>
          <t>Charger</t>
        </is>
      </c>
      <c r="D18" s="15" t="inlineStr">
        <is>
          <t>Accessories</t>
        </is>
      </c>
      <c r="E18" s="16" t="n">
        <v>55</v>
      </c>
      <c r="F18" s="16" t="n">
        <v>22</v>
      </c>
      <c r="G18" s="35">
        <f>IFERROR((E18-F18)/E18,0)</f>
        <v/>
      </c>
      <c r="H18" s="36" t="n">
        <v>3</v>
      </c>
      <c r="I18" s="36" t="n">
        <v>12</v>
      </c>
      <c r="J18" s="15">
        <f>IF(H18&lt;=I18,"LOW STOCK","In Stock")</f>
        <v/>
      </c>
      <c r="K18" s="15" t="inlineStr">
        <is>
          <t>Accessories Plus</t>
        </is>
      </c>
      <c r="L18" s="14" t="n">
        <v>45729</v>
      </c>
      <c r="M18" s="21">
        <f>MAX(0,TODAY()-L18)</f>
        <v/>
      </c>
    </row>
    <row r="19" ht="22" customHeight="1">
      <c r="B19" s="12" t="inlineStr">
        <is>
          <t>P015</t>
        </is>
      </c>
      <c r="C19" s="12" t="inlineStr">
        <is>
          <t>HDMI Cable</t>
        </is>
      </c>
      <c r="D19" s="12" t="inlineStr">
        <is>
          <t>Cables</t>
        </is>
      </c>
      <c r="E19" s="13" t="n">
        <v>35</v>
      </c>
      <c r="F19" s="13" t="n">
        <v>14</v>
      </c>
      <c r="G19" s="33">
        <f>IFERROR((E19-F19)/E19,0)</f>
        <v/>
      </c>
      <c r="H19" s="34" t="n">
        <v>25</v>
      </c>
      <c r="I19" s="34" t="n">
        <v>20</v>
      </c>
      <c r="J19" s="12">
        <f>IF(H19&lt;=I19,"LOW STOCK","In Stock")</f>
        <v/>
      </c>
      <c r="K19" s="12" t="inlineStr">
        <is>
          <t>Accessories Plus</t>
        </is>
      </c>
      <c r="L19" s="11" t="n">
        <v>45720</v>
      </c>
      <c r="M19" s="20">
        <f>MAX(0,TODAY()-L19)</f>
        <v/>
      </c>
    </row>
    <row r="20" ht="22" customHeight="1">
      <c r="B20" s="15" t="inlineStr">
        <is>
          <t>P016</t>
        </is>
      </c>
      <c r="C20" s="15" t="inlineStr">
        <is>
          <t>Type-C Hub</t>
        </is>
      </c>
      <c r="D20" s="15" t="inlineStr">
        <is>
          <t>Accessories</t>
        </is>
      </c>
      <c r="E20" s="16" t="n">
        <v>95</v>
      </c>
      <c r="F20" s="16" t="n">
        <v>42</v>
      </c>
      <c r="G20" s="35">
        <f>IFERROR((E20-F20)/E20,0)</f>
        <v/>
      </c>
      <c r="H20" s="36" t="n">
        <v>12</v>
      </c>
      <c r="I20" s="36" t="n">
        <v>8</v>
      </c>
      <c r="J20" s="15">
        <f>IF(H20&lt;=I20,"LOW STOCK","In Stock")</f>
        <v/>
      </c>
      <c r="K20" s="15" t="inlineStr">
        <is>
          <t>TechParts UAE</t>
        </is>
      </c>
      <c r="L20" s="14" t="n">
        <v>45732</v>
      </c>
      <c r="M20" s="21">
        <f>MAX(0,TODAY()-L20)</f>
        <v/>
      </c>
    </row>
    <row r="21" ht="22" customHeight="1">
      <c r="B21" s="12" t="inlineStr">
        <is>
          <t>P017</t>
        </is>
      </c>
      <c r="C21" s="12" t="inlineStr">
        <is>
          <t>Wireless Charger</t>
        </is>
      </c>
      <c r="D21" s="12" t="inlineStr">
        <is>
          <t>Accessories</t>
        </is>
      </c>
      <c r="E21" s="13" t="n">
        <v>110</v>
      </c>
      <c r="F21" s="13" t="n">
        <v>50</v>
      </c>
      <c r="G21" s="33">
        <f>IFERROR((E21-F21)/E21,0)</f>
        <v/>
      </c>
      <c r="H21" s="34" t="n">
        <v>18</v>
      </c>
      <c r="I21" s="34" t="n">
        <v>8</v>
      </c>
      <c r="J21" s="12">
        <f>IF(H21&lt;=I21,"LOW STOCK","In Stock")</f>
        <v/>
      </c>
      <c r="K21" s="12" t="inlineStr">
        <is>
          <t>Samsung Gulf</t>
        </is>
      </c>
      <c r="L21" s="11" t="n">
        <v>45718</v>
      </c>
      <c r="M21" s="20">
        <f>MAX(0,TODAY()-L21)</f>
        <v/>
      </c>
    </row>
    <row r="22" ht="22" customHeight="1">
      <c r="B22" s="15" t="inlineStr">
        <is>
          <t>P018</t>
        </is>
      </c>
      <c r="C22" s="15" t="inlineStr">
        <is>
          <t>Memory Card 64GB</t>
        </is>
      </c>
      <c r="D22" s="15" t="inlineStr">
        <is>
          <t>Storage</t>
        </is>
      </c>
      <c r="E22" s="16" t="n">
        <v>45</v>
      </c>
      <c r="F22" s="16" t="n">
        <v>18</v>
      </c>
      <c r="G22" s="35">
        <f>IFERROR((E22-F22)/E22,0)</f>
        <v/>
      </c>
      <c r="H22" s="36" t="n">
        <v>30</v>
      </c>
      <c r="I22" s="36" t="n">
        <v>15</v>
      </c>
      <c r="J22" s="15">
        <f>IF(H22&lt;=I22,"LOW STOCK","In Stock")</f>
        <v/>
      </c>
      <c r="K22" s="15" t="inlineStr">
        <is>
          <t>TechParts UAE</t>
        </is>
      </c>
      <c r="L22" s="14" t="n">
        <v>45735</v>
      </c>
      <c r="M22" s="21">
        <f>MAX(0,TODAY()-L22)</f>
        <v/>
      </c>
    </row>
    <row r="23" ht="22" customHeight="1">
      <c r="B23" s="12" t="inlineStr">
        <is>
          <t>P019</t>
        </is>
      </c>
      <c r="C23" s="12" t="inlineStr">
        <is>
          <t>USB Flash Drive</t>
        </is>
      </c>
      <c r="D23" s="12" t="inlineStr">
        <is>
          <t>Storage</t>
        </is>
      </c>
      <c r="E23" s="13" t="n">
        <v>30</v>
      </c>
      <c r="F23" s="13" t="n">
        <v>12</v>
      </c>
      <c r="G23" s="33">
        <f>IFERROR((E23-F23)/E23,0)</f>
        <v/>
      </c>
      <c r="H23" s="34" t="n">
        <v>22</v>
      </c>
      <c r="I23" s="34" t="n">
        <v>18</v>
      </c>
      <c r="J23" s="12">
        <f>IF(H23&lt;=I23,"LOW STOCK","In Stock")</f>
        <v/>
      </c>
      <c r="K23" s="12" t="inlineStr">
        <is>
          <t>TechParts UAE</t>
        </is>
      </c>
      <c r="L23" s="11" t="n">
        <v>45719</v>
      </c>
      <c r="M23" s="20">
        <f>MAX(0,TODAY()-L23)</f>
        <v/>
      </c>
    </row>
    <row r="24" ht="22" customHeight="1">
      <c r="B24" s="15" t="inlineStr">
        <is>
          <t>P020</t>
        </is>
      </c>
      <c r="C24" s="15" t="inlineStr">
        <is>
          <t>Portable SSD</t>
        </is>
      </c>
      <c r="D24" s="15" t="inlineStr">
        <is>
          <t>Storage</t>
        </is>
      </c>
      <c r="E24" s="16" t="n">
        <v>250</v>
      </c>
      <c r="F24" s="16" t="n">
        <v>140</v>
      </c>
      <c r="G24" s="35">
        <f>IFERROR((E24-F24)/E24,0)</f>
        <v/>
      </c>
      <c r="H24" s="36" t="n">
        <v>2</v>
      </c>
      <c r="I24" s="36" t="n">
        <v>4</v>
      </c>
      <c r="J24" s="15">
        <f>IF(H24&lt;=I24,"LOW STOCK","In Stock")</f>
        <v/>
      </c>
      <c r="K24" s="15" t="inlineStr">
        <is>
          <t>Samsung Gulf</t>
        </is>
      </c>
      <c r="L24" s="14" t="n">
        <v>45733</v>
      </c>
      <c r="M24" s="21">
        <f>MAX(0,TODAY()-L24)</f>
        <v/>
      </c>
    </row>
    <row r="25" ht="22" customHeight="1">
      <c r="B25" s="12" t="inlineStr">
        <is>
          <t>P021</t>
        </is>
      </c>
      <c r="C25" s="12" t="inlineStr">
        <is>
          <t>Webcam</t>
        </is>
      </c>
      <c r="D25" s="12" t="inlineStr">
        <is>
          <t>Peripherals</t>
        </is>
      </c>
      <c r="E25" s="13" t="n">
        <v>180</v>
      </c>
      <c r="F25" s="13" t="n">
        <v>85</v>
      </c>
      <c r="G25" s="33">
        <f>IFERROR((E25-F25)/E25,0)</f>
        <v/>
      </c>
      <c r="H25" s="34" t="n">
        <v>10</v>
      </c>
      <c r="I25" s="34" t="n">
        <v>6</v>
      </c>
      <c r="J25" s="12">
        <f>IF(H25&lt;=I25,"LOW STOCK","In Stock")</f>
        <v/>
      </c>
      <c r="K25" s="12" t="inlineStr">
        <is>
          <t>Dell Middle East</t>
        </is>
      </c>
      <c r="L25" s="11" t="n">
        <v>45724</v>
      </c>
      <c r="M25" s="20">
        <f>MAX(0,TODAY()-L25)</f>
        <v/>
      </c>
    </row>
    <row r="26" ht="22" customHeight="1">
      <c r="B26" s="15" t="inlineStr">
        <is>
          <t>P022</t>
        </is>
      </c>
      <c r="C26" s="15" t="inlineStr">
        <is>
          <t>Monitor Cable</t>
        </is>
      </c>
      <c r="D26" s="15" t="inlineStr">
        <is>
          <t>Cables</t>
        </is>
      </c>
      <c r="E26" s="16" t="n">
        <v>40</v>
      </c>
      <c r="F26" s="16" t="n">
        <v>16</v>
      </c>
      <c r="G26" s="35">
        <f>IFERROR((E26-F26)/E26,0)</f>
        <v/>
      </c>
      <c r="H26" s="36" t="n">
        <v>28</v>
      </c>
      <c r="I26" s="36" t="n">
        <v>20</v>
      </c>
      <c r="J26" s="15">
        <f>IF(H26&lt;=I26,"LOW STOCK","In Stock")</f>
        <v/>
      </c>
      <c r="K26" s="15" t="inlineStr">
        <is>
          <t>Accessories Plus</t>
        </is>
      </c>
      <c r="L26" s="14" t="n">
        <v>45721</v>
      </c>
      <c r="M26" s="21">
        <f>MAX(0,TODAY()-L26)</f>
        <v/>
      </c>
    </row>
    <row r="27" ht="22" customHeight="1">
      <c r="B27" s="12" t="inlineStr">
        <is>
          <t>P023</t>
        </is>
      </c>
      <c r="C27" s="12" t="inlineStr">
        <is>
          <t>Phone Holder</t>
        </is>
      </c>
      <c r="D27" s="12" t="inlineStr">
        <is>
          <t>Accessories</t>
        </is>
      </c>
      <c r="E27" s="13" t="n">
        <v>35</v>
      </c>
      <c r="F27" s="13" t="n">
        <v>14</v>
      </c>
      <c r="G27" s="33">
        <f>IFERROR((E27-F27)/E27,0)</f>
        <v/>
      </c>
      <c r="H27" s="34" t="n">
        <v>15</v>
      </c>
      <c r="I27" s="34" t="n">
        <v>10</v>
      </c>
      <c r="J27" s="12">
        <f>IF(H27&lt;=I27,"LOW STOCK","In Stock")</f>
        <v/>
      </c>
      <c r="K27" s="12" t="inlineStr">
        <is>
          <t>Accessories Plus</t>
        </is>
      </c>
      <c r="L27" s="11" t="n">
        <v>45736</v>
      </c>
      <c r="M27" s="20">
        <f>MAX(0,TODAY()-L27)</f>
        <v/>
      </c>
    </row>
    <row r="28" ht="22" customHeight="1">
      <c r="B28" s="15" t="inlineStr">
        <is>
          <t>P024</t>
        </is>
      </c>
      <c r="C28" s="15" t="inlineStr">
        <is>
          <t>Stylus Pen</t>
        </is>
      </c>
      <c r="D28" s="15" t="inlineStr">
        <is>
          <t>Accessories</t>
        </is>
      </c>
      <c r="E28" s="16" t="n">
        <v>65</v>
      </c>
      <c r="F28" s="16" t="n">
        <v>28</v>
      </c>
      <c r="G28" s="35">
        <f>IFERROR((E28-F28)/E28,0)</f>
        <v/>
      </c>
      <c r="H28" s="36" t="n">
        <v>12</v>
      </c>
      <c r="I28" s="36" t="n">
        <v>8</v>
      </c>
      <c r="J28" s="15">
        <f>IF(H28&lt;=I28,"LOW STOCK","In Stock")</f>
        <v/>
      </c>
      <c r="K28" s="15" t="inlineStr">
        <is>
          <t>Apple ME</t>
        </is>
      </c>
      <c r="L28" s="14" t="n">
        <v>45726</v>
      </c>
      <c r="M28" s="21">
        <f>MAX(0,TODAY()-L28)</f>
        <v/>
      </c>
    </row>
    <row r="29" ht="22" customHeight="1">
      <c r="B29" s="12" t="inlineStr">
        <is>
          <t>P025</t>
        </is>
      </c>
      <c r="C29" s="12" t="inlineStr">
        <is>
          <t>Car Mount</t>
        </is>
      </c>
      <c r="D29" s="12" t="inlineStr">
        <is>
          <t>Accessories</t>
        </is>
      </c>
      <c r="E29" s="13" t="n">
        <v>50</v>
      </c>
      <c r="F29" s="13" t="n">
        <v>20</v>
      </c>
      <c r="G29" s="33">
        <f>IFERROR((E29-F29)/E29,0)</f>
        <v/>
      </c>
      <c r="H29" s="34" t="n">
        <v>14</v>
      </c>
      <c r="I29" s="34" t="n">
        <v>12</v>
      </c>
      <c r="J29" s="12">
        <f>IF(H29&lt;=I29,"LOW STOCK","In Stock")</f>
        <v/>
      </c>
      <c r="K29" s="12" t="inlineStr">
        <is>
          <t>Accessories Plus</t>
        </is>
      </c>
      <c r="L29" s="11" t="n">
        <v>45728</v>
      </c>
      <c r="M29" s="20">
        <f>MAX(0,TODAY()-L29)</f>
        <v/>
      </c>
    </row>
    <row r="30" ht="22" customHeight="1">
      <c r="B30" s="15" t="inlineStr">
        <is>
          <t>P026</t>
        </is>
      </c>
      <c r="C30" s="15" t="inlineStr">
        <is>
          <t>Surge Protector</t>
        </is>
      </c>
      <c r="D30" s="15" t="inlineStr">
        <is>
          <t>Accessories</t>
        </is>
      </c>
      <c r="E30" s="16" t="n">
        <v>75</v>
      </c>
      <c r="F30" s="16" t="n">
        <v>32</v>
      </c>
      <c r="G30" s="35">
        <f>IFERROR((E30-F30)/E30,0)</f>
        <v/>
      </c>
      <c r="H30" s="36" t="n">
        <v>16</v>
      </c>
      <c r="I30" s="36" t="n">
        <v>10</v>
      </c>
      <c r="J30" s="15">
        <f>IF(H30&lt;=I30,"LOW STOCK","In Stock")</f>
        <v/>
      </c>
      <c r="K30" s="15" t="inlineStr">
        <is>
          <t>TechParts UAE</t>
        </is>
      </c>
      <c r="L30" s="14" t="n">
        <v>45722</v>
      </c>
      <c r="M30" s="21">
        <f>MAX(0,TODAY()-L30)</f>
        <v/>
      </c>
    </row>
    <row r="31" ht="22" customHeight="1">
      <c r="B31" s="12" t="inlineStr">
        <is>
          <t>P027</t>
        </is>
      </c>
      <c r="C31" s="12" t="inlineStr">
        <is>
          <t>Cleaning Kit</t>
        </is>
      </c>
      <c r="D31" s="12" t="inlineStr">
        <is>
          <t>Accessories</t>
        </is>
      </c>
      <c r="E31" s="13" t="n">
        <v>25</v>
      </c>
      <c r="F31" s="13" t="n">
        <v>8</v>
      </c>
      <c r="G31" s="33">
        <f>IFERROR((E31-F31)/E31,0)</f>
        <v/>
      </c>
      <c r="H31" s="34" t="n">
        <v>35</v>
      </c>
      <c r="I31" s="34" t="n">
        <v>20</v>
      </c>
      <c r="J31" s="12">
        <f>IF(H31&lt;=I31,"LOW STOCK","In Stock")</f>
        <v/>
      </c>
      <c r="K31" s="12" t="inlineStr">
        <is>
          <t>TechParts UAE</t>
        </is>
      </c>
      <c r="L31" s="11" t="n">
        <v>45730</v>
      </c>
      <c r="M31" s="20">
        <f>MAX(0,TODAY()-L31)</f>
        <v/>
      </c>
    </row>
    <row r="32" ht="22" customHeight="1">
      <c r="B32" s="15" t="inlineStr">
        <is>
          <t>P028</t>
        </is>
      </c>
      <c r="C32" s="15" t="inlineStr">
        <is>
          <t>Mouse Pad XL</t>
        </is>
      </c>
      <c r="D32" s="15" t="inlineStr">
        <is>
          <t>Peripherals</t>
        </is>
      </c>
      <c r="E32" s="16" t="n">
        <v>40</v>
      </c>
      <c r="F32" s="16" t="n">
        <v>15</v>
      </c>
      <c r="G32" s="35">
        <f>IFERROR((E32-F32)/E32,0)</f>
        <v/>
      </c>
      <c r="H32" s="36" t="n">
        <v>18</v>
      </c>
      <c r="I32" s="36" t="n">
        <v>12</v>
      </c>
      <c r="J32" s="15">
        <f>IF(H32&lt;=I32,"LOW STOCK","In Stock")</f>
        <v/>
      </c>
      <c r="K32" s="15" t="inlineStr">
        <is>
          <t>Dell Middle East</t>
        </is>
      </c>
      <c r="L32" s="14" t="n">
        <v>45725</v>
      </c>
      <c r="M32" s="21">
        <f>MAX(0,TODAY()-L32)</f>
        <v/>
      </c>
    </row>
    <row r="33" ht="22" customHeight="1">
      <c r="B33" s="12" t="inlineStr">
        <is>
          <t>P029</t>
        </is>
      </c>
      <c r="C33" s="12" t="inlineStr">
        <is>
          <t>Adapter Plug</t>
        </is>
      </c>
      <c r="D33" s="12" t="inlineStr">
        <is>
          <t>Accessories</t>
        </is>
      </c>
      <c r="E33" s="13" t="n">
        <v>20</v>
      </c>
      <c r="F33" s="13" t="n">
        <v>7</v>
      </c>
      <c r="G33" s="33">
        <f>IFERROR((E33-F33)/E33,0)</f>
        <v/>
      </c>
      <c r="H33" s="34" t="n">
        <v>20</v>
      </c>
      <c r="I33" s="34" t="n">
        <v>15</v>
      </c>
      <c r="J33" s="12">
        <f>IF(H33&lt;=I33,"LOW STOCK","In Stock")</f>
        <v/>
      </c>
      <c r="K33" s="12" t="inlineStr">
        <is>
          <t>Accessories Plus</t>
        </is>
      </c>
      <c r="L33" s="11" t="n">
        <v>45731</v>
      </c>
      <c r="M33" s="20">
        <f>MAX(0,TODAY()-L33)</f>
        <v/>
      </c>
    </row>
    <row r="34" ht="22" customHeight="1">
      <c r="B34" s="15" t="inlineStr">
        <is>
          <t>P030</t>
        </is>
      </c>
      <c r="C34" s="15" t="inlineStr">
        <is>
          <t>AV Cable</t>
        </is>
      </c>
      <c r="D34" s="15" t="inlineStr">
        <is>
          <t>Cables</t>
        </is>
      </c>
      <c r="E34" s="16" t="n">
        <v>28</v>
      </c>
      <c r="F34" s="16" t="n">
        <v>10</v>
      </c>
      <c r="G34" s="35">
        <f>IFERROR((E34-F34)/E34,0)</f>
        <v/>
      </c>
      <c r="H34" s="36" t="n">
        <v>4</v>
      </c>
      <c r="I34" s="36" t="n">
        <v>10</v>
      </c>
      <c r="J34" s="15">
        <f>IF(H34&lt;=I34,"LOW STOCK","In Stock")</f>
        <v/>
      </c>
      <c r="K34" s="15" t="inlineStr">
        <is>
          <t>Accessories Plus</t>
        </is>
      </c>
      <c r="L34" s="14" t="n">
        <v>45727</v>
      </c>
      <c r="M34" s="21">
        <f>MAX(0,TODAY()-L34)</f>
        <v/>
      </c>
    </row>
    <row r="35" ht="22" customHeight="1">
      <c r="B35" s="12" t="inlineStr">
        <is>
          <t>P031</t>
        </is>
      </c>
      <c r="C35" s="12" t="inlineStr">
        <is>
          <t>Ethernet Cable</t>
        </is>
      </c>
      <c r="D35" s="12" t="inlineStr">
        <is>
          <t>Cables</t>
        </is>
      </c>
      <c r="E35" s="13" t="n">
        <v>22</v>
      </c>
      <c r="F35" s="13" t="n">
        <v>8</v>
      </c>
      <c r="G35" s="33">
        <f>IFERROR((E35-F35)/E35,0)</f>
        <v/>
      </c>
      <c r="H35" s="34" t="n">
        <v>40</v>
      </c>
      <c r="I35" s="34" t="n">
        <v>25</v>
      </c>
      <c r="J35" s="12">
        <f>IF(H35&lt;=I35,"LOW STOCK","In Stock")</f>
        <v/>
      </c>
      <c r="K35" s="12" t="inlineStr">
        <is>
          <t>Accessories Plus</t>
        </is>
      </c>
      <c r="L35" s="11" t="n">
        <v>45719</v>
      </c>
      <c r="M35" s="20">
        <f>MAX(0,TODAY()-L35)</f>
        <v/>
      </c>
    </row>
    <row r="36" ht="22" customHeight="1">
      <c r="B36" s="15" t="inlineStr">
        <is>
          <t>P032</t>
        </is>
      </c>
      <c r="C36" s="15" t="inlineStr">
        <is>
          <t>Audio Splitter</t>
        </is>
      </c>
      <c r="D36" s="15" t="inlineStr">
        <is>
          <t>Audio</t>
        </is>
      </c>
      <c r="E36" s="16" t="n">
        <v>18</v>
      </c>
      <c r="F36" s="16" t="n">
        <v>6</v>
      </c>
      <c r="G36" s="35">
        <f>IFERROR((E36-F36)/E36,0)</f>
        <v/>
      </c>
      <c r="H36" s="36" t="n">
        <v>18</v>
      </c>
      <c r="I36" s="36" t="n">
        <v>12</v>
      </c>
      <c r="J36" s="15">
        <f>IF(H36&lt;=I36,"LOW STOCK","In Stock")</f>
        <v/>
      </c>
      <c r="K36" s="15" t="inlineStr">
        <is>
          <t>TechParts UAE</t>
        </is>
      </c>
      <c r="L36" s="14" t="n">
        <v>45734</v>
      </c>
      <c r="M36" s="21">
        <f>MAX(0,TODAY()-L36)</f>
        <v/>
      </c>
    </row>
    <row r="37" ht="22" customHeight="1">
      <c r="B37" s="12" t="inlineStr">
        <is>
          <t>P033</t>
        </is>
      </c>
      <c r="C37" s="12" t="inlineStr">
        <is>
          <t>Ring Light</t>
        </is>
      </c>
      <c r="D37" s="12" t="inlineStr">
        <is>
          <t>Accessories</t>
        </is>
      </c>
      <c r="E37" s="13" t="n">
        <v>120</v>
      </c>
      <c r="F37" s="13" t="n">
        <v>52</v>
      </c>
      <c r="G37" s="33">
        <f>IFERROR((E37-F37)/E37,0)</f>
        <v/>
      </c>
      <c r="H37" s="34" t="n">
        <v>3</v>
      </c>
      <c r="I37" s="34" t="n">
        <v>6</v>
      </c>
      <c r="J37" s="12">
        <f>IF(H37&lt;=I37,"LOW STOCK","In Stock")</f>
        <v/>
      </c>
      <c r="K37" s="12" t="inlineStr">
        <is>
          <t>TechParts UAE</t>
        </is>
      </c>
      <c r="L37" s="11" t="n">
        <v>45723</v>
      </c>
      <c r="M37" s="20">
        <f>MAX(0,TODAY()-L37)</f>
        <v/>
      </c>
    </row>
    <row r="38" ht="22" customHeight="1">
      <c r="B38" s="15" t="inlineStr">
        <is>
          <t>P034</t>
        </is>
      </c>
      <c r="C38" s="15" t="inlineStr">
        <is>
          <t>Tripod Stand</t>
        </is>
      </c>
      <c r="D38" s="15" t="inlineStr">
        <is>
          <t>Accessories</t>
        </is>
      </c>
      <c r="E38" s="16" t="n">
        <v>90</v>
      </c>
      <c r="F38" s="16" t="n">
        <v>38</v>
      </c>
      <c r="G38" s="35">
        <f>IFERROR((E38-F38)/E38,0)</f>
        <v/>
      </c>
      <c r="H38" s="36" t="n">
        <v>12</v>
      </c>
      <c r="I38" s="36" t="n">
        <v>8</v>
      </c>
      <c r="J38" s="15">
        <f>IF(H38&lt;=I38,"LOW STOCK","In Stock")</f>
        <v/>
      </c>
      <c r="K38" s="15" t="inlineStr">
        <is>
          <t>TechParts UAE</t>
        </is>
      </c>
      <c r="L38" s="14" t="n">
        <v>45729</v>
      </c>
      <c r="M38" s="21">
        <f>MAX(0,TODAY()-L38)</f>
        <v/>
      </c>
    </row>
    <row r="39" ht="26" customHeight="1">
      <c r="B39" s="17" t="inlineStr">
        <is>
          <t>TOTALS</t>
        </is>
      </c>
      <c r="C39" s="17" t="n"/>
      <c r="D39" s="17" t="n"/>
      <c r="E39" s="17" t="n"/>
      <c r="F39" s="17" t="n"/>
      <c r="G39" s="17" t="n"/>
      <c r="H39" s="18">
        <f>SUM(H5:H38)</f>
        <v/>
      </c>
      <c r="I39" s="17" t="n"/>
      <c r="J39" s="17">
        <f>COUNTIF(J5:J38,"LOW STOCK")</f>
        <v/>
      </c>
      <c r="K39" s="17" t="n"/>
      <c r="L39" s="17" t="n"/>
      <c r="M39" s="17" t="n"/>
    </row>
  </sheetData>
  <mergeCells count="1">
    <mergeCell ref="B2:M2"/>
  </mergeCells>
  <conditionalFormatting sqref="J5:J38">
    <cfRule type="cellIs" priority="1" operator="equal" dxfId="0">
      <formula>"LOW STOCK"</formula>
    </cfRule>
    <cfRule type="cellIs" priority="2" operator="equal" dxfId="1">
      <formula>"In Stock"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1B2A"/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2" customWidth="1" min="7" max="7"/>
    <col width="16" customWidth="1" min="8" max="8"/>
    <col width="14" customWidth="1" min="9" max="9"/>
    <col width="20" customWidth="1" min="10" max="10"/>
  </cols>
  <sheetData>
    <row r="1" ht="15" customHeight="1"/>
    <row r="2" ht="32" customHeight="1">
      <c r="B2" s="9" t="inlineStr">
        <is>
          <t>Staff Performance — March 2025</t>
        </is>
      </c>
    </row>
    <row r="3" ht="8" customHeight="1"/>
    <row r="4" ht="28" customHeight="1">
      <c r="B4" s="10" t="inlineStr">
        <is>
          <t>Staff Name</t>
        </is>
      </c>
      <c r="C4" s="10" t="inlineStr">
        <is>
          <t>Total Sales</t>
        </is>
      </c>
      <c r="D4" s="10" t="inlineStr">
        <is>
          <t># Transactions</t>
        </is>
      </c>
      <c r="E4" s="10" t="inlineStr">
        <is>
          <t>Avg Transaction</t>
        </is>
      </c>
      <c r="F4" s="10" t="inlineStr">
        <is>
          <t>Top Category</t>
        </is>
      </c>
      <c r="G4" s="10" t="inlineStr">
        <is>
          <t>Shift</t>
        </is>
      </c>
      <c r="H4" s="10" t="inlineStr">
        <is>
          <t>Commission (5%)</t>
        </is>
      </c>
      <c r="I4" s="10" t="inlineStr">
        <is>
          <t>Sales Target</t>
        </is>
      </c>
      <c r="J4" s="10" t="inlineStr">
        <is>
          <t>Target Achievement %</t>
        </is>
      </c>
    </row>
    <row r="5" ht="22" customHeight="1">
      <c r="B5" s="12" t="inlineStr">
        <is>
          <t>Ahmed</t>
        </is>
      </c>
      <c r="C5" s="13">
        <f>SUMPRODUCT(('Sales Entry'!J5:J131=B5)*('Sales Entry'!M5:M131))</f>
        <v/>
      </c>
      <c r="D5" s="20">
        <f>SUMPRODUCT(('Sales Entry'!J5:J131=B5)*1)</f>
        <v/>
      </c>
      <c r="E5" s="13">
        <f>IFERROR(C5/D5,0)</f>
        <v/>
      </c>
      <c r="F5" s="12" t="inlineStr">
        <is>
          <t>Accessories</t>
        </is>
      </c>
      <c r="G5" s="12" t="inlineStr">
        <is>
          <t>Morning</t>
        </is>
      </c>
      <c r="H5" s="13">
        <f>C5*0.05</f>
        <v/>
      </c>
      <c r="I5" s="13" t="n">
        <v>25000</v>
      </c>
      <c r="J5" s="33">
        <f>IFERROR(C5/I5,0)</f>
        <v/>
      </c>
    </row>
    <row r="6" ht="22" customHeight="1">
      <c r="B6" s="15" t="inlineStr">
        <is>
          <t>Fatima</t>
        </is>
      </c>
      <c r="C6" s="16">
        <f>SUMPRODUCT(('Sales Entry'!J5:J131=B6)*('Sales Entry'!M5:M131))</f>
        <v/>
      </c>
      <c r="D6" s="21">
        <f>SUMPRODUCT(('Sales Entry'!J5:J131=B6)*1)</f>
        <v/>
      </c>
      <c r="E6" s="16">
        <f>IFERROR(C6/D6,0)</f>
        <v/>
      </c>
      <c r="F6" s="15" t="inlineStr">
        <is>
          <t>Devices</t>
        </is>
      </c>
      <c r="G6" s="15" t="inlineStr">
        <is>
          <t>Afternoon</t>
        </is>
      </c>
      <c r="H6" s="16">
        <f>C6*0.05</f>
        <v/>
      </c>
      <c r="I6" s="16" t="n">
        <v>28000</v>
      </c>
      <c r="J6" s="35">
        <f>IFERROR(C6/I6,0)</f>
        <v/>
      </c>
    </row>
    <row r="7" ht="22" customHeight="1">
      <c r="B7" s="12" t="inlineStr">
        <is>
          <t>Omar</t>
        </is>
      </c>
      <c r="C7" s="13">
        <f>SUMPRODUCT(('Sales Entry'!J5:J131=B7)*('Sales Entry'!M5:M131))</f>
        <v/>
      </c>
      <c r="D7" s="20">
        <f>SUMPRODUCT(('Sales Entry'!J5:J131=B7)*1)</f>
        <v/>
      </c>
      <c r="E7" s="13">
        <f>IFERROR(C7/D7,0)</f>
        <v/>
      </c>
      <c r="F7" s="12" t="inlineStr">
        <is>
          <t>Audio</t>
        </is>
      </c>
      <c r="G7" s="12" t="inlineStr">
        <is>
          <t>Evening</t>
        </is>
      </c>
      <c r="H7" s="13">
        <f>C7*0.05</f>
        <v/>
      </c>
      <c r="I7" s="13" t="n">
        <v>22000</v>
      </c>
      <c r="J7" s="33">
        <f>IFERROR(C7/I7,0)</f>
        <v/>
      </c>
    </row>
    <row r="8" ht="22" customHeight="1">
      <c r="B8" s="15" t="inlineStr">
        <is>
          <t>Sara</t>
        </is>
      </c>
      <c r="C8" s="16">
        <f>SUMPRODUCT(('Sales Entry'!J5:J131=B8)*('Sales Entry'!M5:M131))</f>
        <v/>
      </c>
      <c r="D8" s="21">
        <f>SUMPRODUCT(('Sales Entry'!J5:J131=B8)*1)</f>
        <v/>
      </c>
      <c r="E8" s="16">
        <f>IFERROR(C8/D8,0)</f>
        <v/>
      </c>
      <c r="F8" s="15" t="inlineStr">
        <is>
          <t>Accessories</t>
        </is>
      </c>
      <c r="G8" s="15" t="inlineStr">
        <is>
          <t>Morning</t>
        </is>
      </c>
      <c r="H8" s="16">
        <f>C8*0.05</f>
        <v/>
      </c>
      <c r="I8" s="16" t="n">
        <v>26000</v>
      </c>
      <c r="J8" s="35">
        <f>IFERROR(C8/I8,0)</f>
        <v/>
      </c>
    </row>
    <row r="9" ht="22" customHeight="1">
      <c r="B9" s="12" t="inlineStr">
        <is>
          <t>Khalid</t>
        </is>
      </c>
      <c r="C9" s="13">
        <f>SUMPRODUCT(('Sales Entry'!J5:J131=B9)*('Sales Entry'!M5:M131))</f>
        <v/>
      </c>
      <c r="D9" s="20">
        <f>SUMPRODUCT(('Sales Entry'!J5:J131=B9)*1)</f>
        <v/>
      </c>
      <c r="E9" s="13">
        <f>IFERROR(C9/D9,0)</f>
        <v/>
      </c>
      <c r="F9" s="12" t="inlineStr">
        <is>
          <t>Peripherals</t>
        </is>
      </c>
      <c r="G9" s="12" t="inlineStr">
        <is>
          <t>Afternoon</t>
        </is>
      </c>
      <c r="H9" s="13">
        <f>C9*0.05</f>
        <v/>
      </c>
      <c r="I9" s="13" t="n">
        <v>20000</v>
      </c>
      <c r="J9" s="33">
        <f>IFERROR(C9/I9,0)</f>
        <v/>
      </c>
    </row>
    <row r="10" ht="22" customHeight="1">
      <c r="B10" s="15" t="inlineStr">
        <is>
          <t>Maryam</t>
        </is>
      </c>
      <c r="C10" s="16">
        <f>SUMPRODUCT(('Sales Entry'!J5:J131=B10)*('Sales Entry'!M5:M131))</f>
        <v/>
      </c>
      <c r="D10" s="21">
        <f>SUMPRODUCT(('Sales Entry'!J5:J131=B10)*1)</f>
        <v/>
      </c>
      <c r="E10" s="16">
        <f>IFERROR(C10/D10,0)</f>
        <v/>
      </c>
      <c r="F10" s="15" t="inlineStr">
        <is>
          <t>Wearables</t>
        </is>
      </c>
      <c r="G10" s="15" t="inlineStr">
        <is>
          <t>Morning</t>
        </is>
      </c>
      <c r="H10" s="16">
        <f>C10*0.05</f>
        <v/>
      </c>
      <c r="I10" s="16" t="n">
        <v>24000</v>
      </c>
      <c r="J10" s="35">
        <f>IFERROR(C10/I10,0)</f>
        <v/>
      </c>
    </row>
    <row r="11" ht="26" customHeight="1">
      <c r="B11" s="17" t="inlineStr">
        <is>
          <t>TOTALS</t>
        </is>
      </c>
      <c r="C11" s="19">
        <f>SUM(C5:C10)</f>
        <v/>
      </c>
      <c r="D11" s="18">
        <f>SUM(D5:D10)</f>
        <v/>
      </c>
      <c r="E11" s="19">
        <f>IFERROR(C11/D11,0)</f>
        <v/>
      </c>
      <c r="F11" s="17" t="n"/>
      <c r="G11" s="17" t="n"/>
      <c r="H11" s="19">
        <f>SUM(H5:H10)</f>
        <v/>
      </c>
      <c r="I11" s="19">
        <f>SUM(I5:I10)</f>
        <v/>
      </c>
      <c r="J11" s="37">
        <f>IFERROR(C11/I11,0)</f>
        <v/>
      </c>
    </row>
  </sheetData>
  <mergeCells count="1">
    <mergeCell ref="B2:J2"/>
  </mergeCells>
  <conditionalFormatting sqref="J5:J10">
    <cfRule type="cellIs" priority="1" operator="greaterThanOrEqual" dxfId="2">
      <formula>1</formula>
    </cfRule>
    <cfRule type="cellIs" priority="2" operator="lessThan" dxfId="3">
      <formula>0.8</formula>
    </cfRule>
    <cfRule type="cellIs" priority="3" operator="between" dxfId="4">
      <formula>0.8</formula>
      <formula>0.9999</formula>
    </cfRule>
  </conditionalFormatting>
  <conditionalFormatting sqref="C5:C10">
    <cfRule type="dataBar" priority="4">
      <dataBar>
        <cfvo type="min"/>
        <cfvo type="max"/>
        <color rgb="000D1B2A"/>
      </dataBar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1B2A"/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32" customWidth="1" min="4" max="4"/>
    <col width="14" customWidth="1" min="5" max="5"/>
    <col width="16" customWidth="1" min="6" max="6"/>
    <col width="22" customWidth="1" min="7" max="7"/>
    <col width="14" customWidth="1" min="8" max="8"/>
    <col width="22" customWidth="1" min="9" max="9"/>
  </cols>
  <sheetData>
    <row r="1" ht="15" customHeight="1"/>
    <row r="2" ht="32" customHeight="1">
      <c r="B2" s="9" t="inlineStr">
        <is>
          <t>Expenses — March 2025</t>
        </is>
      </c>
    </row>
    <row r="3" ht="8" customHeight="1"/>
    <row r="4" ht="28" customHeight="1">
      <c r="B4" s="10" t="inlineStr">
        <is>
          <t>Date</t>
        </is>
      </c>
      <c r="C4" s="10" t="inlineStr">
        <is>
          <t>Expense Category</t>
        </is>
      </c>
      <c r="D4" s="10" t="inlineStr">
        <is>
          <t>Description</t>
        </is>
      </c>
      <c r="E4" s="10" t="inlineStr">
        <is>
          <t>Amount</t>
        </is>
      </c>
      <c r="F4" s="10" t="inlineStr">
        <is>
          <t>Payment Method</t>
        </is>
      </c>
      <c r="G4" s="10" t="inlineStr">
        <is>
          <t>Vendor</t>
        </is>
      </c>
      <c r="H4" s="10" t="inlineStr">
        <is>
          <t>Receipt #</t>
        </is>
      </c>
      <c r="I4" s="10" t="inlineStr">
        <is>
          <t>Notes</t>
        </is>
      </c>
    </row>
    <row r="5" ht="22" customHeight="1">
      <c r="B5" s="11" t="n">
        <v>45717</v>
      </c>
      <c r="C5" s="12" t="inlineStr">
        <is>
          <t>Rent</t>
        </is>
      </c>
      <c r="D5" s="12" t="inlineStr">
        <is>
          <t>Shop monthly rent - Dubai Mall</t>
        </is>
      </c>
      <c r="E5" s="13" t="n">
        <v>25000</v>
      </c>
      <c r="F5" s="12" t="inlineStr">
        <is>
          <t>Bank Transfer</t>
        </is>
      </c>
      <c r="G5" s="12" t="inlineStr">
        <is>
          <t>Emaar Properties</t>
        </is>
      </c>
      <c r="H5" s="12" t="inlineStr">
        <is>
          <t>RCP-3001</t>
        </is>
      </c>
      <c r="I5" s="12" t="inlineStr">
        <is>
          <t>Fixed monthly</t>
        </is>
      </c>
    </row>
    <row r="6" ht="22" customHeight="1">
      <c r="B6" s="14" t="n">
        <v>45717</v>
      </c>
      <c r="C6" s="15" t="inlineStr">
        <is>
          <t>Salaries</t>
        </is>
      </c>
      <c r="D6" s="15" t="inlineStr">
        <is>
          <t>Staff salaries - March</t>
        </is>
      </c>
      <c r="E6" s="16" t="n">
        <v>32000</v>
      </c>
      <c r="F6" s="15" t="inlineStr">
        <is>
          <t>Bank Transfer</t>
        </is>
      </c>
      <c r="G6" s="15" t="inlineStr">
        <is>
          <t>HR Payroll</t>
        </is>
      </c>
      <c r="H6" s="15" t="inlineStr">
        <is>
          <t>RCP-3002</t>
        </is>
      </c>
      <c r="I6" s="15" t="inlineStr">
        <is>
          <t>6 staff members</t>
        </is>
      </c>
    </row>
    <row r="7" ht="22" customHeight="1">
      <c r="B7" s="11" t="n">
        <v>45717</v>
      </c>
      <c r="C7" s="12" t="inlineStr">
        <is>
          <t>Utilities</t>
        </is>
      </c>
      <c r="D7" s="12" t="inlineStr">
        <is>
          <t>DEWA electricity bill</t>
        </is>
      </c>
      <c r="E7" s="13" t="n">
        <v>3500</v>
      </c>
      <c r="F7" s="12" t="inlineStr">
        <is>
          <t>Bank Transfer</t>
        </is>
      </c>
      <c r="G7" s="12" t="inlineStr">
        <is>
          <t>DEWA</t>
        </is>
      </c>
      <c r="H7" s="12" t="inlineStr">
        <is>
          <t>RCP-3003</t>
        </is>
      </c>
      <c r="I7" s="12" t="inlineStr">
        <is>
          <t>Feb consumption</t>
        </is>
      </c>
    </row>
    <row r="8" ht="22" customHeight="1">
      <c r="B8" s="14" t="n">
        <v>45718</v>
      </c>
      <c r="C8" s="15" t="inlineStr">
        <is>
          <t>Utilities</t>
        </is>
      </c>
      <c r="D8" s="15" t="inlineStr">
        <is>
          <t>Water bill</t>
        </is>
      </c>
      <c r="E8" s="16" t="n">
        <v>450</v>
      </c>
      <c r="F8" s="15" t="inlineStr">
        <is>
          <t>Bank Transfer</t>
        </is>
      </c>
      <c r="G8" s="15" t="inlineStr">
        <is>
          <t>DEWA</t>
        </is>
      </c>
      <c r="H8" s="15" t="inlineStr">
        <is>
          <t>RCP-3004</t>
        </is>
      </c>
      <c r="I8" s="15" t="inlineStr"/>
    </row>
    <row r="9" ht="22" customHeight="1">
      <c r="B9" s="11" t="n">
        <v>45719</v>
      </c>
      <c r="C9" s="12" t="inlineStr">
        <is>
          <t>Supplies</t>
        </is>
      </c>
      <c r="D9" s="12" t="inlineStr">
        <is>
          <t>Thermal receipt paper rolls</t>
        </is>
      </c>
      <c r="E9" s="13" t="n">
        <v>280</v>
      </c>
      <c r="F9" s="12" t="inlineStr">
        <is>
          <t>Card</t>
        </is>
      </c>
      <c r="G9" s="12" t="inlineStr">
        <is>
          <t>Office Depot UAE</t>
        </is>
      </c>
      <c r="H9" s="12" t="inlineStr">
        <is>
          <t>RCP-3005</t>
        </is>
      </c>
      <c r="I9" s="12" t="inlineStr">
        <is>
          <t>20 rolls</t>
        </is>
      </c>
    </row>
    <row r="10" ht="22" customHeight="1">
      <c r="B10" s="14" t="n">
        <v>45719</v>
      </c>
      <c r="C10" s="15" t="inlineStr">
        <is>
          <t>Supplies</t>
        </is>
      </c>
      <c r="D10" s="15" t="inlineStr">
        <is>
          <t>Shopping bags &amp; packaging</t>
        </is>
      </c>
      <c r="E10" s="16" t="n">
        <v>650</v>
      </c>
      <c r="F10" s="15" t="inlineStr">
        <is>
          <t>Card</t>
        </is>
      </c>
      <c r="G10" s="15" t="inlineStr">
        <is>
          <t>PackPro UAE</t>
        </is>
      </c>
      <c r="H10" s="15" t="inlineStr">
        <is>
          <t>RCP-3006</t>
        </is>
      </c>
      <c r="I10" s="15" t="inlineStr">
        <is>
          <t>Branded bags</t>
        </is>
      </c>
    </row>
    <row r="11" ht="22" customHeight="1">
      <c r="B11" s="11" t="n">
        <v>45720</v>
      </c>
      <c r="C11" s="12" t="inlineStr">
        <is>
          <t>Maintenance</t>
        </is>
      </c>
      <c r="D11" s="12" t="inlineStr">
        <is>
          <t>POS system maintenance</t>
        </is>
      </c>
      <c r="E11" s="13" t="n">
        <v>500</v>
      </c>
      <c r="F11" s="12" t="inlineStr">
        <is>
          <t>Bank Transfer</t>
        </is>
      </c>
      <c r="G11" s="12" t="inlineStr">
        <is>
          <t>TechServ ME</t>
        </is>
      </c>
      <c r="H11" s="12" t="inlineStr">
        <is>
          <t>RCP-3007</t>
        </is>
      </c>
      <c r="I11" s="12" t="inlineStr">
        <is>
          <t>Quarterly service</t>
        </is>
      </c>
    </row>
    <row r="12" ht="22" customHeight="1">
      <c r="B12" s="14" t="n">
        <v>45721</v>
      </c>
      <c r="C12" s="15" t="inlineStr">
        <is>
          <t>Marketing</t>
        </is>
      </c>
      <c r="D12" s="15" t="inlineStr">
        <is>
          <t>Google Ads campaign</t>
        </is>
      </c>
      <c r="E12" s="16" t="n">
        <v>2000</v>
      </c>
      <c r="F12" s="15" t="inlineStr">
        <is>
          <t>Card</t>
        </is>
      </c>
      <c r="G12" s="15" t="inlineStr">
        <is>
          <t>Google Ireland</t>
        </is>
      </c>
      <c r="H12" s="15" t="inlineStr">
        <is>
          <t>RCP-3008</t>
        </is>
      </c>
      <c r="I12" s="15" t="inlineStr">
        <is>
          <t>2-week campaign</t>
        </is>
      </c>
    </row>
    <row r="13" ht="22" customHeight="1">
      <c r="B13" s="11" t="n">
        <v>45721</v>
      </c>
      <c r="C13" s="12" t="inlineStr">
        <is>
          <t>Marketing</t>
        </is>
      </c>
      <c r="D13" s="12" t="inlineStr">
        <is>
          <t>Instagram sponsored posts</t>
        </is>
      </c>
      <c r="E13" s="13" t="n">
        <v>800</v>
      </c>
      <c r="F13" s="12" t="inlineStr">
        <is>
          <t>Card</t>
        </is>
      </c>
      <c r="G13" s="12" t="inlineStr">
        <is>
          <t>Meta Platforms</t>
        </is>
      </c>
      <c r="H13" s="12" t="inlineStr">
        <is>
          <t>RCP-3009</t>
        </is>
      </c>
      <c r="I13" s="12" t="inlineStr"/>
    </row>
    <row r="14" ht="22" customHeight="1">
      <c r="B14" s="14" t="n">
        <v>45722</v>
      </c>
      <c r="C14" s="15" t="inlineStr">
        <is>
          <t>Transport</t>
        </is>
      </c>
      <c r="D14" s="15" t="inlineStr">
        <is>
          <t>Delivery vehicle fuel</t>
        </is>
      </c>
      <c r="E14" s="16" t="n">
        <v>350</v>
      </c>
      <c r="F14" s="15" t="inlineStr">
        <is>
          <t>Cash</t>
        </is>
      </c>
      <c r="G14" s="15" t="inlineStr">
        <is>
          <t>ADNOC</t>
        </is>
      </c>
      <c r="H14" s="15" t="inlineStr">
        <is>
          <t>RCP-3010</t>
        </is>
      </c>
      <c r="I14" s="15" t="inlineStr"/>
    </row>
    <row r="15" ht="22" customHeight="1">
      <c r="B15" s="11" t="n">
        <v>45723</v>
      </c>
      <c r="C15" s="12" t="inlineStr">
        <is>
          <t>Supplies</t>
        </is>
      </c>
      <c r="D15" s="12" t="inlineStr">
        <is>
          <t>Display shelves &amp; hooks</t>
        </is>
      </c>
      <c r="E15" s="13" t="n">
        <v>1200</v>
      </c>
      <c r="F15" s="12" t="inlineStr">
        <is>
          <t>Card</t>
        </is>
      </c>
      <c r="G15" s="12" t="inlineStr">
        <is>
          <t>ShopFittings UAE</t>
        </is>
      </c>
      <c r="H15" s="12" t="inlineStr">
        <is>
          <t>RCP-3011</t>
        </is>
      </c>
      <c r="I15" s="12" t="inlineStr">
        <is>
          <t>New display units</t>
        </is>
      </c>
    </row>
    <row r="16" ht="22" customHeight="1">
      <c r="B16" s="14" t="n">
        <v>45724</v>
      </c>
      <c r="C16" s="15" t="inlineStr">
        <is>
          <t>Insurance</t>
        </is>
      </c>
      <c r="D16" s="15" t="inlineStr">
        <is>
          <t>Shop insurance premium</t>
        </is>
      </c>
      <c r="E16" s="16" t="n">
        <v>1800</v>
      </c>
      <c r="F16" s="15" t="inlineStr">
        <is>
          <t>Bank Transfer</t>
        </is>
      </c>
      <c r="G16" s="15" t="inlineStr">
        <is>
          <t>Oman Insurance</t>
        </is>
      </c>
      <c r="H16" s="15" t="inlineStr">
        <is>
          <t>RCP-3012</t>
        </is>
      </c>
      <c r="I16" s="15" t="inlineStr">
        <is>
          <t>Quarterly premium</t>
        </is>
      </c>
    </row>
    <row r="17" ht="22" customHeight="1">
      <c r="B17" s="11" t="n">
        <v>45725</v>
      </c>
      <c r="C17" s="12" t="inlineStr">
        <is>
          <t>Maintenance</t>
        </is>
      </c>
      <c r="D17" s="12" t="inlineStr">
        <is>
          <t>AC maintenance service</t>
        </is>
      </c>
      <c r="E17" s="13" t="n">
        <v>600</v>
      </c>
      <c r="F17" s="12" t="inlineStr">
        <is>
          <t>Cash</t>
        </is>
      </c>
      <c r="G17" s="12" t="inlineStr">
        <is>
          <t>CoolTech Services</t>
        </is>
      </c>
      <c r="H17" s="12" t="inlineStr">
        <is>
          <t>RCP-3013</t>
        </is>
      </c>
      <c r="I17" s="12" t="inlineStr">
        <is>
          <t>Filter replacement</t>
        </is>
      </c>
    </row>
    <row r="18" ht="22" customHeight="1">
      <c r="B18" s="14" t="n">
        <v>45726</v>
      </c>
      <c r="C18" s="15" t="inlineStr">
        <is>
          <t>Transport</t>
        </is>
      </c>
      <c r="D18" s="15" t="inlineStr">
        <is>
          <t>Courier service - customer deliveries</t>
        </is>
      </c>
      <c r="E18" s="16" t="n">
        <v>450</v>
      </c>
      <c r="F18" s="15" t="inlineStr">
        <is>
          <t>Card</t>
        </is>
      </c>
      <c r="G18" s="15" t="inlineStr">
        <is>
          <t>Aramex</t>
        </is>
      </c>
      <c r="H18" s="15" t="inlineStr">
        <is>
          <t>RCP-3014</t>
        </is>
      </c>
      <c r="I18" s="15" t="inlineStr">
        <is>
          <t>March deliveries</t>
        </is>
      </c>
    </row>
    <row r="19" ht="22" customHeight="1">
      <c r="B19" s="11" t="n">
        <v>45727</v>
      </c>
      <c r="C19" s="12" t="inlineStr">
        <is>
          <t>Marketing</t>
        </is>
      </c>
      <c r="D19" s="12" t="inlineStr">
        <is>
          <t>Radio ad - Dubai Eye</t>
        </is>
      </c>
      <c r="E19" s="13" t="n">
        <v>1500</v>
      </c>
      <c r="F19" s="12" t="inlineStr">
        <is>
          <t>Bank Transfer</t>
        </is>
      </c>
      <c r="G19" s="12" t="inlineStr">
        <is>
          <t>Arabian Radio Network</t>
        </is>
      </c>
      <c r="H19" s="12" t="inlineStr">
        <is>
          <t>RCP-3015</t>
        </is>
      </c>
      <c r="I19" s="12" t="inlineStr">
        <is>
          <t>1-week spot</t>
        </is>
      </c>
    </row>
    <row r="20" ht="22" customHeight="1">
      <c r="B20" s="14" t="n">
        <v>45728</v>
      </c>
      <c r="C20" s="15" t="inlineStr">
        <is>
          <t>Supplies</t>
        </is>
      </c>
      <c r="D20" s="15" t="inlineStr">
        <is>
          <t>Cleaning supplies</t>
        </is>
      </c>
      <c r="E20" s="16" t="n">
        <v>180</v>
      </c>
      <c r="F20" s="15" t="inlineStr">
        <is>
          <t>Cash</t>
        </is>
      </c>
      <c r="G20" s="15" t="inlineStr">
        <is>
          <t>Carrefour</t>
        </is>
      </c>
      <c r="H20" s="15" t="inlineStr">
        <is>
          <t>RCP-3016</t>
        </is>
      </c>
      <c r="I20" s="15" t="inlineStr"/>
    </row>
    <row r="21" ht="22" customHeight="1">
      <c r="B21" s="11" t="n">
        <v>45729</v>
      </c>
      <c r="C21" s="12" t="inlineStr">
        <is>
          <t>Miscellaneous</t>
        </is>
      </c>
      <c r="D21" s="12" t="inlineStr">
        <is>
          <t>Staff lunch - team meeting</t>
        </is>
      </c>
      <c r="E21" s="13" t="n">
        <v>350</v>
      </c>
      <c r="F21" s="12" t="inlineStr">
        <is>
          <t>Card</t>
        </is>
      </c>
      <c r="G21" s="12" t="inlineStr">
        <is>
          <t>Tim Hortons</t>
        </is>
      </c>
      <c r="H21" s="12" t="inlineStr">
        <is>
          <t>RCP-3017</t>
        </is>
      </c>
      <c r="I21" s="12" t="inlineStr">
        <is>
          <t>Monthly meeting</t>
        </is>
      </c>
    </row>
    <row r="22" ht="22" customHeight="1">
      <c r="B22" s="14" t="n">
        <v>45730</v>
      </c>
      <c r="C22" s="15" t="inlineStr">
        <is>
          <t>Utilities</t>
        </is>
      </c>
      <c r="D22" s="15" t="inlineStr">
        <is>
          <t>Internet &amp; phone - Etisalat</t>
        </is>
      </c>
      <c r="E22" s="16" t="n">
        <v>900</v>
      </c>
      <c r="F22" s="15" t="inlineStr">
        <is>
          <t>Bank Transfer</t>
        </is>
      </c>
      <c r="G22" s="15" t="inlineStr">
        <is>
          <t>Etisalat</t>
        </is>
      </c>
      <c r="H22" s="15" t="inlineStr">
        <is>
          <t>RCP-3018</t>
        </is>
      </c>
      <c r="I22" s="15" t="inlineStr">
        <is>
          <t>Business plan</t>
        </is>
      </c>
    </row>
    <row r="23" ht="22" customHeight="1">
      <c r="B23" s="11" t="n">
        <v>45731</v>
      </c>
      <c r="C23" s="12" t="inlineStr">
        <is>
          <t>Salaries</t>
        </is>
      </c>
      <c r="D23" s="12" t="inlineStr">
        <is>
          <t>Overtime pay - March</t>
        </is>
      </c>
      <c r="E23" s="13" t="n">
        <v>2500</v>
      </c>
      <c r="F23" s="12" t="inlineStr">
        <is>
          <t>Bank Transfer</t>
        </is>
      </c>
      <c r="G23" s="12" t="inlineStr">
        <is>
          <t>HR Payroll</t>
        </is>
      </c>
      <c r="H23" s="12" t="inlineStr">
        <is>
          <t>RCP-3019</t>
        </is>
      </c>
      <c r="I23" s="12" t="inlineStr">
        <is>
          <t>Weekend shifts</t>
        </is>
      </c>
    </row>
    <row r="24" ht="22" customHeight="1">
      <c r="B24" s="14" t="n">
        <v>45732</v>
      </c>
      <c r="C24" s="15" t="inlineStr">
        <is>
          <t>Maintenance</t>
        </is>
      </c>
      <c r="D24" s="15" t="inlineStr">
        <is>
          <t>Security system check</t>
        </is>
      </c>
      <c r="E24" s="16" t="n">
        <v>400</v>
      </c>
      <c r="F24" s="15" t="inlineStr">
        <is>
          <t>Card</t>
        </is>
      </c>
      <c r="G24" s="15" t="inlineStr">
        <is>
          <t>SecureTech</t>
        </is>
      </c>
      <c r="H24" s="15" t="inlineStr">
        <is>
          <t>RCP-3020</t>
        </is>
      </c>
      <c r="I24" s="15" t="inlineStr"/>
    </row>
    <row r="25" ht="22" customHeight="1">
      <c r="B25" s="11" t="n">
        <v>45733</v>
      </c>
      <c r="C25" s="12" t="inlineStr">
        <is>
          <t>Marketing</t>
        </is>
      </c>
      <c r="D25" s="12" t="inlineStr">
        <is>
          <t>Ramadan promotion flyers</t>
        </is>
      </c>
      <c r="E25" s="13" t="n">
        <v>750</v>
      </c>
      <c r="F25" s="12" t="inlineStr">
        <is>
          <t>Cash</t>
        </is>
      </c>
      <c r="G25" s="12" t="inlineStr">
        <is>
          <t>PrintZone</t>
        </is>
      </c>
      <c r="H25" s="12" t="inlineStr">
        <is>
          <t>RCP-3021</t>
        </is>
      </c>
      <c r="I25" s="12" t="inlineStr">
        <is>
          <t>2000 flyers</t>
        </is>
      </c>
    </row>
    <row r="26" ht="22" customHeight="1">
      <c r="B26" s="14" t="n">
        <v>45734</v>
      </c>
      <c r="C26" s="15" t="inlineStr">
        <is>
          <t>Transport</t>
        </is>
      </c>
      <c r="D26" s="15" t="inlineStr">
        <is>
          <t>Fuel - delivery vehicle</t>
        </is>
      </c>
      <c r="E26" s="16" t="n">
        <v>300</v>
      </c>
      <c r="F26" s="15" t="inlineStr">
        <is>
          <t>Cash</t>
        </is>
      </c>
      <c r="G26" s="15" t="inlineStr">
        <is>
          <t>ENOC</t>
        </is>
      </c>
      <c r="H26" s="15" t="inlineStr">
        <is>
          <t>RCP-3022</t>
        </is>
      </c>
      <c r="I26" s="15" t="inlineStr"/>
    </row>
    <row r="27" ht="22" customHeight="1">
      <c r="B27" s="11" t="n">
        <v>45735</v>
      </c>
      <c r="C27" s="12" t="inlineStr">
        <is>
          <t>Supplies</t>
        </is>
      </c>
      <c r="D27" s="12" t="inlineStr">
        <is>
          <t>Price tags &amp; labels</t>
        </is>
      </c>
      <c r="E27" s="13" t="n">
        <v>150</v>
      </c>
      <c r="F27" s="12" t="inlineStr">
        <is>
          <t>Card</t>
        </is>
      </c>
      <c r="G27" s="12" t="inlineStr">
        <is>
          <t>LabelPro</t>
        </is>
      </c>
      <c r="H27" s="12" t="inlineStr">
        <is>
          <t>RCP-3023</t>
        </is>
      </c>
      <c r="I27" s="12" t="inlineStr"/>
    </row>
    <row r="28" ht="22" customHeight="1">
      <c r="B28" s="14" t="n">
        <v>45736</v>
      </c>
      <c r="C28" s="15" t="inlineStr">
        <is>
          <t>Miscellaneous</t>
        </is>
      </c>
      <c r="D28" s="15" t="inlineStr">
        <is>
          <t>Office coffee &amp; tea supplies</t>
        </is>
      </c>
      <c r="E28" s="16" t="n">
        <v>200</v>
      </c>
      <c r="F28" s="15" t="inlineStr">
        <is>
          <t>Cash</t>
        </is>
      </c>
      <c r="G28" s="15" t="inlineStr">
        <is>
          <t>Carrefour</t>
        </is>
      </c>
      <c r="H28" s="15" t="inlineStr">
        <is>
          <t>RCP-3024</t>
        </is>
      </c>
      <c r="I28" s="15" t="inlineStr"/>
    </row>
    <row r="29" ht="22" customHeight="1">
      <c r="B29" s="11" t="n">
        <v>45737</v>
      </c>
      <c r="C29" s="12" t="inlineStr">
        <is>
          <t>Marketing</t>
        </is>
      </c>
      <c r="D29" s="12" t="inlineStr">
        <is>
          <t>Social media influencer</t>
        </is>
      </c>
      <c r="E29" s="13" t="n">
        <v>3000</v>
      </c>
      <c r="F29" s="12" t="inlineStr">
        <is>
          <t>Bank Transfer</t>
        </is>
      </c>
      <c r="G29" s="12" t="inlineStr">
        <is>
          <t>Influencer Hub</t>
        </is>
      </c>
      <c r="H29" s="12" t="inlineStr">
        <is>
          <t>RCP-3025</t>
        </is>
      </c>
      <c r="I29" s="12" t="inlineStr">
        <is>
          <t>Product placement</t>
        </is>
      </c>
    </row>
    <row r="30" ht="22" customHeight="1">
      <c r="B30" s="14" t="n">
        <v>45738</v>
      </c>
      <c r="C30" s="15" t="inlineStr">
        <is>
          <t>Maintenance</t>
        </is>
      </c>
      <c r="D30" s="15" t="inlineStr">
        <is>
          <t>Glass door repair</t>
        </is>
      </c>
      <c r="E30" s="16" t="n">
        <v>700</v>
      </c>
      <c r="F30" s="15" t="inlineStr">
        <is>
          <t>Cash</t>
        </is>
      </c>
      <c r="G30" s="15" t="inlineStr">
        <is>
          <t>GlassFix Dubai</t>
        </is>
      </c>
      <c r="H30" s="15" t="inlineStr">
        <is>
          <t>RCP-3026</t>
        </is>
      </c>
      <c r="I30" s="15" t="inlineStr">
        <is>
          <t>Cracked panel</t>
        </is>
      </c>
    </row>
    <row r="31" ht="22" customHeight="1">
      <c r="B31" s="11" t="n">
        <v>45739</v>
      </c>
      <c r="C31" s="12" t="inlineStr">
        <is>
          <t>Supplies</t>
        </is>
      </c>
      <c r="D31" s="12" t="inlineStr">
        <is>
          <t>Anti-theft security tags</t>
        </is>
      </c>
      <c r="E31" s="13" t="n">
        <v>450</v>
      </c>
      <c r="F31" s="12" t="inlineStr">
        <is>
          <t>Card</t>
        </is>
      </c>
      <c r="G31" s="12" t="inlineStr">
        <is>
          <t>SecureTag ME</t>
        </is>
      </c>
      <c r="H31" s="12" t="inlineStr">
        <is>
          <t>RCP-3027</t>
        </is>
      </c>
      <c r="I31" s="12" t="inlineStr">
        <is>
          <t>50 tags</t>
        </is>
      </c>
    </row>
    <row r="32" ht="22" customHeight="1">
      <c r="B32" s="14" t="n">
        <v>45740</v>
      </c>
      <c r="C32" s="15" t="inlineStr">
        <is>
          <t>Insurance</t>
        </is>
      </c>
      <c r="D32" s="15" t="inlineStr">
        <is>
          <t>Inventory insurance</t>
        </is>
      </c>
      <c r="E32" s="16" t="n">
        <v>1200</v>
      </c>
      <c r="F32" s="15" t="inlineStr">
        <is>
          <t>Bank Transfer</t>
        </is>
      </c>
      <c r="G32" s="15" t="inlineStr">
        <is>
          <t>AXA Gulf</t>
        </is>
      </c>
      <c r="H32" s="15" t="inlineStr">
        <is>
          <t>RCP-3028</t>
        </is>
      </c>
      <c r="I32" s="15" t="inlineStr">
        <is>
          <t>Quarterly</t>
        </is>
      </c>
    </row>
    <row r="33" ht="22" customHeight="1">
      <c r="B33" s="11" t="n">
        <v>45741</v>
      </c>
      <c r="C33" s="12" t="inlineStr">
        <is>
          <t>Utilities</t>
        </is>
      </c>
      <c r="D33" s="12" t="inlineStr">
        <is>
          <t>DEWA electricity - mid month</t>
        </is>
      </c>
      <c r="E33" s="13" t="n">
        <v>2800</v>
      </c>
      <c r="F33" s="12" t="inlineStr">
        <is>
          <t>Bank Transfer</t>
        </is>
      </c>
      <c r="G33" s="12" t="inlineStr">
        <is>
          <t>DEWA</t>
        </is>
      </c>
      <c r="H33" s="12" t="inlineStr">
        <is>
          <t>RCP-3029</t>
        </is>
      </c>
      <c r="I33" s="12" t="inlineStr">
        <is>
          <t>Adjusted reading</t>
        </is>
      </c>
    </row>
    <row r="34" ht="22" customHeight="1">
      <c r="B34" s="14" t="n">
        <v>45742</v>
      </c>
      <c r="C34" s="15" t="inlineStr">
        <is>
          <t>Transport</t>
        </is>
      </c>
      <c r="D34" s="15" t="inlineStr">
        <is>
          <t>Courier - express deliveries</t>
        </is>
      </c>
      <c r="E34" s="16" t="n">
        <v>550</v>
      </c>
      <c r="F34" s="15" t="inlineStr">
        <is>
          <t>Card</t>
        </is>
      </c>
      <c r="G34" s="15" t="inlineStr">
        <is>
          <t>DHL Express</t>
        </is>
      </c>
      <c r="H34" s="15" t="inlineStr">
        <is>
          <t>RCP-3030</t>
        </is>
      </c>
      <c r="I34" s="15" t="inlineStr">
        <is>
          <t>Priority orders</t>
        </is>
      </c>
    </row>
    <row r="35" ht="22" customHeight="1">
      <c r="B35" s="11" t="n">
        <v>45743</v>
      </c>
      <c r="C35" s="12" t="inlineStr">
        <is>
          <t>Marketing</t>
        </is>
      </c>
      <c r="D35" s="12" t="inlineStr">
        <is>
          <t>Website hosting &amp; SSL</t>
        </is>
      </c>
      <c r="E35" s="13" t="n">
        <v>400</v>
      </c>
      <c r="F35" s="12" t="inlineStr">
        <is>
          <t>Card</t>
        </is>
      </c>
      <c r="G35" s="12" t="inlineStr">
        <is>
          <t>GoDaddy</t>
        </is>
      </c>
      <c r="H35" s="12" t="inlineStr">
        <is>
          <t>RCP-3031</t>
        </is>
      </c>
      <c r="I35" s="12" t="inlineStr">
        <is>
          <t>Annual renewal</t>
        </is>
      </c>
    </row>
    <row r="36" ht="22" customHeight="1">
      <c r="B36" s="14" t="n">
        <v>45744</v>
      </c>
      <c r="C36" s="15" t="inlineStr">
        <is>
          <t>Miscellaneous</t>
        </is>
      </c>
      <c r="D36" s="15" t="inlineStr">
        <is>
          <t>Bank charges &amp; fees</t>
        </is>
      </c>
      <c r="E36" s="16" t="n">
        <v>180</v>
      </c>
      <c r="F36" s="15" t="inlineStr">
        <is>
          <t>Bank Transfer</t>
        </is>
      </c>
      <c r="G36" s="15" t="inlineStr">
        <is>
          <t>Emirates NBD</t>
        </is>
      </c>
      <c r="H36" s="15" t="inlineStr">
        <is>
          <t>RCP-3032</t>
        </is>
      </c>
      <c r="I36" s="15" t="inlineStr">
        <is>
          <t>Transaction fees</t>
        </is>
      </c>
    </row>
    <row r="37" ht="22" customHeight="1">
      <c r="B37" s="11" t="n">
        <v>45744</v>
      </c>
      <c r="C37" s="12" t="inlineStr">
        <is>
          <t>Supplies</t>
        </is>
      </c>
      <c r="D37" s="12" t="inlineStr">
        <is>
          <t>Stationery &amp; printer ink</t>
        </is>
      </c>
      <c r="E37" s="13" t="n">
        <v>320</v>
      </c>
      <c r="F37" s="12" t="inlineStr">
        <is>
          <t>Card</t>
        </is>
      </c>
      <c r="G37" s="12" t="inlineStr">
        <is>
          <t>Office Depot UAE</t>
        </is>
      </c>
      <c r="H37" s="12" t="inlineStr">
        <is>
          <t>RCP-3033</t>
        </is>
      </c>
      <c r="I37" s="12" t="inlineStr"/>
    </row>
    <row r="38" ht="22" customHeight="1">
      <c r="B38" s="14" t="n">
        <v>45745</v>
      </c>
      <c r="C38" s="15" t="inlineStr">
        <is>
          <t>Maintenance</t>
        </is>
      </c>
      <c r="D38" s="15" t="inlineStr">
        <is>
          <t>Fire extinguisher inspection</t>
        </is>
      </c>
      <c r="E38" s="16" t="n">
        <v>250</v>
      </c>
      <c r="F38" s="15" t="inlineStr">
        <is>
          <t>Cash</t>
        </is>
      </c>
      <c r="G38" s="15" t="inlineStr">
        <is>
          <t>SafeFire UAE</t>
        </is>
      </c>
      <c r="H38" s="15" t="inlineStr">
        <is>
          <t>RCP-3034</t>
        </is>
      </c>
      <c r="I38" s="15" t="inlineStr">
        <is>
          <t>Annual check</t>
        </is>
      </c>
    </row>
    <row r="39" ht="22" customHeight="1">
      <c r="B39" s="11" t="n">
        <v>45746</v>
      </c>
      <c r="C39" s="12" t="inlineStr">
        <is>
          <t>Miscellaneous</t>
        </is>
      </c>
      <c r="D39" s="12" t="inlineStr">
        <is>
          <t>Customer gift cards</t>
        </is>
      </c>
      <c r="E39" s="13" t="n">
        <v>500</v>
      </c>
      <c r="F39" s="12" t="inlineStr">
        <is>
          <t>Card</t>
        </is>
      </c>
      <c r="G39" s="12" t="inlineStr">
        <is>
          <t>GiftCardCo</t>
        </is>
      </c>
      <c r="H39" s="12" t="inlineStr">
        <is>
          <t>RCP-3035</t>
        </is>
      </c>
      <c r="I39" s="12" t="inlineStr">
        <is>
          <t>Loyalty program</t>
        </is>
      </c>
    </row>
    <row r="40" ht="22" customHeight="1">
      <c r="B40" s="14" t="n">
        <v>45746</v>
      </c>
      <c r="C40" s="15" t="inlineStr">
        <is>
          <t>Marketing</t>
        </is>
      </c>
      <c r="D40" s="15" t="inlineStr">
        <is>
          <t>Email marketing platform</t>
        </is>
      </c>
      <c r="E40" s="16" t="n">
        <v>250</v>
      </c>
      <c r="F40" s="15" t="inlineStr">
        <is>
          <t>Card</t>
        </is>
      </c>
      <c r="G40" s="15" t="inlineStr">
        <is>
          <t>Mailchimp</t>
        </is>
      </c>
      <c r="H40" s="15" t="inlineStr">
        <is>
          <t>RCP-3036</t>
        </is>
      </c>
      <c r="I40" s="15" t="inlineStr">
        <is>
          <t>Monthly subscription</t>
        </is>
      </c>
    </row>
    <row r="41" ht="22" customHeight="1">
      <c r="B41" s="11" t="n">
        <v>45747</v>
      </c>
      <c r="C41" s="12" t="inlineStr">
        <is>
          <t>Salaries</t>
        </is>
      </c>
      <c r="D41" s="12" t="inlineStr">
        <is>
          <t>End of month bonus</t>
        </is>
      </c>
      <c r="E41" s="13" t="n">
        <v>3000</v>
      </c>
      <c r="F41" s="12" t="inlineStr">
        <is>
          <t>Bank Transfer</t>
        </is>
      </c>
      <c r="G41" s="12" t="inlineStr">
        <is>
          <t>HR Payroll</t>
        </is>
      </c>
      <c r="H41" s="12" t="inlineStr">
        <is>
          <t>RCP-3037</t>
        </is>
      </c>
      <c r="I41" s="12" t="inlineStr">
        <is>
          <t>Performance bonus</t>
        </is>
      </c>
    </row>
    <row r="42" ht="22" customHeight="1">
      <c r="B42" s="14" t="n">
        <v>45747</v>
      </c>
      <c r="C42" s="15" t="inlineStr">
        <is>
          <t>Utilities</t>
        </is>
      </c>
      <c r="D42" s="15" t="inlineStr">
        <is>
          <t>District cooling - Empower</t>
        </is>
      </c>
      <c r="E42" s="16" t="n">
        <v>1200</v>
      </c>
      <c r="F42" s="15" t="inlineStr">
        <is>
          <t>Bank Transfer</t>
        </is>
      </c>
      <c r="G42" s="15" t="inlineStr">
        <is>
          <t>Empower</t>
        </is>
      </c>
      <c r="H42" s="15" t="inlineStr">
        <is>
          <t>RCP-3038</t>
        </is>
      </c>
      <c r="I42" s="15" t="inlineStr">
        <is>
          <t>March billing</t>
        </is>
      </c>
    </row>
    <row r="43" ht="22" customHeight="1">
      <c r="B43" s="11" t="n">
        <v>45747</v>
      </c>
      <c r="C43" s="12" t="inlineStr">
        <is>
          <t>Transport</t>
        </is>
      </c>
      <c r="D43" s="12" t="inlineStr">
        <is>
          <t>Monthly vehicle maintenance</t>
        </is>
      </c>
      <c r="E43" s="13" t="n">
        <v>800</v>
      </c>
      <c r="F43" s="12" t="inlineStr">
        <is>
          <t>Card</t>
        </is>
      </c>
      <c r="G43" s="12" t="inlineStr">
        <is>
          <t>AutoServ Dubai</t>
        </is>
      </c>
      <c r="H43" s="12" t="inlineStr">
        <is>
          <t>RCP-3039</t>
        </is>
      </c>
      <c r="I43" s="12" t="inlineStr">
        <is>
          <t>Oil change &amp; tires</t>
        </is>
      </c>
    </row>
    <row r="44" ht="22" customHeight="1">
      <c r="B44" s="14" t="n">
        <v>45747</v>
      </c>
      <c r="C44" s="15" t="inlineStr">
        <is>
          <t>Miscellaneous</t>
        </is>
      </c>
      <c r="D44" s="15" t="inlineStr">
        <is>
          <t>Waste management fee</t>
        </is>
      </c>
      <c r="E44" s="16" t="n">
        <v>300</v>
      </c>
      <c r="F44" s="15" t="inlineStr">
        <is>
          <t>Bank Transfer</t>
        </is>
      </c>
      <c r="G44" s="15" t="inlineStr">
        <is>
          <t>Averda</t>
        </is>
      </c>
      <c r="H44" s="15" t="inlineStr">
        <is>
          <t>RCP-3040</t>
        </is>
      </c>
      <c r="I44" s="15" t="inlineStr">
        <is>
          <t>Monthly collection</t>
        </is>
      </c>
    </row>
    <row r="45" ht="26" customHeight="1">
      <c r="B45" s="17" t="inlineStr">
        <is>
          <t>TOTALS</t>
        </is>
      </c>
      <c r="C45" s="17" t="n"/>
      <c r="D45" s="17" t="n"/>
      <c r="E45" s="19">
        <f>SUM(E5:E44)</f>
        <v/>
      </c>
      <c r="F45" s="17" t="n"/>
      <c r="G45" s="17" t="n"/>
      <c r="H45" s="17" t="n"/>
      <c r="I45" s="17" t="n"/>
    </row>
    <row r="47">
      <c r="B47" s="23" t="inlineStr">
        <is>
          <t>Summary by Category</t>
        </is>
      </c>
    </row>
    <row r="48" ht="28" customHeight="1">
      <c r="B48" s="10" t="inlineStr">
        <is>
          <t>Category</t>
        </is>
      </c>
      <c r="C48" s="10" t="inlineStr">
        <is>
          <t>Total Amount</t>
        </is>
      </c>
    </row>
    <row r="49" ht="22" customHeight="1">
      <c r="B49" s="12" t="inlineStr">
        <is>
          <t>Rent</t>
        </is>
      </c>
      <c r="C49" s="13">
        <f>SUMPRODUCT((C5:C44=B49)*(E5:E44))</f>
        <v/>
      </c>
    </row>
    <row r="50" ht="22" customHeight="1">
      <c r="B50" s="15" t="inlineStr">
        <is>
          <t>Salaries</t>
        </is>
      </c>
      <c r="C50" s="16">
        <f>SUMPRODUCT((C5:C44=B50)*(E5:E44))</f>
        <v/>
      </c>
    </row>
    <row r="51" ht="22" customHeight="1">
      <c r="B51" s="12" t="inlineStr">
        <is>
          <t>Utilities</t>
        </is>
      </c>
      <c r="C51" s="13">
        <f>SUMPRODUCT((C5:C44=B51)*(E5:E44))</f>
        <v/>
      </c>
    </row>
    <row r="52" ht="22" customHeight="1">
      <c r="B52" s="15" t="inlineStr">
        <is>
          <t>Supplies</t>
        </is>
      </c>
      <c r="C52" s="16">
        <f>SUMPRODUCT((C5:C44=B52)*(E5:E44))</f>
        <v/>
      </c>
    </row>
    <row r="53" ht="22" customHeight="1">
      <c r="B53" s="12" t="inlineStr">
        <is>
          <t>Maintenance</t>
        </is>
      </c>
      <c r="C53" s="13">
        <f>SUMPRODUCT((C5:C44=B53)*(E5:E44))</f>
        <v/>
      </c>
    </row>
    <row r="54" ht="22" customHeight="1">
      <c r="B54" s="15" t="inlineStr">
        <is>
          <t>Marketing</t>
        </is>
      </c>
      <c r="C54" s="16">
        <f>SUMPRODUCT((C5:C44=B54)*(E5:E44))</f>
        <v/>
      </c>
    </row>
    <row r="55" ht="22" customHeight="1">
      <c r="B55" s="12" t="inlineStr">
        <is>
          <t>Transport</t>
        </is>
      </c>
      <c r="C55" s="13">
        <f>SUMPRODUCT((C5:C44=B55)*(E5:E44))</f>
        <v/>
      </c>
    </row>
    <row r="56" ht="22" customHeight="1">
      <c r="B56" s="15" t="inlineStr">
        <is>
          <t>Insurance</t>
        </is>
      </c>
      <c r="C56" s="16">
        <f>SUMPRODUCT((C5:C44=B56)*(E5:E44))</f>
        <v/>
      </c>
    </row>
    <row r="57" ht="22" customHeight="1">
      <c r="B57" s="12" t="inlineStr">
        <is>
          <t>Miscellaneous</t>
        </is>
      </c>
      <c r="C57" s="13">
        <f>SUMPRODUCT((C5:C44=B57)*(E5:E44))</f>
        <v/>
      </c>
    </row>
  </sheetData>
  <mergeCells count="1">
    <mergeCell ref="B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1B2A"/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6" customWidth="1" min="4" max="4"/>
    <col width="28" customWidth="1" min="5" max="5"/>
  </cols>
  <sheetData>
    <row r="1" ht="15" customHeight="1"/>
    <row r="2" ht="32" customHeight="1">
      <c r="B2" s="9" t="inlineStr">
        <is>
          <t>Profit &amp; Loss Analysis — March 2025</t>
        </is>
      </c>
    </row>
    <row r="3" ht="8" customHeight="1"/>
    <row r="4" ht="28" customHeight="1">
      <c r="B4" s="10" t="inlineStr">
        <is>
          <t>Item</t>
        </is>
      </c>
      <c r="C4" s="10" t="inlineStr">
        <is>
          <t>Amount (AED)</t>
        </is>
      </c>
      <c r="D4" s="10" t="inlineStr">
        <is>
          <t>% of Revenue</t>
        </is>
      </c>
      <c r="E4" s="10" t="inlineStr">
        <is>
          <t>Notes</t>
        </is>
      </c>
    </row>
    <row r="5" ht="22" customHeight="1">
      <c r="B5" s="12" t="inlineStr">
        <is>
          <t>Revenue</t>
        </is>
      </c>
      <c r="C5" s="13">
        <f>'Monthly Summary'!C5</f>
        <v/>
      </c>
      <c r="D5" s="12" t="n"/>
      <c r="E5" s="12" t="inlineStr">
        <is>
          <t>Total net sales for March</t>
        </is>
      </c>
    </row>
    <row r="6" ht="22" customHeight="1">
      <c r="B6" s="15" t="inlineStr">
        <is>
          <t>Cost of Goods Sold (60%)</t>
        </is>
      </c>
      <c r="C6" s="16">
        <f>-C5*0.6</f>
        <v/>
      </c>
      <c r="D6" s="15" t="n"/>
      <c r="E6" s="15" t="inlineStr">
        <is>
          <t>Estimated at 60% of revenue</t>
        </is>
      </c>
    </row>
    <row r="7" ht="26" customHeight="1">
      <c r="B7" s="17" t="inlineStr">
        <is>
          <t>Gross Profit</t>
        </is>
      </c>
      <c r="C7" s="38">
        <f>C5+C6</f>
        <v/>
      </c>
      <c r="D7" s="17" t="n"/>
      <c r="E7" s="17" t="inlineStr">
        <is>
          <t>Revenue minus COGS</t>
        </is>
      </c>
    </row>
    <row r="8">
      <c r="B8" t="inlineStr"/>
      <c r="C8" s="39" t="n"/>
      <c r="E8" s="2" t="inlineStr"/>
    </row>
    <row r="9" ht="22" customHeight="1">
      <c r="B9" s="12" t="inlineStr">
        <is>
          <t>Operating Expenses</t>
        </is>
      </c>
      <c r="C9" s="13">
        <f>'Monthly Summary'!G5</f>
        <v/>
      </c>
      <c r="D9" s="12" t="n"/>
      <c r="E9" s="12" t="inlineStr">
        <is>
          <t>Total from Expenses sheet</t>
        </is>
      </c>
    </row>
    <row r="10">
      <c r="B10" t="inlineStr"/>
      <c r="C10" s="39" t="n"/>
      <c r="E10" s="2" t="inlineStr"/>
    </row>
    <row r="11" ht="26" customHeight="1">
      <c r="B11" s="40" t="inlineStr">
        <is>
          <t>Net Profit</t>
        </is>
      </c>
      <c r="C11" s="38">
        <f>C7-C9</f>
        <v/>
      </c>
      <c r="D11" s="17" t="n"/>
      <c r="E11" s="17" t="inlineStr">
        <is>
          <t>Gross Profit minus Expenses</t>
        </is>
      </c>
    </row>
    <row r="12" ht="22" customHeight="1">
      <c r="B12" s="12" t="inlineStr">
        <is>
          <t>Profit Margin %</t>
        </is>
      </c>
      <c r="C12" s="33">
        <f>IFERROR(C11/C5,0)</f>
        <v/>
      </c>
      <c r="D12" s="12" t="n"/>
      <c r="E12" s="12" t="inlineStr"/>
    </row>
  </sheetData>
  <mergeCells count="1">
    <mergeCell ref="B2:E2"/>
  </mergeCells>
  <conditionalFormatting sqref="C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C7">
    <cfRule type="cellIs" priority="3" operator="greaterThan" dxfId="2">
      <formula>0</formula>
    </cfRule>
  </conditionalFormatting>
  <conditionalFormatting sqref="C6">
    <cfRule type="cellIs" priority="4" operator="lessThan" dxfId="7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2026-05-23T21:57:52Z</dcterms:created>
  <dcterms:modified xmlns:dcterms="http://purl.org/dc/terms/" xmlns:xsi="http://www.w3.org/2001/XMLSchema-instance" xsi:type="dcterms:W3CDTF">2026-05-23T21:57:52Z</dcterms:modified>
</cp:coreProperties>
</file>