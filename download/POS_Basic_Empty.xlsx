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Entry" sheetId="1" state="visible" r:id="rId1"/>
    <sheet xmlns:r="http://schemas.openxmlformats.org/officeDocument/2006/relationships" name="Daily Summary" sheetId="2" state="visible" r:id="rId2"/>
    <sheet xmlns:r="http://schemas.openxmlformats.org/officeDocument/2006/relationships" name="Weekly Summary" sheetId="3" state="visible" r:id="rId3"/>
    <sheet xmlns:r="http://schemas.openxmlformats.org/officeDocument/2006/relationships" name="Monthly Summary" sheetId="4" state="visible" r:id="rId4"/>
    <sheet xmlns:r="http://schemas.openxmlformats.org/officeDocument/2006/relationships" name="Invoice" sheetId="5" state="visible" r:id="rId5"/>
    <sheet xmlns:r="http://schemas.openxmlformats.org/officeDocument/2006/relationships" name="Product List" sheetId="6" state="visible" r:id="rId6"/>
  </sheets>
  <definedNames>
    <definedName name="_xlnm.Print_Titles" localSheetId="0">'Sales Entry'!$1:$4</definedName>
    <definedName name="_xlnm.Print_Area" localSheetId="0">'Sales Entry'!$B$1:$K$204</definedName>
    <definedName name="_xlnm.Print_Titles" localSheetId="1">'Daily Summary'!$1:$4</definedName>
    <definedName name="_xlnm.Print_Area" localSheetId="1">'Daily Summary'!$B$1:$H$35</definedName>
    <definedName name="_xlnm.Print_Titles" localSheetId="2">'Weekly Summary'!$1:$4</definedName>
    <definedName name="_xlnm.Print_Area" localSheetId="2">'Weekly Summary'!$B$1:$G$56</definedName>
    <definedName name="_xlnm.Print_Titles" localSheetId="3">'Monthly Summary'!$1:$4</definedName>
    <definedName name="_xlnm.Print_Area" localSheetId="3">'Monthly Summary'!$B$1:$G$17</definedName>
    <definedName name="_xlnm.Print_Area" localSheetId="4">'Invoice'!$B$1:$H$27</definedName>
    <definedName name="_xlnm.Print_Titles" localSheetId="5">'Product List'!$1:$4</definedName>
    <definedName name="_xlnm.Print_Area" localSheetId="5">'Product List'!$B$1:$F$104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Noto Sans CJK SC"/>
      <color rgb="00B85C1E"/>
      <sz val="16"/>
    </font>
    <font>
      <name val="Noto Sans CJK SC"/>
      <color rgb="00FFFFFF"/>
      <sz val="11"/>
    </font>
    <font>
      <name val="Noto Sans CJK SC"/>
      <color rgb="003E2F1F"/>
      <sz val="11"/>
    </font>
    <font>
      <name val="Noto Sans CJK SC"/>
      <color rgb="00B85C1E"/>
      <sz val="11"/>
    </font>
    <font>
      <name val="Noto Sans CJK SC"/>
      <color rgb="009C8B78"/>
      <sz val="9"/>
    </font>
  </fonts>
  <fills count="6">
    <fill>
      <patternFill/>
    </fill>
    <fill>
      <patternFill patternType="gray125"/>
    </fill>
    <fill>
      <patternFill patternType="solid">
        <fgColor rgb="00B85C1E"/>
      </patternFill>
    </fill>
    <fill>
      <patternFill patternType="solid">
        <fgColor rgb="00FFFFFF"/>
      </patternFill>
    </fill>
    <fill>
      <patternFill patternType="solid">
        <fgColor rgb="00F7F2EC"/>
      </patternFill>
    </fill>
    <fill>
      <patternFill patternType="solid">
        <fgColor rgb="00F5E6D5"/>
      </patternFill>
    </fill>
  </fills>
  <borders count="4">
    <border>
      <left/>
      <right/>
      <top/>
      <bottom/>
      <diagonal/>
    </border>
    <border>
      <bottom style="thin">
        <color rgb="00EAE0D5"/>
      </bottom>
    </border>
    <border>
      <top style="medium">
        <color rgb="00EAE0D5"/>
      </top>
    </border>
    <border/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164" fontId="3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right" vertical="center"/>
    </xf>
    <xf numFmtId="4" fontId="3" fillId="3" borderId="0" applyAlignment="1" pivotButton="0" quotePrefix="0" xfId="0">
      <alignment horizontal="right" vertical="center"/>
    </xf>
    <xf numFmtId="164" fontId="3" fillId="4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right" vertical="center"/>
    </xf>
    <xf numFmtId="4" fontId="3" fillId="4" borderId="0" applyAlignment="1" pivotButton="0" quotePrefix="0" xfId="0">
      <alignment horizontal="right" vertical="center"/>
    </xf>
    <xf numFmtId="0" fontId="4" fillId="5" borderId="2" applyAlignment="1" pivotButton="0" quotePrefix="0" xfId="0">
      <alignment horizontal="left" vertical="center"/>
    </xf>
    <xf numFmtId="0" fontId="4" fillId="5" borderId="2" pivotButton="0" quotePrefix="0" xfId="0"/>
    <xf numFmtId="0" fontId="4" fillId="5" borderId="2" applyAlignment="1" pivotButton="0" quotePrefix="0" xfId="0">
      <alignment horizontal="right" vertical="center"/>
    </xf>
    <xf numFmtId="4" fontId="4" fillId="5" borderId="2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3" fillId="0" borderId="0" applyAlignment="1" pivotButton="0" quotePrefix="0" xfId="0">
      <alignment horizontal="left" vertical="center"/>
    </xf>
    <xf numFmtId="164" fontId="3" fillId="0" borderId="0" applyAlignment="1" pivotButton="0" quotePrefix="0" xfId="0">
      <alignment horizontal="center" vertical="center"/>
    </xf>
    <xf numFmtId="0" fontId="4" fillId="0" borderId="3" applyAlignment="1" pivotButton="0" quotePrefix="0" xfId="0">
      <alignment horizontal="left" vertical="center"/>
    </xf>
    <xf numFmtId="4" fontId="3" fillId="0" borderId="3" applyAlignment="1" pivotButton="0" quotePrefix="0" xfId="0">
      <alignment horizontal="right" vertical="center"/>
    </xf>
    <xf numFmtId="0" fontId="5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 sz="1200" b="0">
                <a:latin typeface="Noto Sans CJK SC"/>
                <a:ea typeface="Noto Sans CJK SC"/>
              </a:defRPr>
            </a:pPr>
            <a:r>
              <a:rPr sz="1200" b="0">
                <a:latin typeface="Noto Sans CJK SC"/>
                <a:ea typeface="Noto Sans CJK SC"/>
              </a:rPr>
              <a:t>Monthly Sales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'Monthly Summary'!C4</f>
            </strRef>
          </tx>
          <spPr>
            <a:solidFill xmlns:a="http://schemas.openxmlformats.org/drawingml/2006/main">
              <a:srgbClr val="B85C1E"/>
            </a:solidFill>
            <a:ln xmlns:a="http://schemas.openxmlformats.org/drawingml/2006/main">
              <a:solidFill>
                <a:srgbClr val="B85C1E"/>
              </a:solidFill>
              <a:prstDash val="solid"/>
            </a:ln>
          </spPr>
          <cat>
            <numRef>
              <f>'Monthly Summary'!$B$5:$B$16</f>
            </numRef>
          </cat>
          <val>
            <numRef>
              <f>'Monthly Summary'!$C$5:$C$16</f>
            </numRef>
          </val>
        </ser>
        <gapWidth val="8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/>
              <a:p xmlns:a="http://schemas.openxmlformats.org/drawingml/2006/main">
                <a:pPr>
                  <a:defRPr sz="1000" b="0">
                    <a:latin typeface="Noto Sans CJK SC"/>
                    <a:ea typeface="Noto Sans CJK SC"/>
                  </a:defRPr>
                </a:pPr>
                <a:r>
                  <a:rPr sz="1000" b="0">
                    <a:latin typeface="Noto Sans CJK SC"/>
                    <a:ea typeface="Noto Sans CJK SC"/>
                  </a:rPr>
                  <a:t>Sales</a:t>
                </a:r>
              </a:p>
            </rich>
          </tx>
          <txPr>
            <a:bodyPr xmlns:a="http://schemas.openxmlformats.org/drawingml/2006/main" rot="-5400000"/>
            <a:p xmlns:a="http://schemas.openxmlformats.org/drawingml/2006/main">
              <a:pPr>
                <a:defRPr sz="1000" b="0">
                  <a:latin typeface="Noto Sans CJK SC"/>
                  <a:ea typeface="Noto Sans CJK SC"/>
                </a:defRPr>
              </a:pPr>
              <a:r>
                <a:t/>
              </a:r>
            </a:p>
          </txPr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B85C1E"/>
    <outlinePr summaryBelow="1" summaryRight="1"/>
    <pageSetUpPr fitToPage="1"/>
  </sheetPr>
  <dimension ref="B2:K205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4" customWidth="1" min="2" max="2"/>
    <col width="8" customWidth="1" min="3" max="3"/>
    <col width="22" customWidth="1" min="4" max="4"/>
    <col width="12" customWidth="1" min="5" max="5"/>
    <col width="8" customWidth="1" min="6" max="6"/>
    <col width="14" customWidth="1" min="7" max="7"/>
    <col width="14" customWidth="1" min="8" max="8"/>
    <col width="12" customWidth="1" min="9" max="9"/>
    <col width="22" customWidth="1" min="10" max="10"/>
    <col width="32" customWidth="1" min="11" max="11"/>
  </cols>
  <sheetData>
    <row r="1" ht="15" customHeight="1"/>
    <row r="2" ht="32" customHeight="1">
      <c r="B2" s="1" t="inlineStr">
        <is>
          <t>Sales Entry</t>
        </is>
      </c>
    </row>
    <row r="3" ht="8" customHeight="1"/>
    <row r="4" ht="28" customHeight="1">
      <c r="B4" s="2" t="inlineStr">
        <is>
          <t>Date</t>
        </is>
      </c>
      <c r="C4" s="2" t="inlineStr">
        <is>
          <t>Invoice #</t>
        </is>
      </c>
      <c r="D4" s="2" t="inlineStr">
        <is>
          <t>Item / Service</t>
        </is>
      </c>
      <c r="E4" s="2" t="inlineStr">
        <is>
          <t>Category</t>
        </is>
      </c>
      <c r="F4" s="2" t="inlineStr">
        <is>
          <t>Qty</t>
        </is>
      </c>
      <c r="G4" s="2" t="inlineStr">
        <is>
          <t>Unit Price</t>
        </is>
      </c>
      <c r="H4" s="2" t="inlineStr">
        <is>
          <t>Total</t>
        </is>
      </c>
      <c r="I4" s="2" t="inlineStr">
        <is>
          <t>Payment Method</t>
        </is>
      </c>
      <c r="J4" s="2" t="inlineStr">
        <is>
          <t>Customer Name</t>
        </is>
      </c>
      <c r="K4" s="2" t="inlineStr">
        <is>
          <t>Notes</t>
        </is>
      </c>
    </row>
    <row r="5" ht="22" customHeight="1">
      <c r="B5" s="3" t="n"/>
      <c r="C5" s="4" t="n"/>
      <c r="D5" s="4" t="n"/>
      <c r="E5" s="4" t="n"/>
      <c r="F5" s="5" t="n"/>
      <c r="G5" s="6" t="n"/>
      <c r="H5" s="6">
        <f>IFERROR(F5*G5,"")</f>
        <v/>
      </c>
      <c r="I5" s="4" t="n"/>
      <c r="J5" s="4" t="n"/>
      <c r="K5" s="4" t="n"/>
    </row>
    <row r="6" ht="22" customHeight="1">
      <c r="B6" s="7" t="n"/>
      <c r="C6" s="8" t="n"/>
      <c r="D6" s="8" t="n"/>
      <c r="E6" s="8" t="n"/>
      <c r="F6" s="9" t="n"/>
      <c r="G6" s="10" t="n"/>
      <c r="H6" s="10">
        <f>IFERROR(F6*G6,"")</f>
        <v/>
      </c>
      <c r="I6" s="8" t="n"/>
      <c r="J6" s="8" t="n"/>
      <c r="K6" s="8" t="n"/>
    </row>
    <row r="7" ht="22" customHeight="1">
      <c r="B7" s="3" t="n"/>
      <c r="C7" s="4" t="n"/>
      <c r="D7" s="4" t="n"/>
      <c r="E7" s="4" t="n"/>
      <c r="F7" s="5" t="n"/>
      <c r="G7" s="6" t="n"/>
      <c r="H7" s="6">
        <f>IFERROR(F7*G7,"")</f>
        <v/>
      </c>
      <c r="I7" s="4" t="n"/>
      <c r="J7" s="4" t="n"/>
      <c r="K7" s="4" t="n"/>
    </row>
    <row r="8" ht="22" customHeight="1">
      <c r="B8" s="7" t="n"/>
      <c r="C8" s="8" t="n"/>
      <c r="D8" s="8" t="n"/>
      <c r="E8" s="8" t="n"/>
      <c r="F8" s="9" t="n"/>
      <c r="G8" s="10" t="n"/>
      <c r="H8" s="10">
        <f>IFERROR(F8*G8,"")</f>
        <v/>
      </c>
      <c r="I8" s="8" t="n"/>
      <c r="J8" s="8" t="n"/>
      <c r="K8" s="8" t="n"/>
    </row>
    <row r="9" ht="22" customHeight="1">
      <c r="B9" s="3" t="n"/>
      <c r="C9" s="4" t="n"/>
      <c r="D9" s="4" t="n"/>
      <c r="E9" s="4" t="n"/>
      <c r="F9" s="5" t="n"/>
      <c r="G9" s="6" t="n"/>
      <c r="H9" s="6">
        <f>IFERROR(F9*G9,"")</f>
        <v/>
      </c>
      <c r="I9" s="4" t="n"/>
      <c r="J9" s="4" t="n"/>
      <c r="K9" s="4" t="n"/>
    </row>
    <row r="10" ht="22" customHeight="1">
      <c r="B10" s="7" t="n"/>
      <c r="C10" s="8" t="n"/>
      <c r="D10" s="8" t="n"/>
      <c r="E10" s="8" t="n"/>
      <c r="F10" s="9" t="n"/>
      <c r="G10" s="10" t="n"/>
      <c r="H10" s="10">
        <f>IFERROR(F10*G10,"")</f>
        <v/>
      </c>
      <c r="I10" s="8" t="n"/>
      <c r="J10" s="8" t="n"/>
      <c r="K10" s="8" t="n"/>
    </row>
    <row r="11" ht="22" customHeight="1">
      <c r="B11" s="3" t="n"/>
      <c r="C11" s="4" t="n"/>
      <c r="D11" s="4" t="n"/>
      <c r="E11" s="4" t="n"/>
      <c r="F11" s="5" t="n"/>
      <c r="G11" s="6" t="n"/>
      <c r="H11" s="6">
        <f>IFERROR(F11*G11,"")</f>
        <v/>
      </c>
      <c r="I11" s="4" t="n"/>
      <c r="J11" s="4" t="n"/>
      <c r="K11" s="4" t="n"/>
    </row>
    <row r="12" ht="22" customHeight="1">
      <c r="B12" s="7" t="n"/>
      <c r="C12" s="8" t="n"/>
      <c r="D12" s="8" t="n"/>
      <c r="E12" s="8" t="n"/>
      <c r="F12" s="9" t="n"/>
      <c r="G12" s="10" t="n"/>
      <c r="H12" s="10">
        <f>IFERROR(F12*G12,"")</f>
        <v/>
      </c>
      <c r="I12" s="8" t="n"/>
      <c r="J12" s="8" t="n"/>
      <c r="K12" s="8" t="n"/>
    </row>
    <row r="13" ht="22" customHeight="1">
      <c r="B13" s="3" t="n"/>
      <c r="C13" s="4" t="n"/>
      <c r="D13" s="4" t="n"/>
      <c r="E13" s="4" t="n"/>
      <c r="F13" s="5" t="n"/>
      <c r="G13" s="6" t="n"/>
      <c r="H13" s="6">
        <f>IFERROR(F13*G13,"")</f>
        <v/>
      </c>
      <c r="I13" s="4" t="n"/>
      <c r="J13" s="4" t="n"/>
      <c r="K13" s="4" t="n"/>
    </row>
    <row r="14" ht="22" customHeight="1">
      <c r="B14" s="7" t="n"/>
      <c r="C14" s="8" t="n"/>
      <c r="D14" s="8" t="n"/>
      <c r="E14" s="8" t="n"/>
      <c r="F14" s="9" t="n"/>
      <c r="G14" s="10" t="n"/>
      <c r="H14" s="10">
        <f>IFERROR(F14*G14,"")</f>
        <v/>
      </c>
      <c r="I14" s="8" t="n"/>
      <c r="J14" s="8" t="n"/>
      <c r="K14" s="8" t="n"/>
    </row>
    <row r="15" ht="22" customHeight="1">
      <c r="B15" s="3" t="n"/>
      <c r="C15" s="4" t="n"/>
      <c r="D15" s="4" t="n"/>
      <c r="E15" s="4" t="n"/>
      <c r="F15" s="5" t="n"/>
      <c r="G15" s="6" t="n"/>
      <c r="H15" s="6">
        <f>IFERROR(F15*G15,"")</f>
        <v/>
      </c>
      <c r="I15" s="4" t="n"/>
      <c r="J15" s="4" t="n"/>
      <c r="K15" s="4" t="n"/>
    </row>
    <row r="16" ht="22" customHeight="1">
      <c r="B16" s="7" t="n"/>
      <c r="C16" s="8" t="n"/>
      <c r="D16" s="8" t="n"/>
      <c r="E16" s="8" t="n"/>
      <c r="F16" s="9" t="n"/>
      <c r="G16" s="10" t="n"/>
      <c r="H16" s="10">
        <f>IFERROR(F16*G16,"")</f>
        <v/>
      </c>
      <c r="I16" s="8" t="n"/>
      <c r="J16" s="8" t="n"/>
      <c r="K16" s="8" t="n"/>
    </row>
    <row r="17" ht="22" customHeight="1">
      <c r="B17" s="3" t="n"/>
      <c r="C17" s="4" t="n"/>
      <c r="D17" s="4" t="n"/>
      <c r="E17" s="4" t="n"/>
      <c r="F17" s="5" t="n"/>
      <c r="G17" s="6" t="n"/>
      <c r="H17" s="6">
        <f>IFERROR(F17*G17,"")</f>
        <v/>
      </c>
      <c r="I17" s="4" t="n"/>
      <c r="J17" s="4" t="n"/>
      <c r="K17" s="4" t="n"/>
    </row>
    <row r="18" ht="22" customHeight="1">
      <c r="B18" s="7" t="n"/>
      <c r="C18" s="8" t="n"/>
      <c r="D18" s="8" t="n"/>
      <c r="E18" s="8" t="n"/>
      <c r="F18" s="9" t="n"/>
      <c r="G18" s="10" t="n"/>
      <c r="H18" s="10">
        <f>IFERROR(F18*G18,"")</f>
        <v/>
      </c>
      <c r="I18" s="8" t="n"/>
      <c r="J18" s="8" t="n"/>
      <c r="K18" s="8" t="n"/>
    </row>
    <row r="19" ht="22" customHeight="1">
      <c r="B19" s="3" t="n"/>
      <c r="C19" s="4" t="n"/>
      <c r="D19" s="4" t="n"/>
      <c r="E19" s="4" t="n"/>
      <c r="F19" s="5" t="n"/>
      <c r="G19" s="6" t="n"/>
      <c r="H19" s="6">
        <f>IFERROR(F19*G19,"")</f>
        <v/>
      </c>
      <c r="I19" s="4" t="n"/>
      <c r="J19" s="4" t="n"/>
      <c r="K19" s="4" t="n"/>
    </row>
    <row r="20" ht="22" customHeight="1">
      <c r="B20" s="7" t="n"/>
      <c r="C20" s="8" t="n"/>
      <c r="D20" s="8" t="n"/>
      <c r="E20" s="8" t="n"/>
      <c r="F20" s="9" t="n"/>
      <c r="G20" s="10" t="n"/>
      <c r="H20" s="10">
        <f>IFERROR(F20*G20,"")</f>
        <v/>
      </c>
      <c r="I20" s="8" t="n"/>
      <c r="J20" s="8" t="n"/>
      <c r="K20" s="8" t="n"/>
    </row>
    <row r="21" ht="22" customHeight="1">
      <c r="B21" s="3" t="n"/>
      <c r="C21" s="4" t="n"/>
      <c r="D21" s="4" t="n"/>
      <c r="E21" s="4" t="n"/>
      <c r="F21" s="5" t="n"/>
      <c r="G21" s="6" t="n"/>
      <c r="H21" s="6">
        <f>IFERROR(F21*G21,"")</f>
        <v/>
      </c>
      <c r="I21" s="4" t="n"/>
      <c r="J21" s="4" t="n"/>
      <c r="K21" s="4" t="n"/>
    </row>
    <row r="22" ht="22" customHeight="1">
      <c r="B22" s="7" t="n"/>
      <c r="C22" s="8" t="n"/>
      <c r="D22" s="8" t="n"/>
      <c r="E22" s="8" t="n"/>
      <c r="F22" s="9" t="n"/>
      <c r="G22" s="10" t="n"/>
      <c r="H22" s="10">
        <f>IFERROR(F22*G22,"")</f>
        <v/>
      </c>
      <c r="I22" s="8" t="n"/>
      <c r="J22" s="8" t="n"/>
      <c r="K22" s="8" t="n"/>
    </row>
    <row r="23" ht="22" customHeight="1">
      <c r="B23" s="3" t="n"/>
      <c r="C23" s="4" t="n"/>
      <c r="D23" s="4" t="n"/>
      <c r="E23" s="4" t="n"/>
      <c r="F23" s="5" t="n"/>
      <c r="G23" s="6" t="n"/>
      <c r="H23" s="6">
        <f>IFERROR(F23*G23,"")</f>
        <v/>
      </c>
      <c r="I23" s="4" t="n"/>
      <c r="J23" s="4" t="n"/>
      <c r="K23" s="4" t="n"/>
    </row>
    <row r="24" ht="22" customHeight="1">
      <c r="B24" s="7" t="n"/>
      <c r="C24" s="8" t="n"/>
      <c r="D24" s="8" t="n"/>
      <c r="E24" s="8" t="n"/>
      <c r="F24" s="9" t="n"/>
      <c r="G24" s="10" t="n"/>
      <c r="H24" s="10">
        <f>IFERROR(F24*G24,"")</f>
        <v/>
      </c>
      <c r="I24" s="8" t="n"/>
      <c r="J24" s="8" t="n"/>
      <c r="K24" s="8" t="n"/>
    </row>
    <row r="25" ht="22" customHeight="1">
      <c r="B25" s="3" t="n"/>
      <c r="C25" s="4" t="n"/>
      <c r="D25" s="4" t="n"/>
      <c r="E25" s="4" t="n"/>
      <c r="F25" s="5" t="n"/>
      <c r="G25" s="6" t="n"/>
      <c r="H25" s="6">
        <f>IFERROR(F25*G25,"")</f>
        <v/>
      </c>
      <c r="I25" s="4" t="n"/>
      <c r="J25" s="4" t="n"/>
      <c r="K25" s="4" t="n"/>
    </row>
    <row r="26" ht="22" customHeight="1">
      <c r="B26" s="7" t="n"/>
      <c r="C26" s="8" t="n"/>
      <c r="D26" s="8" t="n"/>
      <c r="E26" s="8" t="n"/>
      <c r="F26" s="9" t="n"/>
      <c r="G26" s="10" t="n"/>
      <c r="H26" s="10">
        <f>IFERROR(F26*G26,"")</f>
        <v/>
      </c>
      <c r="I26" s="8" t="n"/>
      <c r="J26" s="8" t="n"/>
      <c r="K26" s="8" t="n"/>
    </row>
    <row r="27" ht="22" customHeight="1">
      <c r="B27" s="3" t="n"/>
      <c r="C27" s="4" t="n"/>
      <c r="D27" s="4" t="n"/>
      <c r="E27" s="4" t="n"/>
      <c r="F27" s="5" t="n"/>
      <c r="G27" s="6" t="n"/>
      <c r="H27" s="6">
        <f>IFERROR(F27*G27,"")</f>
        <v/>
      </c>
      <c r="I27" s="4" t="n"/>
      <c r="J27" s="4" t="n"/>
      <c r="K27" s="4" t="n"/>
    </row>
    <row r="28" ht="22" customHeight="1">
      <c r="B28" s="7" t="n"/>
      <c r="C28" s="8" t="n"/>
      <c r="D28" s="8" t="n"/>
      <c r="E28" s="8" t="n"/>
      <c r="F28" s="9" t="n"/>
      <c r="G28" s="10" t="n"/>
      <c r="H28" s="10">
        <f>IFERROR(F28*G28,"")</f>
        <v/>
      </c>
      <c r="I28" s="8" t="n"/>
      <c r="J28" s="8" t="n"/>
      <c r="K28" s="8" t="n"/>
    </row>
    <row r="29" ht="22" customHeight="1">
      <c r="B29" s="3" t="n"/>
      <c r="C29" s="4" t="n"/>
      <c r="D29" s="4" t="n"/>
      <c r="E29" s="4" t="n"/>
      <c r="F29" s="5" t="n"/>
      <c r="G29" s="6" t="n"/>
      <c r="H29" s="6">
        <f>IFERROR(F29*G29,"")</f>
        <v/>
      </c>
      <c r="I29" s="4" t="n"/>
      <c r="J29" s="4" t="n"/>
      <c r="K29" s="4" t="n"/>
    </row>
    <row r="30" ht="22" customHeight="1">
      <c r="B30" s="7" t="n"/>
      <c r="C30" s="8" t="n"/>
      <c r="D30" s="8" t="n"/>
      <c r="E30" s="8" t="n"/>
      <c r="F30" s="9" t="n"/>
      <c r="G30" s="10" t="n"/>
      <c r="H30" s="10">
        <f>IFERROR(F30*G30,"")</f>
        <v/>
      </c>
      <c r="I30" s="8" t="n"/>
      <c r="J30" s="8" t="n"/>
      <c r="K30" s="8" t="n"/>
    </row>
    <row r="31" ht="22" customHeight="1">
      <c r="B31" s="3" t="n"/>
      <c r="C31" s="4" t="n"/>
      <c r="D31" s="4" t="n"/>
      <c r="E31" s="4" t="n"/>
      <c r="F31" s="5" t="n"/>
      <c r="G31" s="6" t="n"/>
      <c r="H31" s="6">
        <f>IFERROR(F31*G31,"")</f>
        <v/>
      </c>
      <c r="I31" s="4" t="n"/>
      <c r="J31" s="4" t="n"/>
      <c r="K31" s="4" t="n"/>
    </row>
    <row r="32" ht="22" customHeight="1">
      <c r="B32" s="7" t="n"/>
      <c r="C32" s="8" t="n"/>
      <c r="D32" s="8" t="n"/>
      <c r="E32" s="8" t="n"/>
      <c r="F32" s="9" t="n"/>
      <c r="G32" s="10" t="n"/>
      <c r="H32" s="10">
        <f>IFERROR(F32*G32,"")</f>
        <v/>
      </c>
      <c r="I32" s="8" t="n"/>
      <c r="J32" s="8" t="n"/>
      <c r="K32" s="8" t="n"/>
    </row>
    <row r="33" ht="22" customHeight="1">
      <c r="B33" s="3" t="n"/>
      <c r="C33" s="4" t="n"/>
      <c r="D33" s="4" t="n"/>
      <c r="E33" s="4" t="n"/>
      <c r="F33" s="5" t="n"/>
      <c r="G33" s="6" t="n"/>
      <c r="H33" s="6">
        <f>IFERROR(F33*G33,"")</f>
        <v/>
      </c>
      <c r="I33" s="4" t="n"/>
      <c r="J33" s="4" t="n"/>
      <c r="K33" s="4" t="n"/>
    </row>
    <row r="34" ht="22" customHeight="1">
      <c r="B34" s="7" t="n"/>
      <c r="C34" s="8" t="n"/>
      <c r="D34" s="8" t="n"/>
      <c r="E34" s="8" t="n"/>
      <c r="F34" s="9" t="n"/>
      <c r="G34" s="10" t="n"/>
      <c r="H34" s="10">
        <f>IFERROR(F34*G34,"")</f>
        <v/>
      </c>
      <c r="I34" s="8" t="n"/>
      <c r="J34" s="8" t="n"/>
      <c r="K34" s="8" t="n"/>
    </row>
    <row r="35" ht="22" customHeight="1">
      <c r="B35" s="3" t="n"/>
      <c r="C35" s="4" t="n"/>
      <c r="D35" s="4" t="n"/>
      <c r="E35" s="4" t="n"/>
      <c r="F35" s="5" t="n"/>
      <c r="G35" s="6" t="n"/>
      <c r="H35" s="6">
        <f>IFERROR(F35*G35,"")</f>
        <v/>
      </c>
      <c r="I35" s="4" t="n"/>
      <c r="J35" s="4" t="n"/>
      <c r="K35" s="4" t="n"/>
    </row>
    <row r="36" ht="22" customHeight="1">
      <c r="B36" s="7" t="n"/>
      <c r="C36" s="8" t="n"/>
      <c r="D36" s="8" t="n"/>
      <c r="E36" s="8" t="n"/>
      <c r="F36" s="9" t="n"/>
      <c r="G36" s="10" t="n"/>
      <c r="H36" s="10">
        <f>IFERROR(F36*G36,"")</f>
        <v/>
      </c>
      <c r="I36" s="8" t="n"/>
      <c r="J36" s="8" t="n"/>
      <c r="K36" s="8" t="n"/>
    </row>
    <row r="37" ht="22" customHeight="1">
      <c r="B37" s="3" t="n"/>
      <c r="C37" s="4" t="n"/>
      <c r="D37" s="4" t="n"/>
      <c r="E37" s="4" t="n"/>
      <c r="F37" s="5" t="n"/>
      <c r="G37" s="6" t="n"/>
      <c r="H37" s="6">
        <f>IFERROR(F37*G37,"")</f>
        <v/>
      </c>
      <c r="I37" s="4" t="n"/>
      <c r="J37" s="4" t="n"/>
      <c r="K37" s="4" t="n"/>
    </row>
    <row r="38" ht="22" customHeight="1">
      <c r="B38" s="7" t="n"/>
      <c r="C38" s="8" t="n"/>
      <c r="D38" s="8" t="n"/>
      <c r="E38" s="8" t="n"/>
      <c r="F38" s="9" t="n"/>
      <c r="G38" s="10" t="n"/>
      <c r="H38" s="10">
        <f>IFERROR(F38*G38,"")</f>
        <v/>
      </c>
      <c r="I38" s="8" t="n"/>
      <c r="J38" s="8" t="n"/>
      <c r="K38" s="8" t="n"/>
    </row>
    <row r="39" ht="22" customHeight="1">
      <c r="B39" s="3" t="n"/>
      <c r="C39" s="4" t="n"/>
      <c r="D39" s="4" t="n"/>
      <c r="E39" s="4" t="n"/>
      <c r="F39" s="5" t="n"/>
      <c r="G39" s="6" t="n"/>
      <c r="H39" s="6">
        <f>IFERROR(F39*G39,"")</f>
        <v/>
      </c>
      <c r="I39" s="4" t="n"/>
      <c r="J39" s="4" t="n"/>
      <c r="K39" s="4" t="n"/>
    </row>
    <row r="40" ht="22" customHeight="1">
      <c r="B40" s="7" t="n"/>
      <c r="C40" s="8" t="n"/>
      <c r="D40" s="8" t="n"/>
      <c r="E40" s="8" t="n"/>
      <c r="F40" s="9" t="n"/>
      <c r="G40" s="10" t="n"/>
      <c r="H40" s="10">
        <f>IFERROR(F40*G40,"")</f>
        <v/>
      </c>
      <c r="I40" s="8" t="n"/>
      <c r="J40" s="8" t="n"/>
      <c r="K40" s="8" t="n"/>
    </row>
    <row r="41" ht="22" customHeight="1">
      <c r="B41" s="3" t="n"/>
      <c r="C41" s="4" t="n"/>
      <c r="D41" s="4" t="n"/>
      <c r="E41" s="4" t="n"/>
      <c r="F41" s="5" t="n"/>
      <c r="G41" s="6" t="n"/>
      <c r="H41" s="6">
        <f>IFERROR(F41*G41,"")</f>
        <v/>
      </c>
      <c r="I41" s="4" t="n"/>
      <c r="J41" s="4" t="n"/>
      <c r="K41" s="4" t="n"/>
    </row>
    <row r="42" ht="22" customHeight="1">
      <c r="B42" s="7" t="n"/>
      <c r="C42" s="8" t="n"/>
      <c r="D42" s="8" t="n"/>
      <c r="E42" s="8" t="n"/>
      <c r="F42" s="9" t="n"/>
      <c r="G42" s="10" t="n"/>
      <c r="H42" s="10">
        <f>IFERROR(F42*G42,"")</f>
        <v/>
      </c>
      <c r="I42" s="8" t="n"/>
      <c r="J42" s="8" t="n"/>
      <c r="K42" s="8" t="n"/>
    </row>
    <row r="43" ht="22" customHeight="1">
      <c r="B43" s="3" t="n"/>
      <c r="C43" s="4" t="n"/>
      <c r="D43" s="4" t="n"/>
      <c r="E43" s="4" t="n"/>
      <c r="F43" s="5" t="n"/>
      <c r="G43" s="6" t="n"/>
      <c r="H43" s="6">
        <f>IFERROR(F43*G43,"")</f>
        <v/>
      </c>
      <c r="I43" s="4" t="n"/>
      <c r="J43" s="4" t="n"/>
      <c r="K43" s="4" t="n"/>
    </row>
    <row r="44" ht="22" customHeight="1">
      <c r="B44" s="7" t="n"/>
      <c r="C44" s="8" t="n"/>
      <c r="D44" s="8" t="n"/>
      <c r="E44" s="8" t="n"/>
      <c r="F44" s="9" t="n"/>
      <c r="G44" s="10" t="n"/>
      <c r="H44" s="10">
        <f>IFERROR(F44*G44,"")</f>
        <v/>
      </c>
      <c r="I44" s="8" t="n"/>
      <c r="J44" s="8" t="n"/>
      <c r="K44" s="8" t="n"/>
    </row>
    <row r="45" ht="22" customHeight="1">
      <c r="B45" s="3" t="n"/>
      <c r="C45" s="4" t="n"/>
      <c r="D45" s="4" t="n"/>
      <c r="E45" s="4" t="n"/>
      <c r="F45" s="5" t="n"/>
      <c r="G45" s="6" t="n"/>
      <c r="H45" s="6">
        <f>IFERROR(F45*G45,"")</f>
        <v/>
      </c>
      <c r="I45" s="4" t="n"/>
      <c r="J45" s="4" t="n"/>
      <c r="K45" s="4" t="n"/>
    </row>
    <row r="46" ht="22" customHeight="1">
      <c r="B46" s="7" t="n"/>
      <c r="C46" s="8" t="n"/>
      <c r="D46" s="8" t="n"/>
      <c r="E46" s="8" t="n"/>
      <c r="F46" s="9" t="n"/>
      <c r="G46" s="10" t="n"/>
      <c r="H46" s="10">
        <f>IFERROR(F46*G46,"")</f>
        <v/>
      </c>
      <c r="I46" s="8" t="n"/>
      <c r="J46" s="8" t="n"/>
      <c r="K46" s="8" t="n"/>
    </row>
    <row r="47" ht="22" customHeight="1">
      <c r="B47" s="3" t="n"/>
      <c r="C47" s="4" t="n"/>
      <c r="D47" s="4" t="n"/>
      <c r="E47" s="4" t="n"/>
      <c r="F47" s="5" t="n"/>
      <c r="G47" s="6" t="n"/>
      <c r="H47" s="6">
        <f>IFERROR(F47*G47,"")</f>
        <v/>
      </c>
      <c r="I47" s="4" t="n"/>
      <c r="J47" s="4" t="n"/>
      <c r="K47" s="4" t="n"/>
    </row>
    <row r="48" ht="22" customHeight="1">
      <c r="B48" s="7" t="n"/>
      <c r="C48" s="8" t="n"/>
      <c r="D48" s="8" t="n"/>
      <c r="E48" s="8" t="n"/>
      <c r="F48" s="9" t="n"/>
      <c r="G48" s="10" t="n"/>
      <c r="H48" s="10">
        <f>IFERROR(F48*G48,"")</f>
        <v/>
      </c>
      <c r="I48" s="8" t="n"/>
      <c r="J48" s="8" t="n"/>
      <c r="K48" s="8" t="n"/>
    </row>
    <row r="49" ht="22" customHeight="1">
      <c r="B49" s="3" t="n"/>
      <c r="C49" s="4" t="n"/>
      <c r="D49" s="4" t="n"/>
      <c r="E49" s="4" t="n"/>
      <c r="F49" s="5" t="n"/>
      <c r="G49" s="6" t="n"/>
      <c r="H49" s="6">
        <f>IFERROR(F49*G49,"")</f>
        <v/>
      </c>
      <c r="I49" s="4" t="n"/>
      <c r="J49" s="4" t="n"/>
      <c r="K49" s="4" t="n"/>
    </row>
    <row r="50" ht="22" customHeight="1">
      <c r="B50" s="7" t="n"/>
      <c r="C50" s="8" t="n"/>
      <c r="D50" s="8" t="n"/>
      <c r="E50" s="8" t="n"/>
      <c r="F50" s="9" t="n"/>
      <c r="G50" s="10" t="n"/>
      <c r="H50" s="10">
        <f>IFERROR(F50*G50,"")</f>
        <v/>
      </c>
      <c r="I50" s="8" t="n"/>
      <c r="J50" s="8" t="n"/>
      <c r="K50" s="8" t="n"/>
    </row>
    <row r="51" ht="22" customHeight="1">
      <c r="B51" s="3" t="n"/>
      <c r="C51" s="4" t="n"/>
      <c r="D51" s="4" t="n"/>
      <c r="E51" s="4" t="n"/>
      <c r="F51" s="5" t="n"/>
      <c r="G51" s="6" t="n"/>
      <c r="H51" s="6">
        <f>IFERROR(F51*G51,"")</f>
        <v/>
      </c>
      <c r="I51" s="4" t="n"/>
      <c r="J51" s="4" t="n"/>
      <c r="K51" s="4" t="n"/>
    </row>
    <row r="52" ht="22" customHeight="1">
      <c r="B52" s="7" t="n"/>
      <c r="C52" s="8" t="n"/>
      <c r="D52" s="8" t="n"/>
      <c r="E52" s="8" t="n"/>
      <c r="F52" s="9" t="n"/>
      <c r="G52" s="10" t="n"/>
      <c r="H52" s="10">
        <f>IFERROR(F52*G52,"")</f>
        <v/>
      </c>
      <c r="I52" s="8" t="n"/>
      <c r="J52" s="8" t="n"/>
      <c r="K52" s="8" t="n"/>
    </row>
    <row r="53" ht="22" customHeight="1">
      <c r="B53" s="3" t="n"/>
      <c r="C53" s="4" t="n"/>
      <c r="D53" s="4" t="n"/>
      <c r="E53" s="4" t="n"/>
      <c r="F53" s="5" t="n"/>
      <c r="G53" s="6" t="n"/>
      <c r="H53" s="6">
        <f>IFERROR(F53*G53,"")</f>
        <v/>
      </c>
      <c r="I53" s="4" t="n"/>
      <c r="J53" s="4" t="n"/>
      <c r="K53" s="4" t="n"/>
    </row>
    <row r="54" ht="22" customHeight="1">
      <c r="B54" s="7" t="n"/>
      <c r="C54" s="8" t="n"/>
      <c r="D54" s="8" t="n"/>
      <c r="E54" s="8" t="n"/>
      <c r="F54" s="9" t="n"/>
      <c r="G54" s="10" t="n"/>
      <c r="H54" s="10">
        <f>IFERROR(F54*G54,"")</f>
        <v/>
      </c>
      <c r="I54" s="8" t="n"/>
      <c r="J54" s="8" t="n"/>
      <c r="K54" s="8" t="n"/>
    </row>
    <row r="55" ht="22" customHeight="1">
      <c r="B55" s="3" t="n"/>
      <c r="C55" s="4" t="n"/>
      <c r="D55" s="4" t="n"/>
      <c r="E55" s="4" t="n"/>
      <c r="F55" s="5" t="n"/>
      <c r="G55" s="6" t="n"/>
      <c r="H55" s="6">
        <f>IFERROR(F55*G55,"")</f>
        <v/>
      </c>
      <c r="I55" s="4" t="n"/>
      <c r="J55" s="4" t="n"/>
      <c r="K55" s="4" t="n"/>
    </row>
    <row r="56" ht="22" customHeight="1">
      <c r="B56" s="7" t="n"/>
      <c r="C56" s="8" t="n"/>
      <c r="D56" s="8" t="n"/>
      <c r="E56" s="8" t="n"/>
      <c r="F56" s="9" t="n"/>
      <c r="G56" s="10" t="n"/>
      <c r="H56" s="10">
        <f>IFERROR(F56*G56,"")</f>
        <v/>
      </c>
      <c r="I56" s="8" t="n"/>
      <c r="J56" s="8" t="n"/>
      <c r="K56" s="8" t="n"/>
    </row>
    <row r="57" ht="22" customHeight="1">
      <c r="B57" s="3" t="n"/>
      <c r="C57" s="4" t="n"/>
      <c r="D57" s="4" t="n"/>
      <c r="E57" s="4" t="n"/>
      <c r="F57" s="5" t="n"/>
      <c r="G57" s="6" t="n"/>
      <c r="H57" s="6">
        <f>IFERROR(F57*G57,"")</f>
        <v/>
      </c>
      <c r="I57" s="4" t="n"/>
      <c r="J57" s="4" t="n"/>
      <c r="K57" s="4" t="n"/>
    </row>
    <row r="58" ht="22" customHeight="1">
      <c r="B58" s="7" t="n"/>
      <c r="C58" s="8" t="n"/>
      <c r="D58" s="8" t="n"/>
      <c r="E58" s="8" t="n"/>
      <c r="F58" s="9" t="n"/>
      <c r="G58" s="10" t="n"/>
      <c r="H58" s="10">
        <f>IFERROR(F58*G58,"")</f>
        <v/>
      </c>
      <c r="I58" s="8" t="n"/>
      <c r="J58" s="8" t="n"/>
      <c r="K58" s="8" t="n"/>
    </row>
    <row r="59" ht="22" customHeight="1">
      <c r="B59" s="3" t="n"/>
      <c r="C59" s="4" t="n"/>
      <c r="D59" s="4" t="n"/>
      <c r="E59" s="4" t="n"/>
      <c r="F59" s="5" t="n"/>
      <c r="G59" s="6" t="n"/>
      <c r="H59" s="6">
        <f>IFERROR(F59*G59,"")</f>
        <v/>
      </c>
      <c r="I59" s="4" t="n"/>
      <c r="J59" s="4" t="n"/>
      <c r="K59" s="4" t="n"/>
    </row>
    <row r="60" ht="22" customHeight="1">
      <c r="B60" s="7" t="n"/>
      <c r="C60" s="8" t="n"/>
      <c r="D60" s="8" t="n"/>
      <c r="E60" s="8" t="n"/>
      <c r="F60" s="9" t="n"/>
      <c r="G60" s="10" t="n"/>
      <c r="H60" s="10">
        <f>IFERROR(F60*G60,"")</f>
        <v/>
      </c>
      <c r="I60" s="8" t="n"/>
      <c r="J60" s="8" t="n"/>
      <c r="K60" s="8" t="n"/>
    </row>
    <row r="61" ht="22" customHeight="1">
      <c r="B61" s="3" t="n"/>
      <c r="C61" s="4" t="n"/>
      <c r="D61" s="4" t="n"/>
      <c r="E61" s="4" t="n"/>
      <c r="F61" s="5" t="n"/>
      <c r="G61" s="6" t="n"/>
      <c r="H61" s="6">
        <f>IFERROR(F61*G61,"")</f>
        <v/>
      </c>
      <c r="I61" s="4" t="n"/>
      <c r="J61" s="4" t="n"/>
      <c r="K61" s="4" t="n"/>
    </row>
    <row r="62" ht="22" customHeight="1">
      <c r="B62" s="7" t="n"/>
      <c r="C62" s="8" t="n"/>
      <c r="D62" s="8" t="n"/>
      <c r="E62" s="8" t="n"/>
      <c r="F62" s="9" t="n"/>
      <c r="G62" s="10" t="n"/>
      <c r="H62" s="10">
        <f>IFERROR(F62*G62,"")</f>
        <v/>
      </c>
      <c r="I62" s="8" t="n"/>
      <c r="J62" s="8" t="n"/>
      <c r="K62" s="8" t="n"/>
    </row>
    <row r="63" ht="22" customHeight="1">
      <c r="B63" s="3" t="n"/>
      <c r="C63" s="4" t="n"/>
      <c r="D63" s="4" t="n"/>
      <c r="E63" s="4" t="n"/>
      <c r="F63" s="5" t="n"/>
      <c r="G63" s="6" t="n"/>
      <c r="H63" s="6">
        <f>IFERROR(F63*G63,"")</f>
        <v/>
      </c>
      <c r="I63" s="4" t="n"/>
      <c r="J63" s="4" t="n"/>
      <c r="K63" s="4" t="n"/>
    </row>
    <row r="64" ht="22" customHeight="1">
      <c r="B64" s="7" t="n"/>
      <c r="C64" s="8" t="n"/>
      <c r="D64" s="8" t="n"/>
      <c r="E64" s="8" t="n"/>
      <c r="F64" s="9" t="n"/>
      <c r="G64" s="10" t="n"/>
      <c r="H64" s="10">
        <f>IFERROR(F64*G64,"")</f>
        <v/>
      </c>
      <c r="I64" s="8" t="n"/>
      <c r="J64" s="8" t="n"/>
      <c r="K64" s="8" t="n"/>
    </row>
    <row r="65" ht="22" customHeight="1">
      <c r="B65" s="3" t="n"/>
      <c r="C65" s="4" t="n"/>
      <c r="D65" s="4" t="n"/>
      <c r="E65" s="4" t="n"/>
      <c r="F65" s="5" t="n"/>
      <c r="G65" s="6" t="n"/>
      <c r="H65" s="6">
        <f>IFERROR(F65*G65,"")</f>
        <v/>
      </c>
      <c r="I65" s="4" t="n"/>
      <c r="J65" s="4" t="n"/>
      <c r="K65" s="4" t="n"/>
    </row>
    <row r="66" ht="22" customHeight="1">
      <c r="B66" s="7" t="n"/>
      <c r="C66" s="8" t="n"/>
      <c r="D66" s="8" t="n"/>
      <c r="E66" s="8" t="n"/>
      <c r="F66" s="9" t="n"/>
      <c r="G66" s="10" t="n"/>
      <c r="H66" s="10">
        <f>IFERROR(F66*G66,"")</f>
        <v/>
      </c>
      <c r="I66" s="8" t="n"/>
      <c r="J66" s="8" t="n"/>
      <c r="K66" s="8" t="n"/>
    </row>
    <row r="67" ht="22" customHeight="1">
      <c r="B67" s="3" t="n"/>
      <c r="C67" s="4" t="n"/>
      <c r="D67" s="4" t="n"/>
      <c r="E67" s="4" t="n"/>
      <c r="F67" s="5" t="n"/>
      <c r="G67" s="6" t="n"/>
      <c r="H67" s="6">
        <f>IFERROR(F67*G67,"")</f>
        <v/>
      </c>
      <c r="I67" s="4" t="n"/>
      <c r="J67" s="4" t="n"/>
      <c r="K67" s="4" t="n"/>
    </row>
    <row r="68" ht="22" customHeight="1">
      <c r="B68" s="7" t="n"/>
      <c r="C68" s="8" t="n"/>
      <c r="D68" s="8" t="n"/>
      <c r="E68" s="8" t="n"/>
      <c r="F68" s="9" t="n"/>
      <c r="G68" s="10" t="n"/>
      <c r="H68" s="10">
        <f>IFERROR(F68*G68,"")</f>
        <v/>
      </c>
      <c r="I68" s="8" t="n"/>
      <c r="J68" s="8" t="n"/>
      <c r="K68" s="8" t="n"/>
    </row>
    <row r="69" ht="22" customHeight="1">
      <c r="B69" s="3" t="n"/>
      <c r="C69" s="4" t="n"/>
      <c r="D69" s="4" t="n"/>
      <c r="E69" s="4" t="n"/>
      <c r="F69" s="5" t="n"/>
      <c r="G69" s="6" t="n"/>
      <c r="H69" s="6">
        <f>IFERROR(F69*G69,"")</f>
        <v/>
      </c>
      <c r="I69" s="4" t="n"/>
      <c r="J69" s="4" t="n"/>
      <c r="K69" s="4" t="n"/>
    </row>
    <row r="70" ht="22" customHeight="1">
      <c r="B70" s="7" t="n"/>
      <c r="C70" s="8" t="n"/>
      <c r="D70" s="8" t="n"/>
      <c r="E70" s="8" t="n"/>
      <c r="F70" s="9" t="n"/>
      <c r="G70" s="10" t="n"/>
      <c r="H70" s="10">
        <f>IFERROR(F70*G70,"")</f>
        <v/>
      </c>
      <c r="I70" s="8" t="n"/>
      <c r="J70" s="8" t="n"/>
      <c r="K70" s="8" t="n"/>
    </row>
    <row r="71" ht="22" customHeight="1">
      <c r="B71" s="3" t="n"/>
      <c r="C71" s="4" t="n"/>
      <c r="D71" s="4" t="n"/>
      <c r="E71" s="4" t="n"/>
      <c r="F71" s="5" t="n"/>
      <c r="G71" s="6" t="n"/>
      <c r="H71" s="6">
        <f>IFERROR(F71*G71,"")</f>
        <v/>
      </c>
      <c r="I71" s="4" t="n"/>
      <c r="J71" s="4" t="n"/>
      <c r="K71" s="4" t="n"/>
    </row>
    <row r="72" ht="22" customHeight="1">
      <c r="B72" s="7" t="n"/>
      <c r="C72" s="8" t="n"/>
      <c r="D72" s="8" t="n"/>
      <c r="E72" s="8" t="n"/>
      <c r="F72" s="9" t="n"/>
      <c r="G72" s="10" t="n"/>
      <c r="H72" s="10">
        <f>IFERROR(F72*G72,"")</f>
        <v/>
      </c>
      <c r="I72" s="8" t="n"/>
      <c r="J72" s="8" t="n"/>
      <c r="K72" s="8" t="n"/>
    </row>
    <row r="73" ht="22" customHeight="1">
      <c r="B73" s="3" t="n"/>
      <c r="C73" s="4" t="n"/>
      <c r="D73" s="4" t="n"/>
      <c r="E73" s="4" t="n"/>
      <c r="F73" s="5" t="n"/>
      <c r="G73" s="6" t="n"/>
      <c r="H73" s="6">
        <f>IFERROR(F73*G73,"")</f>
        <v/>
      </c>
      <c r="I73" s="4" t="n"/>
      <c r="J73" s="4" t="n"/>
      <c r="K73" s="4" t="n"/>
    </row>
    <row r="74" ht="22" customHeight="1">
      <c r="B74" s="7" t="n"/>
      <c r="C74" s="8" t="n"/>
      <c r="D74" s="8" t="n"/>
      <c r="E74" s="8" t="n"/>
      <c r="F74" s="9" t="n"/>
      <c r="G74" s="10" t="n"/>
      <c r="H74" s="10">
        <f>IFERROR(F74*G74,"")</f>
        <v/>
      </c>
      <c r="I74" s="8" t="n"/>
      <c r="J74" s="8" t="n"/>
      <c r="K74" s="8" t="n"/>
    </row>
    <row r="75" ht="22" customHeight="1">
      <c r="B75" s="3" t="n"/>
      <c r="C75" s="4" t="n"/>
      <c r="D75" s="4" t="n"/>
      <c r="E75" s="4" t="n"/>
      <c r="F75" s="5" t="n"/>
      <c r="G75" s="6" t="n"/>
      <c r="H75" s="6">
        <f>IFERROR(F75*G75,"")</f>
        <v/>
      </c>
      <c r="I75" s="4" t="n"/>
      <c r="J75" s="4" t="n"/>
      <c r="K75" s="4" t="n"/>
    </row>
    <row r="76" ht="22" customHeight="1">
      <c r="B76" s="7" t="n"/>
      <c r="C76" s="8" t="n"/>
      <c r="D76" s="8" t="n"/>
      <c r="E76" s="8" t="n"/>
      <c r="F76" s="9" t="n"/>
      <c r="G76" s="10" t="n"/>
      <c r="H76" s="10">
        <f>IFERROR(F76*G76,"")</f>
        <v/>
      </c>
      <c r="I76" s="8" t="n"/>
      <c r="J76" s="8" t="n"/>
      <c r="K76" s="8" t="n"/>
    </row>
    <row r="77" ht="22" customHeight="1">
      <c r="B77" s="3" t="n"/>
      <c r="C77" s="4" t="n"/>
      <c r="D77" s="4" t="n"/>
      <c r="E77" s="4" t="n"/>
      <c r="F77" s="5" t="n"/>
      <c r="G77" s="6" t="n"/>
      <c r="H77" s="6">
        <f>IFERROR(F77*G77,"")</f>
        <v/>
      </c>
      <c r="I77" s="4" t="n"/>
      <c r="J77" s="4" t="n"/>
      <c r="K77" s="4" t="n"/>
    </row>
    <row r="78" ht="22" customHeight="1">
      <c r="B78" s="7" t="n"/>
      <c r="C78" s="8" t="n"/>
      <c r="D78" s="8" t="n"/>
      <c r="E78" s="8" t="n"/>
      <c r="F78" s="9" t="n"/>
      <c r="G78" s="10" t="n"/>
      <c r="H78" s="10">
        <f>IFERROR(F78*G78,"")</f>
        <v/>
      </c>
      <c r="I78" s="8" t="n"/>
      <c r="J78" s="8" t="n"/>
      <c r="K78" s="8" t="n"/>
    </row>
    <row r="79" ht="22" customHeight="1">
      <c r="B79" s="3" t="n"/>
      <c r="C79" s="4" t="n"/>
      <c r="D79" s="4" t="n"/>
      <c r="E79" s="4" t="n"/>
      <c r="F79" s="5" t="n"/>
      <c r="G79" s="6" t="n"/>
      <c r="H79" s="6">
        <f>IFERROR(F79*G79,"")</f>
        <v/>
      </c>
      <c r="I79" s="4" t="n"/>
      <c r="J79" s="4" t="n"/>
      <c r="K79" s="4" t="n"/>
    </row>
    <row r="80" ht="22" customHeight="1">
      <c r="B80" s="7" t="n"/>
      <c r="C80" s="8" t="n"/>
      <c r="D80" s="8" t="n"/>
      <c r="E80" s="8" t="n"/>
      <c r="F80" s="9" t="n"/>
      <c r="G80" s="10" t="n"/>
      <c r="H80" s="10">
        <f>IFERROR(F80*G80,"")</f>
        <v/>
      </c>
      <c r="I80" s="8" t="n"/>
      <c r="J80" s="8" t="n"/>
      <c r="K80" s="8" t="n"/>
    </row>
    <row r="81" ht="22" customHeight="1">
      <c r="B81" s="3" t="n"/>
      <c r="C81" s="4" t="n"/>
      <c r="D81" s="4" t="n"/>
      <c r="E81" s="4" t="n"/>
      <c r="F81" s="5" t="n"/>
      <c r="G81" s="6" t="n"/>
      <c r="H81" s="6">
        <f>IFERROR(F81*G81,"")</f>
        <v/>
      </c>
      <c r="I81" s="4" t="n"/>
      <c r="J81" s="4" t="n"/>
      <c r="K81" s="4" t="n"/>
    </row>
    <row r="82" ht="22" customHeight="1">
      <c r="B82" s="7" t="n"/>
      <c r="C82" s="8" t="n"/>
      <c r="D82" s="8" t="n"/>
      <c r="E82" s="8" t="n"/>
      <c r="F82" s="9" t="n"/>
      <c r="G82" s="10" t="n"/>
      <c r="H82" s="10">
        <f>IFERROR(F82*G82,"")</f>
        <v/>
      </c>
      <c r="I82" s="8" t="n"/>
      <c r="J82" s="8" t="n"/>
      <c r="K82" s="8" t="n"/>
    </row>
    <row r="83" ht="22" customHeight="1">
      <c r="B83" s="3" t="n"/>
      <c r="C83" s="4" t="n"/>
      <c r="D83" s="4" t="n"/>
      <c r="E83" s="4" t="n"/>
      <c r="F83" s="5" t="n"/>
      <c r="G83" s="6" t="n"/>
      <c r="H83" s="6">
        <f>IFERROR(F83*G83,"")</f>
        <v/>
      </c>
      <c r="I83" s="4" t="n"/>
      <c r="J83" s="4" t="n"/>
      <c r="K83" s="4" t="n"/>
    </row>
    <row r="84" ht="22" customHeight="1">
      <c r="B84" s="7" t="n"/>
      <c r="C84" s="8" t="n"/>
      <c r="D84" s="8" t="n"/>
      <c r="E84" s="8" t="n"/>
      <c r="F84" s="9" t="n"/>
      <c r="G84" s="10" t="n"/>
      <c r="H84" s="10">
        <f>IFERROR(F84*G84,"")</f>
        <v/>
      </c>
      <c r="I84" s="8" t="n"/>
      <c r="J84" s="8" t="n"/>
      <c r="K84" s="8" t="n"/>
    </row>
    <row r="85" ht="22" customHeight="1">
      <c r="B85" s="3" t="n"/>
      <c r="C85" s="4" t="n"/>
      <c r="D85" s="4" t="n"/>
      <c r="E85" s="4" t="n"/>
      <c r="F85" s="5" t="n"/>
      <c r="G85" s="6" t="n"/>
      <c r="H85" s="6">
        <f>IFERROR(F85*G85,"")</f>
        <v/>
      </c>
      <c r="I85" s="4" t="n"/>
      <c r="J85" s="4" t="n"/>
      <c r="K85" s="4" t="n"/>
    </row>
    <row r="86" ht="22" customHeight="1">
      <c r="B86" s="7" t="n"/>
      <c r="C86" s="8" t="n"/>
      <c r="D86" s="8" t="n"/>
      <c r="E86" s="8" t="n"/>
      <c r="F86" s="9" t="n"/>
      <c r="G86" s="10" t="n"/>
      <c r="H86" s="10">
        <f>IFERROR(F86*G86,"")</f>
        <v/>
      </c>
      <c r="I86" s="8" t="n"/>
      <c r="J86" s="8" t="n"/>
      <c r="K86" s="8" t="n"/>
    </row>
    <row r="87" ht="22" customHeight="1">
      <c r="B87" s="3" t="n"/>
      <c r="C87" s="4" t="n"/>
      <c r="D87" s="4" t="n"/>
      <c r="E87" s="4" t="n"/>
      <c r="F87" s="5" t="n"/>
      <c r="G87" s="6" t="n"/>
      <c r="H87" s="6">
        <f>IFERROR(F87*G87,"")</f>
        <v/>
      </c>
      <c r="I87" s="4" t="n"/>
      <c r="J87" s="4" t="n"/>
      <c r="K87" s="4" t="n"/>
    </row>
    <row r="88" ht="22" customHeight="1">
      <c r="B88" s="7" t="n"/>
      <c r="C88" s="8" t="n"/>
      <c r="D88" s="8" t="n"/>
      <c r="E88" s="8" t="n"/>
      <c r="F88" s="9" t="n"/>
      <c r="G88" s="10" t="n"/>
      <c r="H88" s="10">
        <f>IFERROR(F88*G88,"")</f>
        <v/>
      </c>
      <c r="I88" s="8" t="n"/>
      <c r="J88" s="8" t="n"/>
      <c r="K88" s="8" t="n"/>
    </row>
    <row r="89" ht="22" customHeight="1">
      <c r="B89" s="3" t="n"/>
      <c r="C89" s="4" t="n"/>
      <c r="D89" s="4" t="n"/>
      <c r="E89" s="4" t="n"/>
      <c r="F89" s="5" t="n"/>
      <c r="G89" s="6" t="n"/>
      <c r="H89" s="6">
        <f>IFERROR(F89*G89,"")</f>
        <v/>
      </c>
      <c r="I89" s="4" t="n"/>
      <c r="J89" s="4" t="n"/>
      <c r="K89" s="4" t="n"/>
    </row>
    <row r="90" ht="22" customHeight="1">
      <c r="B90" s="7" t="n"/>
      <c r="C90" s="8" t="n"/>
      <c r="D90" s="8" t="n"/>
      <c r="E90" s="8" t="n"/>
      <c r="F90" s="9" t="n"/>
      <c r="G90" s="10" t="n"/>
      <c r="H90" s="10">
        <f>IFERROR(F90*G90,"")</f>
        <v/>
      </c>
      <c r="I90" s="8" t="n"/>
      <c r="J90" s="8" t="n"/>
      <c r="K90" s="8" t="n"/>
    </row>
    <row r="91" ht="22" customHeight="1">
      <c r="B91" s="3" t="n"/>
      <c r="C91" s="4" t="n"/>
      <c r="D91" s="4" t="n"/>
      <c r="E91" s="4" t="n"/>
      <c r="F91" s="5" t="n"/>
      <c r="G91" s="6" t="n"/>
      <c r="H91" s="6">
        <f>IFERROR(F91*G91,"")</f>
        <v/>
      </c>
      <c r="I91" s="4" t="n"/>
      <c r="J91" s="4" t="n"/>
      <c r="K91" s="4" t="n"/>
    </row>
    <row r="92" ht="22" customHeight="1">
      <c r="B92" s="7" t="n"/>
      <c r="C92" s="8" t="n"/>
      <c r="D92" s="8" t="n"/>
      <c r="E92" s="8" t="n"/>
      <c r="F92" s="9" t="n"/>
      <c r="G92" s="10" t="n"/>
      <c r="H92" s="10">
        <f>IFERROR(F92*G92,"")</f>
        <v/>
      </c>
      <c r="I92" s="8" t="n"/>
      <c r="J92" s="8" t="n"/>
      <c r="K92" s="8" t="n"/>
    </row>
    <row r="93" ht="22" customHeight="1">
      <c r="B93" s="3" t="n"/>
      <c r="C93" s="4" t="n"/>
      <c r="D93" s="4" t="n"/>
      <c r="E93" s="4" t="n"/>
      <c r="F93" s="5" t="n"/>
      <c r="G93" s="6" t="n"/>
      <c r="H93" s="6">
        <f>IFERROR(F93*G93,"")</f>
        <v/>
      </c>
      <c r="I93" s="4" t="n"/>
      <c r="J93" s="4" t="n"/>
      <c r="K93" s="4" t="n"/>
    </row>
    <row r="94" ht="22" customHeight="1">
      <c r="B94" s="7" t="n"/>
      <c r="C94" s="8" t="n"/>
      <c r="D94" s="8" t="n"/>
      <c r="E94" s="8" t="n"/>
      <c r="F94" s="9" t="n"/>
      <c r="G94" s="10" t="n"/>
      <c r="H94" s="10">
        <f>IFERROR(F94*G94,"")</f>
        <v/>
      </c>
      <c r="I94" s="8" t="n"/>
      <c r="J94" s="8" t="n"/>
      <c r="K94" s="8" t="n"/>
    </row>
    <row r="95" ht="22" customHeight="1">
      <c r="B95" s="3" t="n"/>
      <c r="C95" s="4" t="n"/>
      <c r="D95" s="4" t="n"/>
      <c r="E95" s="4" t="n"/>
      <c r="F95" s="5" t="n"/>
      <c r="G95" s="6" t="n"/>
      <c r="H95" s="6">
        <f>IFERROR(F95*G95,"")</f>
        <v/>
      </c>
      <c r="I95" s="4" t="n"/>
      <c r="J95" s="4" t="n"/>
      <c r="K95" s="4" t="n"/>
    </row>
    <row r="96" ht="22" customHeight="1">
      <c r="B96" s="7" t="n"/>
      <c r="C96" s="8" t="n"/>
      <c r="D96" s="8" t="n"/>
      <c r="E96" s="8" t="n"/>
      <c r="F96" s="9" t="n"/>
      <c r="G96" s="10" t="n"/>
      <c r="H96" s="10">
        <f>IFERROR(F96*G96,"")</f>
        <v/>
      </c>
      <c r="I96" s="8" t="n"/>
      <c r="J96" s="8" t="n"/>
      <c r="K96" s="8" t="n"/>
    </row>
    <row r="97" ht="22" customHeight="1">
      <c r="B97" s="3" t="n"/>
      <c r="C97" s="4" t="n"/>
      <c r="D97" s="4" t="n"/>
      <c r="E97" s="4" t="n"/>
      <c r="F97" s="5" t="n"/>
      <c r="G97" s="6" t="n"/>
      <c r="H97" s="6">
        <f>IFERROR(F97*G97,"")</f>
        <v/>
      </c>
      <c r="I97" s="4" t="n"/>
      <c r="J97" s="4" t="n"/>
      <c r="K97" s="4" t="n"/>
    </row>
    <row r="98" ht="22" customHeight="1">
      <c r="B98" s="7" t="n"/>
      <c r="C98" s="8" t="n"/>
      <c r="D98" s="8" t="n"/>
      <c r="E98" s="8" t="n"/>
      <c r="F98" s="9" t="n"/>
      <c r="G98" s="10" t="n"/>
      <c r="H98" s="10">
        <f>IFERROR(F98*G98,"")</f>
        <v/>
      </c>
      <c r="I98" s="8" t="n"/>
      <c r="J98" s="8" t="n"/>
      <c r="K98" s="8" t="n"/>
    </row>
    <row r="99" ht="22" customHeight="1">
      <c r="B99" s="3" t="n"/>
      <c r="C99" s="4" t="n"/>
      <c r="D99" s="4" t="n"/>
      <c r="E99" s="4" t="n"/>
      <c r="F99" s="5" t="n"/>
      <c r="G99" s="6" t="n"/>
      <c r="H99" s="6">
        <f>IFERROR(F99*G99,"")</f>
        <v/>
      </c>
      <c r="I99" s="4" t="n"/>
      <c r="J99" s="4" t="n"/>
      <c r="K99" s="4" t="n"/>
    </row>
    <row r="100" ht="22" customHeight="1">
      <c r="B100" s="7" t="n"/>
      <c r="C100" s="8" t="n"/>
      <c r="D100" s="8" t="n"/>
      <c r="E100" s="8" t="n"/>
      <c r="F100" s="9" t="n"/>
      <c r="G100" s="10" t="n"/>
      <c r="H100" s="10">
        <f>IFERROR(F100*G100,"")</f>
        <v/>
      </c>
      <c r="I100" s="8" t="n"/>
      <c r="J100" s="8" t="n"/>
      <c r="K100" s="8" t="n"/>
    </row>
    <row r="101" ht="22" customHeight="1">
      <c r="B101" s="3" t="n"/>
      <c r="C101" s="4" t="n"/>
      <c r="D101" s="4" t="n"/>
      <c r="E101" s="4" t="n"/>
      <c r="F101" s="5" t="n"/>
      <c r="G101" s="6" t="n"/>
      <c r="H101" s="6">
        <f>IFERROR(F101*G101,"")</f>
        <v/>
      </c>
      <c r="I101" s="4" t="n"/>
      <c r="J101" s="4" t="n"/>
      <c r="K101" s="4" t="n"/>
    </row>
    <row r="102" ht="22" customHeight="1">
      <c r="B102" s="7" t="n"/>
      <c r="C102" s="8" t="n"/>
      <c r="D102" s="8" t="n"/>
      <c r="E102" s="8" t="n"/>
      <c r="F102" s="9" t="n"/>
      <c r="G102" s="10" t="n"/>
      <c r="H102" s="10">
        <f>IFERROR(F102*G102,"")</f>
        <v/>
      </c>
      <c r="I102" s="8" t="n"/>
      <c r="J102" s="8" t="n"/>
      <c r="K102" s="8" t="n"/>
    </row>
    <row r="103" ht="22" customHeight="1">
      <c r="B103" s="3" t="n"/>
      <c r="C103" s="4" t="n"/>
      <c r="D103" s="4" t="n"/>
      <c r="E103" s="4" t="n"/>
      <c r="F103" s="5" t="n"/>
      <c r="G103" s="6" t="n"/>
      <c r="H103" s="6">
        <f>IFERROR(F103*G103,"")</f>
        <v/>
      </c>
      <c r="I103" s="4" t="n"/>
      <c r="J103" s="4" t="n"/>
      <c r="K103" s="4" t="n"/>
    </row>
    <row r="104" ht="22" customHeight="1">
      <c r="B104" s="7" t="n"/>
      <c r="C104" s="8" t="n"/>
      <c r="D104" s="8" t="n"/>
      <c r="E104" s="8" t="n"/>
      <c r="F104" s="9" t="n"/>
      <c r="G104" s="10" t="n"/>
      <c r="H104" s="10">
        <f>IFERROR(F104*G104,"")</f>
        <v/>
      </c>
      <c r="I104" s="8" t="n"/>
      <c r="J104" s="8" t="n"/>
      <c r="K104" s="8" t="n"/>
    </row>
    <row r="105" ht="22" customHeight="1">
      <c r="B105" s="3" t="n"/>
      <c r="C105" s="4" t="n"/>
      <c r="D105" s="4" t="n"/>
      <c r="E105" s="4" t="n"/>
      <c r="F105" s="5" t="n"/>
      <c r="G105" s="6" t="n"/>
      <c r="H105" s="6">
        <f>IFERROR(F105*G105,"")</f>
        <v/>
      </c>
      <c r="I105" s="4" t="n"/>
      <c r="J105" s="4" t="n"/>
      <c r="K105" s="4" t="n"/>
    </row>
    <row r="106" ht="22" customHeight="1">
      <c r="B106" s="7" t="n"/>
      <c r="C106" s="8" t="n"/>
      <c r="D106" s="8" t="n"/>
      <c r="E106" s="8" t="n"/>
      <c r="F106" s="9" t="n"/>
      <c r="G106" s="10" t="n"/>
      <c r="H106" s="10">
        <f>IFERROR(F106*G106,"")</f>
        <v/>
      </c>
      <c r="I106" s="8" t="n"/>
      <c r="J106" s="8" t="n"/>
      <c r="K106" s="8" t="n"/>
    </row>
    <row r="107" ht="22" customHeight="1">
      <c r="B107" s="3" t="n"/>
      <c r="C107" s="4" t="n"/>
      <c r="D107" s="4" t="n"/>
      <c r="E107" s="4" t="n"/>
      <c r="F107" s="5" t="n"/>
      <c r="G107" s="6" t="n"/>
      <c r="H107" s="6">
        <f>IFERROR(F107*G107,"")</f>
        <v/>
      </c>
      <c r="I107" s="4" t="n"/>
      <c r="J107" s="4" t="n"/>
      <c r="K107" s="4" t="n"/>
    </row>
    <row r="108" ht="22" customHeight="1">
      <c r="B108" s="7" t="n"/>
      <c r="C108" s="8" t="n"/>
      <c r="D108" s="8" t="n"/>
      <c r="E108" s="8" t="n"/>
      <c r="F108" s="9" t="n"/>
      <c r="G108" s="10" t="n"/>
      <c r="H108" s="10">
        <f>IFERROR(F108*G108,"")</f>
        <v/>
      </c>
      <c r="I108" s="8" t="n"/>
      <c r="J108" s="8" t="n"/>
      <c r="K108" s="8" t="n"/>
    </row>
    <row r="109" ht="22" customHeight="1">
      <c r="B109" s="3" t="n"/>
      <c r="C109" s="4" t="n"/>
      <c r="D109" s="4" t="n"/>
      <c r="E109" s="4" t="n"/>
      <c r="F109" s="5" t="n"/>
      <c r="G109" s="6" t="n"/>
      <c r="H109" s="6">
        <f>IFERROR(F109*G109,"")</f>
        <v/>
      </c>
      <c r="I109" s="4" t="n"/>
      <c r="J109" s="4" t="n"/>
      <c r="K109" s="4" t="n"/>
    </row>
    <row r="110" ht="22" customHeight="1">
      <c r="B110" s="7" t="n"/>
      <c r="C110" s="8" t="n"/>
      <c r="D110" s="8" t="n"/>
      <c r="E110" s="8" t="n"/>
      <c r="F110" s="9" t="n"/>
      <c r="G110" s="10" t="n"/>
      <c r="H110" s="10">
        <f>IFERROR(F110*G110,"")</f>
        <v/>
      </c>
      <c r="I110" s="8" t="n"/>
      <c r="J110" s="8" t="n"/>
      <c r="K110" s="8" t="n"/>
    </row>
    <row r="111" ht="22" customHeight="1">
      <c r="B111" s="3" t="n"/>
      <c r="C111" s="4" t="n"/>
      <c r="D111" s="4" t="n"/>
      <c r="E111" s="4" t="n"/>
      <c r="F111" s="5" t="n"/>
      <c r="G111" s="6" t="n"/>
      <c r="H111" s="6">
        <f>IFERROR(F111*G111,"")</f>
        <v/>
      </c>
      <c r="I111" s="4" t="n"/>
      <c r="J111" s="4" t="n"/>
      <c r="K111" s="4" t="n"/>
    </row>
    <row r="112" ht="22" customHeight="1">
      <c r="B112" s="7" t="n"/>
      <c r="C112" s="8" t="n"/>
      <c r="D112" s="8" t="n"/>
      <c r="E112" s="8" t="n"/>
      <c r="F112" s="9" t="n"/>
      <c r="G112" s="10" t="n"/>
      <c r="H112" s="10">
        <f>IFERROR(F112*G112,"")</f>
        <v/>
      </c>
      <c r="I112" s="8" t="n"/>
      <c r="J112" s="8" t="n"/>
      <c r="K112" s="8" t="n"/>
    </row>
    <row r="113" ht="22" customHeight="1">
      <c r="B113" s="3" t="n"/>
      <c r="C113" s="4" t="n"/>
      <c r="D113" s="4" t="n"/>
      <c r="E113" s="4" t="n"/>
      <c r="F113" s="5" t="n"/>
      <c r="G113" s="6" t="n"/>
      <c r="H113" s="6">
        <f>IFERROR(F113*G113,"")</f>
        <v/>
      </c>
      <c r="I113" s="4" t="n"/>
      <c r="J113" s="4" t="n"/>
      <c r="K113" s="4" t="n"/>
    </row>
    <row r="114" ht="22" customHeight="1">
      <c r="B114" s="7" t="n"/>
      <c r="C114" s="8" t="n"/>
      <c r="D114" s="8" t="n"/>
      <c r="E114" s="8" t="n"/>
      <c r="F114" s="9" t="n"/>
      <c r="G114" s="10" t="n"/>
      <c r="H114" s="10">
        <f>IFERROR(F114*G114,"")</f>
        <v/>
      </c>
      <c r="I114" s="8" t="n"/>
      <c r="J114" s="8" t="n"/>
      <c r="K114" s="8" t="n"/>
    </row>
    <row r="115" ht="22" customHeight="1">
      <c r="B115" s="3" t="n"/>
      <c r="C115" s="4" t="n"/>
      <c r="D115" s="4" t="n"/>
      <c r="E115" s="4" t="n"/>
      <c r="F115" s="5" t="n"/>
      <c r="G115" s="6" t="n"/>
      <c r="H115" s="6">
        <f>IFERROR(F115*G115,"")</f>
        <v/>
      </c>
      <c r="I115" s="4" t="n"/>
      <c r="J115" s="4" t="n"/>
      <c r="K115" s="4" t="n"/>
    </row>
    <row r="116" ht="22" customHeight="1">
      <c r="B116" s="7" t="n"/>
      <c r="C116" s="8" t="n"/>
      <c r="D116" s="8" t="n"/>
      <c r="E116" s="8" t="n"/>
      <c r="F116" s="9" t="n"/>
      <c r="G116" s="10" t="n"/>
      <c r="H116" s="10">
        <f>IFERROR(F116*G116,"")</f>
        <v/>
      </c>
      <c r="I116" s="8" t="n"/>
      <c r="J116" s="8" t="n"/>
      <c r="K116" s="8" t="n"/>
    </row>
    <row r="117" ht="22" customHeight="1">
      <c r="B117" s="3" t="n"/>
      <c r="C117" s="4" t="n"/>
      <c r="D117" s="4" t="n"/>
      <c r="E117" s="4" t="n"/>
      <c r="F117" s="5" t="n"/>
      <c r="G117" s="6" t="n"/>
      <c r="H117" s="6">
        <f>IFERROR(F117*G117,"")</f>
        <v/>
      </c>
      <c r="I117" s="4" t="n"/>
      <c r="J117" s="4" t="n"/>
      <c r="K117" s="4" t="n"/>
    </row>
    <row r="118" ht="22" customHeight="1">
      <c r="B118" s="7" t="n"/>
      <c r="C118" s="8" t="n"/>
      <c r="D118" s="8" t="n"/>
      <c r="E118" s="8" t="n"/>
      <c r="F118" s="9" t="n"/>
      <c r="G118" s="10" t="n"/>
      <c r="H118" s="10">
        <f>IFERROR(F118*G118,"")</f>
        <v/>
      </c>
      <c r="I118" s="8" t="n"/>
      <c r="J118" s="8" t="n"/>
      <c r="K118" s="8" t="n"/>
    </row>
    <row r="119" ht="22" customHeight="1">
      <c r="B119" s="3" t="n"/>
      <c r="C119" s="4" t="n"/>
      <c r="D119" s="4" t="n"/>
      <c r="E119" s="4" t="n"/>
      <c r="F119" s="5" t="n"/>
      <c r="G119" s="6" t="n"/>
      <c r="H119" s="6">
        <f>IFERROR(F119*G119,"")</f>
        <v/>
      </c>
      <c r="I119" s="4" t="n"/>
      <c r="J119" s="4" t="n"/>
      <c r="K119" s="4" t="n"/>
    </row>
    <row r="120" ht="22" customHeight="1">
      <c r="B120" s="7" t="n"/>
      <c r="C120" s="8" t="n"/>
      <c r="D120" s="8" t="n"/>
      <c r="E120" s="8" t="n"/>
      <c r="F120" s="9" t="n"/>
      <c r="G120" s="10" t="n"/>
      <c r="H120" s="10">
        <f>IFERROR(F120*G120,"")</f>
        <v/>
      </c>
      <c r="I120" s="8" t="n"/>
      <c r="J120" s="8" t="n"/>
      <c r="K120" s="8" t="n"/>
    </row>
    <row r="121" ht="22" customHeight="1">
      <c r="B121" s="3" t="n"/>
      <c r="C121" s="4" t="n"/>
      <c r="D121" s="4" t="n"/>
      <c r="E121" s="4" t="n"/>
      <c r="F121" s="5" t="n"/>
      <c r="G121" s="6" t="n"/>
      <c r="H121" s="6">
        <f>IFERROR(F121*G121,"")</f>
        <v/>
      </c>
      <c r="I121" s="4" t="n"/>
      <c r="J121" s="4" t="n"/>
      <c r="K121" s="4" t="n"/>
    </row>
    <row r="122" ht="22" customHeight="1">
      <c r="B122" s="7" t="n"/>
      <c r="C122" s="8" t="n"/>
      <c r="D122" s="8" t="n"/>
      <c r="E122" s="8" t="n"/>
      <c r="F122" s="9" t="n"/>
      <c r="G122" s="10" t="n"/>
      <c r="H122" s="10">
        <f>IFERROR(F122*G122,"")</f>
        <v/>
      </c>
      <c r="I122" s="8" t="n"/>
      <c r="J122" s="8" t="n"/>
      <c r="K122" s="8" t="n"/>
    </row>
    <row r="123" ht="22" customHeight="1">
      <c r="B123" s="3" t="n"/>
      <c r="C123" s="4" t="n"/>
      <c r="D123" s="4" t="n"/>
      <c r="E123" s="4" t="n"/>
      <c r="F123" s="5" t="n"/>
      <c r="G123" s="6" t="n"/>
      <c r="H123" s="6">
        <f>IFERROR(F123*G123,"")</f>
        <v/>
      </c>
      <c r="I123" s="4" t="n"/>
      <c r="J123" s="4" t="n"/>
      <c r="K123" s="4" t="n"/>
    </row>
    <row r="124" ht="22" customHeight="1">
      <c r="B124" s="7" t="n"/>
      <c r="C124" s="8" t="n"/>
      <c r="D124" s="8" t="n"/>
      <c r="E124" s="8" t="n"/>
      <c r="F124" s="9" t="n"/>
      <c r="G124" s="10" t="n"/>
      <c r="H124" s="10">
        <f>IFERROR(F124*G124,"")</f>
        <v/>
      </c>
      <c r="I124" s="8" t="n"/>
      <c r="J124" s="8" t="n"/>
      <c r="K124" s="8" t="n"/>
    </row>
    <row r="125" ht="22" customHeight="1">
      <c r="B125" s="3" t="n"/>
      <c r="C125" s="4" t="n"/>
      <c r="D125" s="4" t="n"/>
      <c r="E125" s="4" t="n"/>
      <c r="F125" s="5" t="n"/>
      <c r="G125" s="6" t="n"/>
      <c r="H125" s="6">
        <f>IFERROR(F125*G125,"")</f>
        <v/>
      </c>
      <c r="I125" s="4" t="n"/>
      <c r="J125" s="4" t="n"/>
      <c r="K125" s="4" t="n"/>
    </row>
    <row r="126" ht="22" customHeight="1">
      <c r="B126" s="7" t="n"/>
      <c r="C126" s="8" t="n"/>
      <c r="D126" s="8" t="n"/>
      <c r="E126" s="8" t="n"/>
      <c r="F126" s="9" t="n"/>
      <c r="G126" s="10" t="n"/>
      <c r="H126" s="10">
        <f>IFERROR(F126*G126,"")</f>
        <v/>
      </c>
      <c r="I126" s="8" t="n"/>
      <c r="J126" s="8" t="n"/>
      <c r="K126" s="8" t="n"/>
    </row>
    <row r="127" ht="22" customHeight="1">
      <c r="B127" s="3" t="n"/>
      <c r="C127" s="4" t="n"/>
      <c r="D127" s="4" t="n"/>
      <c r="E127" s="4" t="n"/>
      <c r="F127" s="5" t="n"/>
      <c r="G127" s="6" t="n"/>
      <c r="H127" s="6">
        <f>IFERROR(F127*G127,"")</f>
        <v/>
      </c>
      <c r="I127" s="4" t="n"/>
      <c r="J127" s="4" t="n"/>
      <c r="K127" s="4" t="n"/>
    </row>
    <row r="128" ht="22" customHeight="1">
      <c r="B128" s="7" t="n"/>
      <c r="C128" s="8" t="n"/>
      <c r="D128" s="8" t="n"/>
      <c r="E128" s="8" t="n"/>
      <c r="F128" s="9" t="n"/>
      <c r="G128" s="10" t="n"/>
      <c r="H128" s="10">
        <f>IFERROR(F128*G128,"")</f>
        <v/>
      </c>
      <c r="I128" s="8" t="n"/>
      <c r="J128" s="8" t="n"/>
      <c r="K128" s="8" t="n"/>
    </row>
    <row r="129" ht="22" customHeight="1">
      <c r="B129" s="3" t="n"/>
      <c r="C129" s="4" t="n"/>
      <c r="D129" s="4" t="n"/>
      <c r="E129" s="4" t="n"/>
      <c r="F129" s="5" t="n"/>
      <c r="G129" s="6" t="n"/>
      <c r="H129" s="6">
        <f>IFERROR(F129*G129,"")</f>
        <v/>
      </c>
      <c r="I129" s="4" t="n"/>
      <c r="J129" s="4" t="n"/>
      <c r="K129" s="4" t="n"/>
    </row>
    <row r="130" ht="22" customHeight="1">
      <c r="B130" s="7" t="n"/>
      <c r="C130" s="8" t="n"/>
      <c r="D130" s="8" t="n"/>
      <c r="E130" s="8" t="n"/>
      <c r="F130" s="9" t="n"/>
      <c r="G130" s="10" t="n"/>
      <c r="H130" s="10">
        <f>IFERROR(F130*G130,"")</f>
        <v/>
      </c>
      <c r="I130" s="8" t="n"/>
      <c r="J130" s="8" t="n"/>
      <c r="K130" s="8" t="n"/>
    </row>
    <row r="131" ht="22" customHeight="1">
      <c r="B131" s="3" t="n"/>
      <c r="C131" s="4" t="n"/>
      <c r="D131" s="4" t="n"/>
      <c r="E131" s="4" t="n"/>
      <c r="F131" s="5" t="n"/>
      <c r="G131" s="6" t="n"/>
      <c r="H131" s="6">
        <f>IFERROR(F131*G131,"")</f>
        <v/>
      </c>
      <c r="I131" s="4" t="n"/>
      <c r="J131" s="4" t="n"/>
      <c r="K131" s="4" t="n"/>
    </row>
    <row r="132" ht="22" customHeight="1">
      <c r="B132" s="7" t="n"/>
      <c r="C132" s="8" t="n"/>
      <c r="D132" s="8" t="n"/>
      <c r="E132" s="8" t="n"/>
      <c r="F132" s="9" t="n"/>
      <c r="G132" s="10" t="n"/>
      <c r="H132" s="10">
        <f>IFERROR(F132*G132,"")</f>
        <v/>
      </c>
      <c r="I132" s="8" t="n"/>
      <c r="J132" s="8" t="n"/>
      <c r="K132" s="8" t="n"/>
    </row>
    <row r="133" ht="22" customHeight="1">
      <c r="B133" s="3" t="n"/>
      <c r="C133" s="4" t="n"/>
      <c r="D133" s="4" t="n"/>
      <c r="E133" s="4" t="n"/>
      <c r="F133" s="5" t="n"/>
      <c r="G133" s="6" t="n"/>
      <c r="H133" s="6">
        <f>IFERROR(F133*G133,"")</f>
        <v/>
      </c>
      <c r="I133" s="4" t="n"/>
      <c r="J133" s="4" t="n"/>
      <c r="K133" s="4" t="n"/>
    </row>
    <row r="134" ht="22" customHeight="1">
      <c r="B134" s="7" t="n"/>
      <c r="C134" s="8" t="n"/>
      <c r="D134" s="8" t="n"/>
      <c r="E134" s="8" t="n"/>
      <c r="F134" s="9" t="n"/>
      <c r="G134" s="10" t="n"/>
      <c r="H134" s="10">
        <f>IFERROR(F134*G134,"")</f>
        <v/>
      </c>
      <c r="I134" s="8" t="n"/>
      <c r="J134" s="8" t="n"/>
      <c r="K134" s="8" t="n"/>
    </row>
    <row r="135" ht="22" customHeight="1">
      <c r="B135" s="3" t="n"/>
      <c r="C135" s="4" t="n"/>
      <c r="D135" s="4" t="n"/>
      <c r="E135" s="4" t="n"/>
      <c r="F135" s="5" t="n"/>
      <c r="G135" s="6" t="n"/>
      <c r="H135" s="6">
        <f>IFERROR(F135*G135,"")</f>
        <v/>
      </c>
      <c r="I135" s="4" t="n"/>
      <c r="J135" s="4" t="n"/>
      <c r="K135" s="4" t="n"/>
    </row>
    <row r="136" ht="22" customHeight="1">
      <c r="B136" s="7" t="n"/>
      <c r="C136" s="8" t="n"/>
      <c r="D136" s="8" t="n"/>
      <c r="E136" s="8" t="n"/>
      <c r="F136" s="9" t="n"/>
      <c r="G136" s="10" t="n"/>
      <c r="H136" s="10">
        <f>IFERROR(F136*G136,"")</f>
        <v/>
      </c>
      <c r="I136" s="8" t="n"/>
      <c r="J136" s="8" t="n"/>
      <c r="K136" s="8" t="n"/>
    </row>
    <row r="137" ht="22" customHeight="1">
      <c r="B137" s="3" t="n"/>
      <c r="C137" s="4" t="n"/>
      <c r="D137" s="4" t="n"/>
      <c r="E137" s="4" t="n"/>
      <c r="F137" s="5" t="n"/>
      <c r="G137" s="6" t="n"/>
      <c r="H137" s="6">
        <f>IFERROR(F137*G137,"")</f>
        <v/>
      </c>
      <c r="I137" s="4" t="n"/>
      <c r="J137" s="4" t="n"/>
      <c r="K137" s="4" t="n"/>
    </row>
    <row r="138" ht="22" customHeight="1">
      <c r="B138" s="7" t="n"/>
      <c r="C138" s="8" t="n"/>
      <c r="D138" s="8" t="n"/>
      <c r="E138" s="8" t="n"/>
      <c r="F138" s="9" t="n"/>
      <c r="G138" s="10" t="n"/>
      <c r="H138" s="10">
        <f>IFERROR(F138*G138,"")</f>
        <v/>
      </c>
      <c r="I138" s="8" t="n"/>
      <c r="J138" s="8" t="n"/>
      <c r="K138" s="8" t="n"/>
    </row>
    <row r="139" ht="22" customHeight="1">
      <c r="B139" s="3" t="n"/>
      <c r="C139" s="4" t="n"/>
      <c r="D139" s="4" t="n"/>
      <c r="E139" s="4" t="n"/>
      <c r="F139" s="5" t="n"/>
      <c r="G139" s="6" t="n"/>
      <c r="H139" s="6">
        <f>IFERROR(F139*G139,"")</f>
        <v/>
      </c>
      <c r="I139" s="4" t="n"/>
      <c r="J139" s="4" t="n"/>
      <c r="K139" s="4" t="n"/>
    </row>
    <row r="140" ht="22" customHeight="1">
      <c r="B140" s="7" t="n"/>
      <c r="C140" s="8" t="n"/>
      <c r="D140" s="8" t="n"/>
      <c r="E140" s="8" t="n"/>
      <c r="F140" s="9" t="n"/>
      <c r="G140" s="10" t="n"/>
      <c r="H140" s="10">
        <f>IFERROR(F140*G140,"")</f>
        <v/>
      </c>
      <c r="I140" s="8" t="n"/>
      <c r="J140" s="8" t="n"/>
      <c r="K140" s="8" t="n"/>
    </row>
    <row r="141" ht="22" customHeight="1">
      <c r="B141" s="3" t="n"/>
      <c r="C141" s="4" t="n"/>
      <c r="D141" s="4" t="n"/>
      <c r="E141" s="4" t="n"/>
      <c r="F141" s="5" t="n"/>
      <c r="G141" s="6" t="n"/>
      <c r="H141" s="6">
        <f>IFERROR(F141*G141,"")</f>
        <v/>
      </c>
      <c r="I141" s="4" t="n"/>
      <c r="J141" s="4" t="n"/>
      <c r="K141" s="4" t="n"/>
    </row>
    <row r="142" ht="22" customHeight="1">
      <c r="B142" s="7" t="n"/>
      <c r="C142" s="8" t="n"/>
      <c r="D142" s="8" t="n"/>
      <c r="E142" s="8" t="n"/>
      <c r="F142" s="9" t="n"/>
      <c r="G142" s="10" t="n"/>
      <c r="H142" s="10">
        <f>IFERROR(F142*G142,"")</f>
        <v/>
      </c>
      <c r="I142" s="8" t="n"/>
      <c r="J142" s="8" t="n"/>
      <c r="K142" s="8" t="n"/>
    </row>
    <row r="143" ht="22" customHeight="1">
      <c r="B143" s="3" t="n"/>
      <c r="C143" s="4" t="n"/>
      <c r="D143" s="4" t="n"/>
      <c r="E143" s="4" t="n"/>
      <c r="F143" s="5" t="n"/>
      <c r="G143" s="6" t="n"/>
      <c r="H143" s="6">
        <f>IFERROR(F143*G143,"")</f>
        <v/>
      </c>
      <c r="I143" s="4" t="n"/>
      <c r="J143" s="4" t="n"/>
      <c r="K143" s="4" t="n"/>
    </row>
    <row r="144" ht="22" customHeight="1">
      <c r="B144" s="7" t="n"/>
      <c r="C144" s="8" t="n"/>
      <c r="D144" s="8" t="n"/>
      <c r="E144" s="8" t="n"/>
      <c r="F144" s="9" t="n"/>
      <c r="G144" s="10" t="n"/>
      <c r="H144" s="10">
        <f>IFERROR(F144*G144,"")</f>
        <v/>
      </c>
      <c r="I144" s="8" t="n"/>
      <c r="J144" s="8" t="n"/>
      <c r="K144" s="8" t="n"/>
    </row>
    <row r="145" ht="22" customHeight="1">
      <c r="B145" s="3" t="n"/>
      <c r="C145" s="4" t="n"/>
      <c r="D145" s="4" t="n"/>
      <c r="E145" s="4" t="n"/>
      <c r="F145" s="5" t="n"/>
      <c r="G145" s="6" t="n"/>
      <c r="H145" s="6">
        <f>IFERROR(F145*G145,"")</f>
        <v/>
      </c>
      <c r="I145" s="4" t="n"/>
      <c r="J145" s="4" t="n"/>
      <c r="K145" s="4" t="n"/>
    </row>
    <row r="146" ht="22" customHeight="1">
      <c r="B146" s="7" t="n"/>
      <c r="C146" s="8" t="n"/>
      <c r="D146" s="8" t="n"/>
      <c r="E146" s="8" t="n"/>
      <c r="F146" s="9" t="n"/>
      <c r="G146" s="10" t="n"/>
      <c r="H146" s="10">
        <f>IFERROR(F146*G146,"")</f>
        <v/>
      </c>
      <c r="I146" s="8" t="n"/>
      <c r="J146" s="8" t="n"/>
      <c r="K146" s="8" t="n"/>
    </row>
    <row r="147" ht="22" customHeight="1">
      <c r="B147" s="3" t="n"/>
      <c r="C147" s="4" t="n"/>
      <c r="D147" s="4" t="n"/>
      <c r="E147" s="4" t="n"/>
      <c r="F147" s="5" t="n"/>
      <c r="G147" s="6" t="n"/>
      <c r="H147" s="6">
        <f>IFERROR(F147*G147,"")</f>
        <v/>
      </c>
      <c r="I147" s="4" t="n"/>
      <c r="J147" s="4" t="n"/>
      <c r="K147" s="4" t="n"/>
    </row>
    <row r="148" ht="22" customHeight="1">
      <c r="B148" s="7" t="n"/>
      <c r="C148" s="8" t="n"/>
      <c r="D148" s="8" t="n"/>
      <c r="E148" s="8" t="n"/>
      <c r="F148" s="9" t="n"/>
      <c r="G148" s="10" t="n"/>
      <c r="H148" s="10">
        <f>IFERROR(F148*G148,"")</f>
        <v/>
      </c>
      <c r="I148" s="8" t="n"/>
      <c r="J148" s="8" t="n"/>
      <c r="K148" s="8" t="n"/>
    </row>
    <row r="149" ht="22" customHeight="1">
      <c r="B149" s="3" t="n"/>
      <c r="C149" s="4" t="n"/>
      <c r="D149" s="4" t="n"/>
      <c r="E149" s="4" t="n"/>
      <c r="F149" s="5" t="n"/>
      <c r="G149" s="6" t="n"/>
      <c r="H149" s="6">
        <f>IFERROR(F149*G149,"")</f>
        <v/>
      </c>
      <c r="I149" s="4" t="n"/>
      <c r="J149" s="4" t="n"/>
      <c r="K149" s="4" t="n"/>
    </row>
    <row r="150" ht="22" customHeight="1">
      <c r="B150" s="7" t="n"/>
      <c r="C150" s="8" t="n"/>
      <c r="D150" s="8" t="n"/>
      <c r="E150" s="8" t="n"/>
      <c r="F150" s="9" t="n"/>
      <c r="G150" s="10" t="n"/>
      <c r="H150" s="10">
        <f>IFERROR(F150*G150,"")</f>
        <v/>
      </c>
      <c r="I150" s="8" t="n"/>
      <c r="J150" s="8" t="n"/>
      <c r="K150" s="8" t="n"/>
    </row>
    <row r="151" ht="22" customHeight="1">
      <c r="B151" s="3" t="n"/>
      <c r="C151" s="4" t="n"/>
      <c r="D151" s="4" t="n"/>
      <c r="E151" s="4" t="n"/>
      <c r="F151" s="5" t="n"/>
      <c r="G151" s="6" t="n"/>
      <c r="H151" s="6">
        <f>IFERROR(F151*G151,"")</f>
        <v/>
      </c>
      <c r="I151" s="4" t="n"/>
      <c r="J151" s="4" t="n"/>
      <c r="K151" s="4" t="n"/>
    </row>
    <row r="152" ht="22" customHeight="1">
      <c r="B152" s="7" t="n"/>
      <c r="C152" s="8" t="n"/>
      <c r="D152" s="8" t="n"/>
      <c r="E152" s="8" t="n"/>
      <c r="F152" s="9" t="n"/>
      <c r="G152" s="10" t="n"/>
      <c r="H152" s="10">
        <f>IFERROR(F152*G152,"")</f>
        <v/>
      </c>
      <c r="I152" s="8" t="n"/>
      <c r="J152" s="8" t="n"/>
      <c r="K152" s="8" t="n"/>
    </row>
    <row r="153" ht="22" customHeight="1">
      <c r="B153" s="3" t="n"/>
      <c r="C153" s="4" t="n"/>
      <c r="D153" s="4" t="n"/>
      <c r="E153" s="4" t="n"/>
      <c r="F153" s="5" t="n"/>
      <c r="G153" s="6" t="n"/>
      <c r="H153" s="6">
        <f>IFERROR(F153*G153,"")</f>
        <v/>
      </c>
      <c r="I153" s="4" t="n"/>
      <c r="J153" s="4" t="n"/>
      <c r="K153" s="4" t="n"/>
    </row>
    <row r="154" ht="22" customHeight="1">
      <c r="B154" s="7" t="n"/>
      <c r="C154" s="8" t="n"/>
      <c r="D154" s="8" t="n"/>
      <c r="E154" s="8" t="n"/>
      <c r="F154" s="9" t="n"/>
      <c r="G154" s="10" t="n"/>
      <c r="H154" s="10">
        <f>IFERROR(F154*G154,"")</f>
        <v/>
      </c>
      <c r="I154" s="8" t="n"/>
      <c r="J154" s="8" t="n"/>
      <c r="K154" s="8" t="n"/>
    </row>
    <row r="155" ht="22" customHeight="1">
      <c r="B155" s="3" t="n"/>
      <c r="C155" s="4" t="n"/>
      <c r="D155" s="4" t="n"/>
      <c r="E155" s="4" t="n"/>
      <c r="F155" s="5" t="n"/>
      <c r="G155" s="6" t="n"/>
      <c r="H155" s="6">
        <f>IFERROR(F155*G155,"")</f>
        <v/>
      </c>
      <c r="I155" s="4" t="n"/>
      <c r="J155" s="4" t="n"/>
      <c r="K155" s="4" t="n"/>
    </row>
    <row r="156" ht="22" customHeight="1">
      <c r="B156" s="7" t="n"/>
      <c r="C156" s="8" t="n"/>
      <c r="D156" s="8" t="n"/>
      <c r="E156" s="8" t="n"/>
      <c r="F156" s="9" t="n"/>
      <c r="G156" s="10" t="n"/>
      <c r="H156" s="10">
        <f>IFERROR(F156*G156,"")</f>
        <v/>
      </c>
      <c r="I156" s="8" t="n"/>
      <c r="J156" s="8" t="n"/>
      <c r="K156" s="8" t="n"/>
    </row>
    <row r="157" ht="22" customHeight="1">
      <c r="B157" s="3" t="n"/>
      <c r="C157" s="4" t="n"/>
      <c r="D157" s="4" t="n"/>
      <c r="E157" s="4" t="n"/>
      <c r="F157" s="5" t="n"/>
      <c r="G157" s="6" t="n"/>
      <c r="H157" s="6">
        <f>IFERROR(F157*G157,"")</f>
        <v/>
      </c>
      <c r="I157" s="4" t="n"/>
      <c r="J157" s="4" t="n"/>
      <c r="K157" s="4" t="n"/>
    </row>
    <row r="158" ht="22" customHeight="1">
      <c r="B158" s="7" t="n"/>
      <c r="C158" s="8" t="n"/>
      <c r="D158" s="8" t="n"/>
      <c r="E158" s="8" t="n"/>
      <c r="F158" s="9" t="n"/>
      <c r="G158" s="10" t="n"/>
      <c r="H158" s="10">
        <f>IFERROR(F158*G158,"")</f>
        <v/>
      </c>
      <c r="I158" s="8" t="n"/>
      <c r="J158" s="8" t="n"/>
      <c r="K158" s="8" t="n"/>
    </row>
    <row r="159" ht="22" customHeight="1">
      <c r="B159" s="3" t="n"/>
      <c r="C159" s="4" t="n"/>
      <c r="D159" s="4" t="n"/>
      <c r="E159" s="4" t="n"/>
      <c r="F159" s="5" t="n"/>
      <c r="G159" s="6" t="n"/>
      <c r="H159" s="6">
        <f>IFERROR(F159*G159,"")</f>
        <v/>
      </c>
      <c r="I159" s="4" t="n"/>
      <c r="J159" s="4" t="n"/>
      <c r="K159" s="4" t="n"/>
    </row>
    <row r="160" ht="22" customHeight="1">
      <c r="B160" s="7" t="n"/>
      <c r="C160" s="8" t="n"/>
      <c r="D160" s="8" t="n"/>
      <c r="E160" s="8" t="n"/>
      <c r="F160" s="9" t="n"/>
      <c r="G160" s="10" t="n"/>
      <c r="H160" s="10">
        <f>IFERROR(F160*G160,"")</f>
        <v/>
      </c>
      <c r="I160" s="8" t="n"/>
      <c r="J160" s="8" t="n"/>
      <c r="K160" s="8" t="n"/>
    </row>
    <row r="161" ht="22" customHeight="1">
      <c r="B161" s="3" t="n"/>
      <c r="C161" s="4" t="n"/>
      <c r="D161" s="4" t="n"/>
      <c r="E161" s="4" t="n"/>
      <c r="F161" s="5" t="n"/>
      <c r="G161" s="6" t="n"/>
      <c r="H161" s="6">
        <f>IFERROR(F161*G161,"")</f>
        <v/>
      </c>
      <c r="I161" s="4" t="n"/>
      <c r="J161" s="4" t="n"/>
      <c r="K161" s="4" t="n"/>
    </row>
    <row r="162" ht="22" customHeight="1">
      <c r="B162" s="7" t="n"/>
      <c r="C162" s="8" t="n"/>
      <c r="D162" s="8" t="n"/>
      <c r="E162" s="8" t="n"/>
      <c r="F162" s="9" t="n"/>
      <c r="G162" s="10" t="n"/>
      <c r="H162" s="10">
        <f>IFERROR(F162*G162,"")</f>
        <v/>
      </c>
      <c r="I162" s="8" t="n"/>
      <c r="J162" s="8" t="n"/>
      <c r="K162" s="8" t="n"/>
    </row>
    <row r="163" ht="22" customHeight="1">
      <c r="B163" s="3" t="n"/>
      <c r="C163" s="4" t="n"/>
      <c r="D163" s="4" t="n"/>
      <c r="E163" s="4" t="n"/>
      <c r="F163" s="5" t="n"/>
      <c r="G163" s="6" t="n"/>
      <c r="H163" s="6">
        <f>IFERROR(F163*G163,"")</f>
        <v/>
      </c>
      <c r="I163" s="4" t="n"/>
      <c r="J163" s="4" t="n"/>
      <c r="K163" s="4" t="n"/>
    </row>
    <row r="164" ht="22" customHeight="1">
      <c r="B164" s="7" t="n"/>
      <c r="C164" s="8" t="n"/>
      <c r="D164" s="8" t="n"/>
      <c r="E164" s="8" t="n"/>
      <c r="F164" s="9" t="n"/>
      <c r="G164" s="10" t="n"/>
      <c r="H164" s="10">
        <f>IFERROR(F164*G164,"")</f>
        <v/>
      </c>
      <c r="I164" s="8" t="n"/>
      <c r="J164" s="8" t="n"/>
      <c r="K164" s="8" t="n"/>
    </row>
    <row r="165" ht="22" customHeight="1">
      <c r="B165" s="3" t="n"/>
      <c r="C165" s="4" t="n"/>
      <c r="D165" s="4" t="n"/>
      <c r="E165" s="4" t="n"/>
      <c r="F165" s="5" t="n"/>
      <c r="G165" s="6" t="n"/>
      <c r="H165" s="6">
        <f>IFERROR(F165*G165,"")</f>
        <v/>
      </c>
      <c r="I165" s="4" t="n"/>
      <c r="J165" s="4" t="n"/>
      <c r="K165" s="4" t="n"/>
    </row>
    <row r="166" ht="22" customHeight="1">
      <c r="B166" s="7" t="n"/>
      <c r="C166" s="8" t="n"/>
      <c r="D166" s="8" t="n"/>
      <c r="E166" s="8" t="n"/>
      <c r="F166" s="9" t="n"/>
      <c r="G166" s="10" t="n"/>
      <c r="H166" s="10">
        <f>IFERROR(F166*G166,"")</f>
        <v/>
      </c>
      <c r="I166" s="8" t="n"/>
      <c r="J166" s="8" t="n"/>
      <c r="K166" s="8" t="n"/>
    </row>
    <row r="167" ht="22" customHeight="1">
      <c r="B167" s="3" t="n"/>
      <c r="C167" s="4" t="n"/>
      <c r="D167" s="4" t="n"/>
      <c r="E167" s="4" t="n"/>
      <c r="F167" s="5" t="n"/>
      <c r="G167" s="6" t="n"/>
      <c r="H167" s="6">
        <f>IFERROR(F167*G167,"")</f>
        <v/>
      </c>
      <c r="I167" s="4" t="n"/>
      <c r="J167" s="4" t="n"/>
      <c r="K167" s="4" t="n"/>
    </row>
    <row r="168" ht="22" customHeight="1">
      <c r="B168" s="7" t="n"/>
      <c r="C168" s="8" t="n"/>
      <c r="D168" s="8" t="n"/>
      <c r="E168" s="8" t="n"/>
      <c r="F168" s="9" t="n"/>
      <c r="G168" s="10" t="n"/>
      <c r="H168" s="10">
        <f>IFERROR(F168*G168,"")</f>
        <v/>
      </c>
      <c r="I168" s="8" t="n"/>
      <c r="J168" s="8" t="n"/>
      <c r="K168" s="8" t="n"/>
    </row>
    <row r="169" ht="22" customHeight="1">
      <c r="B169" s="3" t="n"/>
      <c r="C169" s="4" t="n"/>
      <c r="D169" s="4" t="n"/>
      <c r="E169" s="4" t="n"/>
      <c r="F169" s="5" t="n"/>
      <c r="G169" s="6" t="n"/>
      <c r="H169" s="6">
        <f>IFERROR(F169*G169,"")</f>
        <v/>
      </c>
      <c r="I169" s="4" t="n"/>
      <c r="J169" s="4" t="n"/>
      <c r="K169" s="4" t="n"/>
    </row>
    <row r="170" ht="22" customHeight="1">
      <c r="B170" s="7" t="n"/>
      <c r="C170" s="8" t="n"/>
      <c r="D170" s="8" t="n"/>
      <c r="E170" s="8" t="n"/>
      <c r="F170" s="9" t="n"/>
      <c r="G170" s="10" t="n"/>
      <c r="H170" s="10">
        <f>IFERROR(F170*G170,"")</f>
        <v/>
      </c>
      <c r="I170" s="8" t="n"/>
      <c r="J170" s="8" t="n"/>
      <c r="K170" s="8" t="n"/>
    </row>
    <row r="171" ht="22" customHeight="1">
      <c r="B171" s="3" t="n"/>
      <c r="C171" s="4" t="n"/>
      <c r="D171" s="4" t="n"/>
      <c r="E171" s="4" t="n"/>
      <c r="F171" s="5" t="n"/>
      <c r="G171" s="6" t="n"/>
      <c r="H171" s="6">
        <f>IFERROR(F171*G171,"")</f>
        <v/>
      </c>
      <c r="I171" s="4" t="n"/>
      <c r="J171" s="4" t="n"/>
      <c r="K171" s="4" t="n"/>
    </row>
    <row r="172" ht="22" customHeight="1">
      <c r="B172" s="7" t="n"/>
      <c r="C172" s="8" t="n"/>
      <c r="D172" s="8" t="n"/>
      <c r="E172" s="8" t="n"/>
      <c r="F172" s="9" t="n"/>
      <c r="G172" s="10" t="n"/>
      <c r="H172" s="10">
        <f>IFERROR(F172*G172,"")</f>
        <v/>
      </c>
      <c r="I172" s="8" t="n"/>
      <c r="J172" s="8" t="n"/>
      <c r="K172" s="8" t="n"/>
    </row>
    <row r="173" ht="22" customHeight="1">
      <c r="B173" s="3" t="n"/>
      <c r="C173" s="4" t="n"/>
      <c r="D173" s="4" t="n"/>
      <c r="E173" s="4" t="n"/>
      <c r="F173" s="5" t="n"/>
      <c r="G173" s="6" t="n"/>
      <c r="H173" s="6">
        <f>IFERROR(F173*G173,"")</f>
        <v/>
      </c>
      <c r="I173" s="4" t="n"/>
      <c r="J173" s="4" t="n"/>
      <c r="K173" s="4" t="n"/>
    </row>
    <row r="174" ht="22" customHeight="1">
      <c r="B174" s="7" t="n"/>
      <c r="C174" s="8" t="n"/>
      <c r="D174" s="8" t="n"/>
      <c r="E174" s="8" t="n"/>
      <c r="F174" s="9" t="n"/>
      <c r="G174" s="10" t="n"/>
      <c r="H174" s="10">
        <f>IFERROR(F174*G174,"")</f>
        <v/>
      </c>
      <c r="I174" s="8" t="n"/>
      <c r="J174" s="8" t="n"/>
      <c r="K174" s="8" t="n"/>
    </row>
    <row r="175" ht="22" customHeight="1">
      <c r="B175" s="3" t="n"/>
      <c r="C175" s="4" t="n"/>
      <c r="D175" s="4" t="n"/>
      <c r="E175" s="4" t="n"/>
      <c r="F175" s="5" t="n"/>
      <c r="G175" s="6" t="n"/>
      <c r="H175" s="6">
        <f>IFERROR(F175*G175,"")</f>
        <v/>
      </c>
      <c r="I175" s="4" t="n"/>
      <c r="J175" s="4" t="n"/>
      <c r="K175" s="4" t="n"/>
    </row>
    <row r="176" ht="22" customHeight="1">
      <c r="B176" s="7" t="n"/>
      <c r="C176" s="8" t="n"/>
      <c r="D176" s="8" t="n"/>
      <c r="E176" s="8" t="n"/>
      <c r="F176" s="9" t="n"/>
      <c r="G176" s="10" t="n"/>
      <c r="H176" s="10">
        <f>IFERROR(F176*G176,"")</f>
        <v/>
      </c>
      <c r="I176" s="8" t="n"/>
      <c r="J176" s="8" t="n"/>
      <c r="K176" s="8" t="n"/>
    </row>
    <row r="177" ht="22" customHeight="1">
      <c r="B177" s="3" t="n"/>
      <c r="C177" s="4" t="n"/>
      <c r="D177" s="4" t="n"/>
      <c r="E177" s="4" t="n"/>
      <c r="F177" s="5" t="n"/>
      <c r="G177" s="6" t="n"/>
      <c r="H177" s="6">
        <f>IFERROR(F177*G177,"")</f>
        <v/>
      </c>
      <c r="I177" s="4" t="n"/>
      <c r="J177" s="4" t="n"/>
      <c r="K177" s="4" t="n"/>
    </row>
    <row r="178" ht="22" customHeight="1">
      <c r="B178" s="7" t="n"/>
      <c r="C178" s="8" t="n"/>
      <c r="D178" s="8" t="n"/>
      <c r="E178" s="8" t="n"/>
      <c r="F178" s="9" t="n"/>
      <c r="G178" s="10" t="n"/>
      <c r="H178" s="10">
        <f>IFERROR(F178*G178,"")</f>
        <v/>
      </c>
      <c r="I178" s="8" t="n"/>
      <c r="J178" s="8" t="n"/>
      <c r="K178" s="8" t="n"/>
    </row>
    <row r="179" ht="22" customHeight="1">
      <c r="B179" s="3" t="n"/>
      <c r="C179" s="4" t="n"/>
      <c r="D179" s="4" t="n"/>
      <c r="E179" s="4" t="n"/>
      <c r="F179" s="5" t="n"/>
      <c r="G179" s="6" t="n"/>
      <c r="H179" s="6">
        <f>IFERROR(F179*G179,"")</f>
        <v/>
      </c>
      <c r="I179" s="4" t="n"/>
      <c r="J179" s="4" t="n"/>
      <c r="K179" s="4" t="n"/>
    </row>
    <row r="180" ht="22" customHeight="1">
      <c r="B180" s="7" t="n"/>
      <c r="C180" s="8" t="n"/>
      <c r="D180" s="8" t="n"/>
      <c r="E180" s="8" t="n"/>
      <c r="F180" s="9" t="n"/>
      <c r="G180" s="10" t="n"/>
      <c r="H180" s="10">
        <f>IFERROR(F180*G180,"")</f>
        <v/>
      </c>
      <c r="I180" s="8" t="n"/>
      <c r="J180" s="8" t="n"/>
      <c r="K180" s="8" t="n"/>
    </row>
    <row r="181" ht="22" customHeight="1">
      <c r="B181" s="3" t="n"/>
      <c r="C181" s="4" t="n"/>
      <c r="D181" s="4" t="n"/>
      <c r="E181" s="4" t="n"/>
      <c r="F181" s="5" t="n"/>
      <c r="G181" s="6" t="n"/>
      <c r="H181" s="6">
        <f>IFERROR(F181*G181,"")</f>
        <v/>
      </c>
      <c r="I181" s="4" t="n"/>
      <c r="J181" s="4" t="n"/>
      <c r="K181" s="4" t="n"/>
    </row>
    <row r="182" ht="22" customHeight="1">
      <c r="B182" s="7" t="n"/>
      <c r="C182" s="8" t="n"/>
      <c r="D182" s="8" t="n"/>
      <c r="E182" s="8" t="n"/>
      <c r="F182" s="9" t="n"/>
      <c r="G182" s="10" t="n"/>
      <c r="H182" s="10">
        <f>IFERROR(F182*G182,"")</f>
        <v/>
      </c>
      <c r="I182" s="8" t="n"/>
      <c r="J182" s="8" t="n"/>
      <c r="K182" s="8" t="n"/>
    </row>
    <row r="183" ht="22" customHeight="1">
      <c r="B183" s="3" t="n"/>
      <c r="C183" s="4" t="n"/>
      <c r="D183" s="4" t="n"/>
      <c r="E183" s="4" t="n"/>
      <c r="F183" s="5" t="n"/>
      <c r="G183" s="6" t="n"/>
      <c r="H183" s="6">
        <f>IFERROR(F183*G183,"")</f>
        <v/>
      </c>
      <c r="I183" s="4" t="n"/>
      <c r="J183" s="4" t="n"/>
      <c r="K183" s="4" t="n"/>
    </row>
    <row r="184" ht="22" customHeight="1">
      <c r="B184" s="7" t="n"/>
      <c r="C184" s="8" t="n"/>
      <c r="D184" s="8" t="n"/>
      <c r="E184" s="8" t="n"/>
      <c r="F184" s="9" t="n"/>
      <c r="G184" s="10" t="n"/>
      <c r="H184" s="10">
        <f>IFERROR(F184*G184,"")</f>
        <v/>
      </c>
      <c r="I184" s="8" t="n"/>
      <c r="J184" s="8" t="n"/>
      <c r="K184" s="8" t="n"/>
    </row>
    <row r="185" ht="22" customHeight="1">
      <c r="B185" s="3" t="n"/>
      <c r="C185" s="4" t="n"/>
      <c r="D185" s="4" t="n"/>
      <c r="E185" s="4" t="n"/>
      <c r="F185" s="5" t="n"/>
      <c r="G185" s="6" t="n"/>
      <c r="H185" s="6">
        <f>IFERROR(F185*G185,"")</f>
        <v/>
      </c>
      <c r="I185" s="4" t="n"/>
      <c r="J185" s="4" t="n"/>
      <c r="K185" s="4" t="n"/>
    </row>
    <row r="186" ht="22" customHeight="1">
      <c r="B186" s="7" t="n"/>
      <c r="C186" s="8" t="n"/>
      <c r="D186" s="8" t="n"/>
      <c r="E186" s="8" t="n"/>
      <c r="F186" s="9" t="n"/>
      <c r="G186" s="10" t="n"/>
      <c r="H186" s="10">
        <f>IFERROR(F186*G186,"")</f>
        <v/>
      </c>
      <c r="I186" s="8" t="n"/>
      <c r="J186" s="8" t="n"/>
      <c r="K186" s="8" t="n"/>
    </row>
    <row r="187" ht="22" customHeight="1">
      <c r="B187" s="3" t="n"/>
      <c r="C187" s="4" t="n"/>
      <c r="D187" s="4" t="n"/>
      <c r="E187" s="4" t="n"/>
      <c r="F187" s="5" t="n"/>
      <c r="G187" s="6" t="n"/>
      <c r="H187" s="6">
        <f>IFERROR(F187*G187,"")</f>
        <v/>
      </c>
      <c r="I187" s="4" t="n"/>
      <c r="J187" s="4" t="n"/>
      <c r="K187" s="4" t="n"/>
    </row>
    <row r="188" ht="22" customHeight="1">
      <c r="B188" s="7" t="n"/>
      <c r="C188" s="8" t="n"/>
      <c r="D188" s="8" t="n"/>
      <c r="E188" s="8" t="n"/>
      <c r="F188" s="9" t="n"/>
      <c r="G188" s="10" t="n"/>
      <c r="H188" s="10">
        <f>IFERROR(F188*G188,"")</f>
        <v/>
      </c>
      <c r="I188" s="8" t="n"/>
      <c r="J188" s="8" t="n"/>
      <c r="K188" s="8" t="n"/>
    </row>
    <row r="189" ht="22" customHeight="1">
      <c r="B189" s="3" t="n"/>
      <c r="C189" s="4" t="n"/>
      <c r="D189" s="4" t="n"/>
      <c r="E189" s="4" t="n"/>
      <c r="F189" s="5" t="n"/>
      <c r="G189" s="6" t="n"/>
      <c r="H189" s="6">
        <f>IFERROR(F189*G189,"")</f>
        <v/>
      </c>
      <c r="I189" s="4" t="n"/>
      <c r="J189" s="4" t="n"/>
      <c r="K189" s="4" t="n"/>
    </row>
    <row r="190" ht="22" customHeight="1">
      <c r="B190" s="7" t="n"/>
      <c r="C190" s="8" t="n"/>
      <c r="D190" s="8" t="n"/>
      <c r="E190" s="8" t="n"/>
      <c r="F190" s="9" t="n"/>
      <c r="G190" s="10" t="n"/>
      <c r="H190" s="10">
        <f>IFERROR(F190*G190,"")</f>
        <v/>
      </c>
      <c r="I190" s="8" t="n"/>
      <c r="J190" s="8" t="n"/>
      <c r="K190" s="8" t="n"/>
    </row>
    <row r="191" ht="22" customHeight="1">
      <c r="B191" s="3" t="n"/>
      <c r="C191" s="4" t="n"/>
      <c r="D191" s="4" t="n"/>
      <c r="E191" s="4" t="n"/>
      <c r="F191" s="5" t="n"/>
      <c r="G191" s="6" t="n"/>
      <c r="H191" s="6">
        <f>IFERROR(F191*G191,"")</f>
        <v/>
      </c>
      <c r="I191" s="4" t="n"/>
      <c r="J191" s="4" t="n"/>
      <c r="K191" s="4" t="n"/>
    </row>
    <row r="192" ht="22" customHeight="1">
      <c r="B192" s="7" t="n"/>
      <c r="C192" s="8" t="n"/>
      <c r="D192" s="8" t="n"/>
      <c r="E192" s="8" t="n"/>
      <c r="F192" s="9" t="n"/>
      <c r="G192" s="10" t="n"/>
      <c r="H192" s="10">
        <f>IFERROR(F192*G192,"")</f>
        <v/>
      </c>
      <c r="I192" s="8" t="n"/>
      <c r="J192" s="8" t="n"/>
      <c r="K192" s="8" t="n"/>
    </row>
    <row r="193" ht="22" customHeight="1">
      <c r="B193" s="3" t="n"/>
      <c r="C193" s="4" t="n"/>
      <c r="D193" s="4" t="n"/>
      <c r="E193" s="4" t="n"/>
      <c r="F193" s="5" t="n"/>
      <c r="G193" s="6" t="n"/>
      <c r="H193" s="6">
        <f>IFERROR(F193*G193,"")</f>
        <v/>
      </c>
      <c r="I193" s="4" t="n"/>
      <c r="J193" s="4" t="n"/>
      <c r="K193" s="4" t="n"/>
    </row>
    <row r="194" ht="22" customHeight="1">
      <c r="B194" s="7" t="n"/>
      <c r="C194" s="8" t="n"/>
      <c r="D194" s="8" t="n"/>
      <c r="E194" s="8" t="n"/>
      <c r="F194" s="9" t="n"/>
      <c r="G194" s="10" t="n"/>
      <c r="H194" s="10">
        <f>IFERROR(F194*G194,"")</f>
        <v/>
      </c>
      <c r="I194" s="8" t="n"/>
      <c r="J194" s="8" t="n"/>
      <c r="K194" s="8" t="n"/>
    </row>
    <row r="195" ht="22" customHeight="1">
      <c r="B195" s="3" t="n"/>
      <c r="C195" s="4" t="n"/>
      <c r="D195" s="4" t="n"/>
      <c r="E195" s="4" t="n"/>
      <c r="F195" s="5" t="n"/>
      <c r="G195" s="6" t="n"/>
      <c r="H195" s="6">
        <f>IFERROR(F195*G195,"")</f>
        <v/>
      </c>
      <c r="I195" s="4" t="n"/>
      <c r="J195" s="4" t="n"/>
      <c r="K195" s="4" t="n"/>
    </row>
    <row r="196" ht="22" customHeight="1">
      <c r="B196" s="7" t="n"/>
      <c r="C196" s="8" t="n"/>
      <c r="D196" s="8" t="n"/>
      <c r="E196" s="8" t="n"/>
      <c r="F196" s="9" t="n"/>
      <c r="G196" s="10" t="n"/>
      <c r="H196" s="10">
        <f>IFERROR(F196*G196,"")</f>
        <v/>
      </c>
      <c r="I196" s="8" t="n"/>
      <c r="J196" s="8" t="n"/>
      <c r="K196" s="8" t="n"/>
    </row>
    <row r="197" ht="22" customHeight="1">
      <c r="B197" s="3" t="n"/>
      <c r="C197" s="4" t="n"/>
      <c r="D197" s="4" t="n"/>
      <c r="E197" s="4" t="n"/>
      <c r="F197" s="5" t="n"/>
      <c r="G197" s="6" t="n"/>
      <c r="H197" s="6">
        <f>IFERROR(F197*G197,"")</f>
        <v/>
      </c>
      <c r="I197" s="4" t="n"/>
      <c r="J197" s="4" t="n"/>
      <c r="K197" s="4" t="n"/>
    </row>
    <row r="198" ht="22" customHeight="1">
      <c r="B198" s="7" t="n"/>
      <c r="C198" s="8" t="n"/>
      <c r="D198" s="8" t="n"/>
      <c r="E198" s="8" t="n"/>
      <c r="F198" s="9" t="n"/>
      <c r="G198" s="10" t="n"/>
      <c r="H198" s="10">
        <f>IFERROR(F198*G198,"")</f>
        <v/>
      </c>
      <c r="I198" s="8" t="n"/>
      <c r="J198" s="8" t="n"/>
      <c r="K198" s="8" t="n"/>
    </row>
    <row r="199" ht="22" customHeight="1">
      <c r="B199" s="3" t="n"/>
      <c r="C199" s="4" t="n"/>
      <c r="D199" s="4" t="n"/>
      <c r="E199" s="4" t="n"/>
      <c r="F199" s="5" t="n"/>
      <c r="G199" s="6" t="n"/>
      <c r="H199" s="6">
        <f>IFERROR(F199*G199,"")</f>
        <v/>
      </c>
      <c r="I199" s="4" t="n"/>
      <c r="J199" s="4" t="n"/>
      <c r="K199" s="4" t="n"/>
    </row>
    <row r="200" ht="22" customHeight="1">
      <c r="B200" s="7" t="n"/>
      <c r="C200" s="8" t="n"/>
      <c r="D200" s="8" t="n"/>
      <c r="E200" s="8" t="n"/>
      <c r="F200" s="9" t="n"/>
      <c r="G200" s="10" t="n"/>
      <c r="H200" s="10">
        <f>IFERROR(F200*G200,"")</f>
        <v/>
      </c>
      <c r="I200" s="8" t="n"/>
      <c r="J200" s="8" t="n"/>
      <c r="K200" s="8" t="n"/>
    </row>
    <row r="201" ht="22" customHeight="1">
      <c r="B201" s="3" t="n"/>
      <c r="C201" s="4" t="n"/>
      <c r="D201" s="4" t="n"/>
      <c r="E201" s="4" t="n"/>
      <c r="F201" s="5" t="n"/>
      <c r="G201" s="6" t="n"/>
      <c r="H201" s="6">
        <f>IFERROR(F201*G201,"")</f>
        <v/>
      </c>
      <c r="I201" s="4" t="n"/>
      <c r="J201" s="4" t="n"/>
      <c r="K201" s="4" t="n"/>
    </row>
    <row r="202" ht="22" customHeight="1">
      <c r="B202" s="7" t="n"/>
      <c r="C202" s="8" t="n"/>
      <c r="D202" s="8" t="n"/>
      <c r="E202" s="8" t="n"/>
      <c r="F202" s="9" t="n"/>
      <c r="G202" s="10" t="n"/>
      <c r="H202" s="10">
        <f>IFERROR(F202*G202,"")</f>
        <v/>
      </c>
      <c r="I202" s="8" t="n"/>
      <c r="J202" s="8" t="n"/>
      <c r="K202" s="8" t="n"/>
    </row>
    <row r="203" ht="22" customHeight="1">
      <c r="B203" s="3" t="n"/>
      <c r="C203" s="4" t="n"/>
      <c r="D203" s="4" t="n"/>
      <c r="E203" s="4" t="n"/>
      <c r="F203" s="5" t="n"/>
      <c r="G203" s="6" t="n"/>
      <c r="H203" s="6">
        <f>IFERROR(F203*G203,"")</f>
        <v/>
      </c>
      <c r="I203" s="4" t="n"/>
      <c r="J203" s="4" t="n"/>
      <c r="K203" s="4" t="n"/>
    </row>
    <row r="204" ht="22" customHeight="1">
      <c r="B204" s="7" t="n"/>
      <c r="C204" s="8" t="n"/>
      <c r="D204" s="8" t="n"/>
      <c r="E204" s="8" t="n"/>
      <c r="F204" s="9" t="n"/>
      <c r="G204" s="10" t="n"/>
      <c r="H204" s="10">
        <f>IFERROR(F204*G204,"")</f>
        <v/>
      </c>
      <c r="I204" s="8" t="n"/>
      <c r="J204" s="8" t="n"/>
      <c r="K204" s="8" t="n"/>
    </row>
    <row r="205" ht="26" customHeight="1">
      <c r="B205" s="11" t="inlineStr">
        <is>
          <t>TOTALS</t>
        </is>
      </c>
      <c r="C205" s="12" t="n"/>
      <c r="D205" s="12" t="n"/>
      <c r="E205" s="12" t="n"/>
      <c r="F205" s="13">
        <f>SUMPRODUCT((F5:F204&lt;&gt;"")*1)</f>
        <v/>
      </c>
      <c r="G205" s="12" t="inlineStr"/>
      <c r="H205" s="14">
        <f>IFERROR(SUM(H5:H204),"")</f>
        <v/>
      </c>
      <c r="I205" s="12" t="n"/>
      <c r="J205" s="12" t="n"/>
      <c r="K205" s="12" t="n"/>
    </row>
  </sheetData>
  <mergeCells count="1">
    <mergeCell ref="B2:K2"/>
  </mergeCells>
  <dataValidations count="1">
    <dataValidation sqref="I5:I204" showDropDown="0" showInputMessage="0" showErrorMessage="0" allowBlank="1" errorTitle="Invalid Payment Method" error="Please select a valid payment method" promptTitle="Payment Method" prompt="Select payment method" type="list">
      <formula1>"Cash,Card,Online,Cheque"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B85C1E"/>
    <outlinePr summaryBelow="1" summaryRight="1"/>
    <pageSetUpPr fitToPage="1"/>
  </sheetPr>
  <dimension ref="B2:H36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8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5" customHeight="1"/>
    <row r="2" ht="32" customHeight="1">
      <c r="B2" s="1" t="inlineStr">
        <is>
          <t>Daily Summary</t>
        </is>
      </c>
    </row>
    <row r="3" ht="8" customHeight="1"/>
    <row r="4" ht="28" customHeight="1">
      <c r="B4" s="2" t="inlineStr">
        <is>
          <t>Date</t>
        </is>
      </c>
      <c r="C4" s="2" t="inlineStr">
        <is>
          <t>Total Sales</t>
        </is>
      </c>
      <c r="D4" s="2" t="inlineStr">
        <is>
          <t># Transactions</t>
        </is>
      </c>
      <c r="E4" s="2" t="inlineStr">
        <is>
          <t>Avg Transaction</t>
        </is>
      </c>
      <c r="F4" s="2" t="inlineStr">
        <is>
          <t>Cash Total</t>
        </is>
      </c>
      <c r="G4" s="2" t="inlineStr">
        <is>
          <t>Card Total</t>
        </is>
      </c>
      <c r="H4" s="2" t="inlineStr">
        <is>
          <t>Online Total</t>
        </is>
      </c>
    </row>
    <row r="5" ht="22" customHeight="1">
      <c r="B5" s="3" t="n"/>
      <c r="C5" s="6">
        <f>IFERROR(SUMPRODUCT(("'Sales Entry'!B$5:B$204"=B5)*("'Sales Entry'!H$5:H$204")),"")</f>
        <v/>
      </c>
      <c r="D5" s="5">
        <f>IFERROR(SUMPRODUCT(("'Sales Entry'!B$5:B$204"=B5)*1),"")</f>
        <v/>
      </c>
      <c r="E5" s="6">
        <f>IFERROR(C5/D5,"")</f>
        <v/>
      </c>
      <c r="F5" s="6">
        <f>IFERROR(SUMPRODUCT(("'Sales Entry'!B$5:B$204"=B5)*("'Sales Entry'!I$5:I$204"="Cash")*("'Sales Entry'!H$5:H$204")),"")</f>
        <v/>
      </c>
      <c r="G5" s="6">
        <f>IFERROR(SUMPRODUCT(("'Sales Entry'!B$5:B$204"=B5)*("'Sales Entry'!I$5:I$204"="Card")*("'Sales Entry'!H$5:H$204")),"")</f>
        <v/>
      </c>
      <c r="H5" s="6">
        <f>IFERROR(SUMPRODUCT(("'Sales Entry'!B$5:B$204"=B5)*("'Sales Entry'!I$5:I$204"="Online")*("'Sales Entry'!H$5:H$204")),"")</f>
        <v/>
      </c>
    </row>
    <row r="6" ht="22" customHeight="1">
      <c r="B6" s="7" t="n"/>
      <c r="C6" s="10">
        <f>IFERROR(SUMPRODUCT(("'Sales Entry'!B$5:B$204"=B6)*("'Sales Entry'!H$5:H$204")),"")</f>
        <v/>
      </c>
      <c r="D6" s="9">
        <f>IFERROR(SUMPRODUCT(("'Sales Entry'!B$5:B$204"=B6)*1),"")</f>
        <v/>
      </c>
      <c r="E6" s="10">
        <f>IFERROR(C6/D6,"")</f>
        <v/>
      </c>
      <c r="F6" s="10">
        <f>IFERROR(SUMPRODUCT(("'Sales Entry'!B$5:B$204"=B6)*("'Sales Entry'!I$5:I$204"="Cash")*("'Sales Entry'!H$5:H$204")),"")</f>
        <v/>
      </c>
      <c r="G6" s="10">
        <f>IFERROR(SUMPRODUCT(("'Sales Entry'!B$5:B$204"=B6)*("'Sales Entry'!I$5:I$204"="Card")*("'Sales Entry'!H$5:H$204")),"")</f>
        <v/>
      </c>
      <c r="H6" s="10">
        <f>IFERROR(SUMPRODUCT(("'Sales Entry'!B$5:B$204"=B6)*("'Sales Entry'!I$5:I$204"="Online")*("'Sales Entry'!H$5:H$204")),"")</f>
        <v/>
      </c>
    </row>
    <row r="7" ht="22" customHeight="1">
      <c r="B7" s="3" t="n"/>
      <c r="C7" s="6">
        <f>IFERROR(SUMPRODUCT(("'Sales Entry'!B$5:B$204"=B7)*("'Sales Entry'!H$5:H$204")),"")</f>
        <v/>
      </c>
      <c r="D7" s="5">
        <f>IFERROR(SUMPRODUCT(("'Sales Entry'!B$5:B$204"=B7)*1),"")</f>
        <v/>
      </c>
      <c r="E7" s="6">
        <f>IFERROR(C7/D7,"")</f>
        <v/>
      </c>
      <c r="F7" s="6">
        <f>IFERROR(SUMPRODUCT(("'Sales Entry'!B$5:B$204"=B7)*("'Sales Entry'!I$5:I$204"="Cash")*("'Sales Entry'!H$5:H$204")),"")</f>
        <v/>
      </c>
      <c r="G7" s="6">
        <f>IFERROR(SUMPRODUCT(("'Sales Entry'!B$5:B$204"=B7)*("'Sales Entry'!I$5:I$204"="Card")*("'Sales Entry'!H$5:H$204")),"")</f>
        <v/>
      </c>
      <c r="H7" s="6">
        <f>IFERROR(SUMPRODUCT(("'Sales Entry'!B$5:B$204"=B7)*("'Sales Entry'!I$5:I$204"="Online")*("'Sales Entry'!H$5:H$204")),"")</f>
        <v/>
      </c>
    </row>
    <row r="8" ht="22" customHeight="1">
      <c r="B8" s="7" t="n"/>
      <c r="C8" s="10">
        <f>IFERROR(SUMPRODUCT(("'Sales Entry'!B$5:B$204"=B8)*("'Sales Entry'!H$5:H$204")),"")</f>
        <v/>
      </c>
      <c r="D8" s="9">
        <f>IFERROR(SUMPRODUCT(("'Sales Entry'!B$5:B$204"=B8)*1),"")</f>
        <v/>
      </c>
      <c r="E8" s="10">
        <f>IFERROR(C8/D8,"")</f>
        <v/>
      </c>
      <c r="F8" s="10">
        <f>IFERROR(SUMPRODUCT(("'Sales Entry'!B$5:B$204"=B8)*("'Sales Entry'!I$5:I$204"="Cash")*("'Sales Entry'!H$5:H$204")),"")</f>
        <v/>
      </c>
      <c r="G8" s="10">
        <f>IFERROR(SUMPRODUCT(("'Sales Entry'!B$5:B$204"=B8)*("'Sales Entry'!I$5:I$204"="Card")*("'Sales Entry'!H$5:H$204")),"")</f>
        <v/>
      </c>
      <c r="H8" s="10">
        <f>IFERROR(SUMPRODUCT(("'Sales Entry'!B$5:B$204"=B8)*("'Sales Entry'!I$5:I$204"="Online")*("'Sales Entry'!H$5:H$204")),"")</f>
        <v/>
      </c>
    </row>
    <row r="9" ht="22" customHeight="1">
      <c r="B9" s="3" t="n"/>
      <c r="C9" s="6">
        <f>IFERROR(SUMPRODUCT(("'Sales Entry'!B$5:B$204"=B9)*("'Sales Entry'!H$5:H$204")),"")</f>
        <v/>
      </c>
      <c r="D9" s="5">
        <f>IFERROR(SUMPRODUCT(("'Sales Entry'!B$5:B$204"=B9)*1),"")</f>
        <v/>
      </c>
      <c r="E9" s="6">
        <f>IFERROR(C9/D9,"")</f>
        <v/>
      </c>
      <c r="F9" s="6">
        <f>IFERROR(SUMPRODUCT(("'Sales Entry'!B$5:B$204"=B9)*("'Sales Entry'!I$5:I$204"="Cash")*("'Sales Entry'!H$5:H$204")),"")</f>
        <v/>
      </c>
      <c r="G9" s="6">
        <f>IFERROR(SUMPRODUCT(("'Sales Entry'!B$5:B$204"=B9)*("'Sales Entry'!I$5:I$204"="Card")*("'Sales Entry'!H$5:H$204")),"")</f>
        <v/>
      </c>
      <c r="H9" s="6">
        <f>IFERROR(SUMPRODUCT(("'Sales Entry'!B$5:B$204"=B9)*("'Sales Entry'!I$5:I$204"="Online")*("'Sales Entry'!H$5:H$204")),"")</f>
        <v/>
      </c>
    </row>
    <row r="10" ht="22" customHeight="1">
      <c r="B10" s="7" t="n"/>
      <c r="C10" s="10">
        <f>IFERROR(SUMPRODUCT(("'Sales Entry'!B$5:B$204"=B10)*("'Sales Entry'!H$5:H$204")),"")</f>
        <v/>
      </c>
      <c r="D10" s="9">
        <f>IFERROR(SUMPRODUCT(("'Sales Entry'!B$5:B$204"=B10)*1),"")</f>
        <v/>
      </c>
      <c r="E10" s="10">
        <f>IFERROR(C10/D10,"")</f>
        <v/>
      </c>
      <c r="F10" s="10">
        <f>IFERROR(SUMPRODUCT(("'Sales Entry'!B$5:B$204"=B10)*("'Sales Entry'!I$5:I$204"="Cash")*("'Sales Entry'!H$5:H$204")),"")</f>
        <v/>
      </c>
      <c r="G10" s="10">
        <f>IFERROR(SUMPRODUCT(("'Sales Entry'!B$5:B$204"=B10)*("'Sales Entry'!I$5:I$204"="Card")*("'Sales Entry'!H$5:H$204")),"")</f>
        <v/>
      </c>
      <c r="H10" s="10">
        <f>IFERROR(SUMPRODUCT(("'Sales Entry'!B$5:B$204"=B10)*("'Sales Entry'!I$5:I$204"="Online")*("'Sales Entry'!H$5:H$204")),"")</f>
        <v/>
      </c>
    </row>
    <row r="11" ht="22" customHeight="1">
      <c r="B11" s="3" t="n"/>
      <c r="C11" s="6">
        <f>IFERROR(SUMPRODUCT(("'Sales Entry'!B$5:B$204"=B11)*("'Sales Entry'!H$5:H$204")),"")</f>
        <v/>
      </c>
      <c r="D11" s="5">
        <f>IFERROR(SUMPRODUCT(("'Sales Entry'!B$5:B$204"=B11)*1),"")</f>
        <v/>
      </c>
      <c r="E11" s="6">
        <f>IFERROR(C11/D11,"")</f>
        <v/>
      </c>
      <c r="F11" s="6">
        <f>IFERROR(SUMPRODUCT(("'Sales Entry'!B$5:B$204"=B11)*("'Sales Entry'!I$5:I$204"="Cash")*("'Sales Entry'!H$5:H$204")),"")</f>
        <v/>
      </c>
      <c r="G11" s="6">
        <f>IFERROR(SUMPRODUCT(("'Sales Entry'!B$5:B$204"=B11)*("'Sales Entry'!I$5:I$204"="Card")*("'Sales Entry'!H$5:H$204")),"")</f>
        <v/>
      </c>
      <c r="H11" s="6">
        <f>IFERROR(SUMPRODUCT(("'Sales Entry'!B$5:B$204"=B11)*("'Sales Entry'!I$5:I$204"="Online")*("'Sales Entry'!H$5:H$204")),"")</f>
        <v/>
      </c>
    </row>
    <row r="12" ht="22" customHeight="1">
      <c r="B12" s="7" t="n"/>
      <c r="C12" s="10">
        <f>IFERROR(SUMPRODUCT(("'Sales Entry'!B$5:B$204"=B12)*("'Sales Entry'!H$5:H$204")),"")</f>
        <v/>
      </c>
      <c r="D12" s="9">
        <f>IFERROR(SUMPRODUCT(("'Sales Entry'!B$5:B$204"=B12)*1),"")</f>
        <v/>
      </c>
      <c r="E12" s="10">
        <f>IFERROR(C12/D12,"")</f>
        <v/>
      </c>
      <c r="F12" s="10">
        <f>IFERROR(SUMPRODUCT(("'Sales Entry'!B$5:B$204"=B12)*("'Sales Entry'!I$5:I$204"="Cash")*("'Sales Entry'!H$5:H$204")),"")</f>
        <v/>
      </c>
      <c r="G12" s="10">
        <f>IFERROR(SUMPRODUCT(("'Sales Entry'!B$5:B$204"=B12)*("'Sales Entry'!I$5:I$204"="Card")*("'Sales Entry'!H$5:H$204")),"")</f>
        <v/>
      </c>
      <c r="H12" s="10">
        <f>IFERROR(SUMPRODUCT(("'Sales Entry'!B$5:B$204"=B12)*("'Sales Entry'!I$5:I$204"="Online")*("'Sales Entry'!H$5:H$204")),"")</f>
        <v/>
      </c>
    </row>
    <row r="13" ht="22" customHeight="1">
      <c r="B13" s="3" t="n"/>
      <c r="C13" s="6">
        <f>IFERROR(SUMPRODUCT(("'Sales Entry'!B$5:B$204"=B13)*("'Sales Entry'!H$5:H$204")),"")</f>
        <v/>
      </c>
      <c r="D13" s="5">
        <f>IFERROR(SUMPRODUCT(("'Sales Entry'!B$5:B$204"=B13)*1),"")</f>
        <v/>
      </c>
      <c r="E13" s="6">
        <f>IFERROR(C13/D13,"")</f>
        <v/>
      </c>
      <c r="F13" s="6">
        <f>IFERROR(SUMPRODUCT(("'Sales Entry'!B$5:B$204"=B13)*("'Sales Entry'!I$5:I$204"="Cash")*("'Sales Entry'!H$5:H$204")),"")</f>
        <v/>
      </c>
      <c r="G13" s="6">
        <f>IFERROR(SUMPRODUCT(("'Sales Entry'!B$5:B$204"=B13)*("'Sales Entry'!I$5:I$204"="Card")*("'Sales Entry'!H$5:H$204")),"")</f>
        <v/>
      </c>
      <c r="H13" s="6">
        <f>IFERROR(SUMPRODUCT(("'Sales Entry'!B$5:B$204"=B13)*("'Sales Entry'!I$5:I$204"="Online")*("'Sales Entry'!H$5:H$204")),"")</f>
        <v/>
      </c>
    </row>
    <row r="14" ht="22" customHeight="1">
      <c r="B14" s="7" t="n"/>
      <c r="C14" s="10">
        <f>IFERROR(SUMPRODUCT(("'Sales Entry'!B$5:B$204"=B14)*("'Sales Entry'!H$5:H$204")),"")</f>
        <v/>
      </c>
      <c r="D14" s="9">
        <f>IFERROR(SUMPRODUCT(("'Sales Entry'!B$5:B$204"=B14)*1),"")</f>
        <v/>
      </c>
      <c r="E14" s="10">
        <f>IFERROR(C14/D14,"")</f>
        <v/>
      </c>
      <c r="F14" s="10">
        <f>IFERROR(SUMPRODUCT(("'Sales Entry'!B$5:B$204"=B14)*("'Sales Entry'!I$5:I$204"="Cash")*("'Sales Entry'!H$5:H$204")),"")</f>
        <v/>
      </c>
      <c r="G14" s="10">
        <f>IFERROR(SUMPRODUCT(("'Sales Entry'!B$5:B$204"=B14)*("'Sales Entry'!I$5:I$204"="Card")*("'Sales Entry'!H$5:H$204")),"")</f>
        <v/>
      </c>
      <c r="H14" s="10">
        <f>IFERROR(SUMPRODUCT(("'Sales Entry'!B$5:B$204"=B14)*("'Sales Entry'!I$5:I$204"="Online")*("'Sales Entry'!H$5:H$204")),"")</f>
        <v/>
      </c>
    </row>
    <row r="15" ht="22" customHeight="1">
      <c r="B15" s="3" t="n"/>
      <c r="C15" s="6">
        <f>IFERROR(SUMPRODUCT(("'Sales Entry'!B$5:B$204"=B15)*("'Sales Entry'!H$5:H$204")),"")</f>
        <v/>
      </c>
      <c r="D15" s="5">
        <f>IFERROR(SUMPRODUCT(("'Sales Entry'!B$5:B$204"=B15)*1),"")</f>
        <v/>
      </c>
      <c r="E15" s="6">
        <f>IFERROR(C15/D15,"")</f>
        <v/>
      </c>
      <c r="F15" s="6">
        <f>IFERROR(SUMPRODUCT(("'Sales Entry'!B$5:B$204"=B15)*("'Sales Entry'!I$5:I$204"="Cash")*("'Sales Entry'!H$5:H$204")),"")</f>
        <v/>
      </c>
      <c r="G15" s="6">
        <f>IFERROR(SUMPRODUCT(("'Sales Entry'!B$5:B$204"=B15)*("'Sales Entry'!I$5:I$204"="Card")*("'Sales Entry'!H$5:H$204")),"")</f>
        <v/>
      </c>
      <c r="H15" s="6">
        <f>IFERROR(SUMPRODUCT(("'Sales Entry'!B$5:B$204"=B15)*("'Sales Entry'!I$5:I$204"="Online")*("'Sales Entry'!H$5:H$204")),"")</f>
        <v/>
      </c>
    </row>
    <row r="16" ht="22" customHeight="1">
      <c r="B16" s="7" t="n"/>
      <c r="C16" s="10">
        <f>IFERROR(SUMPRODUCT(("'Sales Entry'!B$5:B$204"=B16)*("'Sales Entry'!H$5:H$204")),"")</f>
        <v/>
      </c>
      <c r="D16" s="9">
        <f>IFERROR(SUMPRODUCT(("'Sales Entry'!B$5:B$204"=B16)*1),"")</f>
        <v/>
      </c>
      <c r="E16" s="10">
        <f>IFERROR(C16/D16,"")</f>
        <v/>
      </c>
      <c r="F16" s="10">
        <f>IFERROR(SUMPRODUCT(("'Sales Entry'!B$5:B$204"=B16)*("'Sales Entry'!I$5:I$204"="Cash")*("'Sales Entry'!H$5:H$204")),"")</f>
        <v/>
      </c>
      <c r="G16" s="10">
        <f>IFERROR(SUMPRODUCT(("'Sales Entry'!B$5:B$204"=B16)*("'Sales Entry'!I$5:I$204"="Card")*("'Sales Entry'!H$5:H$204")),"")</f>
        <v/>
      </c>
      <c r="H16" s="10">
        <f>IFERROR(SUMPRODUCT(("'Sales Entry'!B$5:B$204"=B16)*("'Sales Entry'!I$5:I$204"="Online")*("'Sales Entry'!H$5:H$204")),"")</f>
        <v/>
      </c>
    </row>
    <row r="17" ht="22" customHeight="1">
      <c r="B17" s="3" t="n"/>
      <c r="C17" s="6">
        <f>IFERROR(SUMPRODUCT(("'Sales Entry'!B$5:B$204"=B17)*("'Sales Entry'!H$5:H$204")),"")</f>
        <v/>
      </c>
      <c r="D17" s="5">
        <f>IFERROR(SUMPRODUCT(("'Sales Entry'!B$5:B$204"=B17)*1),"")</f>
        <v/>
      </c>
      <c r="E17" s="6">
        <f>IFERROR(C17/D17,"")</f>
        <v/>
      </c>
      <c r="F17" s="6">
        <f>IFERROR(SUMPRODUCT(("'Sales Entry'!B$5:B$204"=B17)*("'Sales Entry'!I$5:I$204"="Cash")*("'Sales Entry'!H$5:H$204")),"")</f>
        <v/>
      </c>
      <c r="G17" s="6">
        <f>IFERROR(SUMPRODUCT(("'Sales Entry'!B$5:B$204"=B17)*("'Sales Entry'!I$5:I$204"="Card")*("'Sales Entry'!H$5:H$204")),"")</f>
        <v/>
      </c>
      <c r="H17" s="6">
        <f>IFERROR(SUMPRODUCT(("'Sales Entry'!B$5:B$204"=B17)*("'Sales Entry'!I$5:I$204"="Online")*("'Sales Entry'!H$5:H$204")),"")</f>
        <v/>
      </c>
    </row>
    <row r="18" ht="22" customHeight="1">
      <c r="B18" s="7" t="n"/>
      <c r="C18" s="10">
        <f>IFERROR(SUMPRODUCT(("'Sales Entry'!B$5:B$204"=B18)*("'Sales Entry'!H$5:H$204")),"")</f>
        <v/>
      </c>
      <c r="D18" s="9">
        <f>IFERROR(SUMPRODUCT(("'Sales Entry'!B$5:B$204"=B18)*1),"")</f>
        <v/>
      </c>
      <c r="E18" s="10">
        <f>IFERROR(C18/D18,"")</f>
        <v/>
      </c>
      <c r="F18" s="10">
        <f>IFERROR(SUMPRODUCT(("'Sales Entry'!B$5:B$204"=B18)*("'Sales Entry'!I$5:I$204"="Cash")*("'Sales Entry'!H$5:H$204")),"")</f>
        <v/>
      </c>
      <c r="G18" s="10">
        <f>IFERROR(SUMPRODUCT(("'Sales Entry'!B$5:B$204"=B18)*("'Sales Entry'!I$5:I$204"="Card")*("'Sales Entry'!H$5:H$204")),"")</f>
        <v/>
      </c>
      <c r="H18" s="10">
        <f>IFERROR(SUMPRODUCT(("'Sales Entry'!B$5:B$204"=B18)*("'Sales Entry'!I$5:I$204"="Online")*("'Sales Entry'!H$5:H$204")),"")</f>
        <v/>
      </c>
    </row>
    <row r="19" ht="22" customHeight="1">
      <c r="B19" s="3" t="n"/>
      <c r="C19" s="6">
        <f>IFERROR(SUMPRODUCT(("'Sales Entry'!B$5:B$204"=B19)*("'Sales Entry'!H$5:H$204")),"")</f>
        <v/>
      </c>
      <c r="D19" s="5">
        <f>IFERROR(SUMPRODUCT(("'Sales Entry'!B$5:B$204"=B19)*1),"")</f>
        <v/>
      </c>
      <c r="E19" s="6">
        <f>IFERROR(C19/D19,"")</f>
        <v/>
      </c>
      <c r="F19" s="6">
        <f>IFERROR(SUMPRODUCT(("'Sales Entry'!B$5:B$204"=B19)*("'Sales Entry'!I$5:I$204"="Cash")*("'Sales Entry'!H$5:H$204")),"")</f>
        <v/>
      </c>
      <c r="G19" s="6">
        <f>IFERROR(SUMPRODUCT(("'Sales Entry'!B$5:B$204"=B19)*("'Sales Entry'!I$5:I$204"="Card")*("'Sales Entry'!H$5:H$204")),"")</f>
        <v/>
      </c>
      <c r="H19" s="6">
        <f>IFERROR(SUMPRODUCT(("'Sales Entry'!B$5:B$204"=B19)*("'Sales Entry'!I$5:I$204"="Online")*("'Sales Entry'!H$5:H$204")),"")</f>
        <v/>
      </c>
    </row>
    <row r="20" ht="22" customHeight="1">
      <c r="B20" s="7" t="n"/>
      <c r="C20" s="10">
        <f>IFERROR(SUMPRODUCT(("'Sales Entry'!B$5:B$204"=B20)*("'Sales Entry'!H$5:H$204")),"")</f>
        <v/>
      </c>
      <c r="D20" s="9">
        <f>IFERROR(SUMPRODUCT(("'Sales Entry'!B$5:B$204"=B20)*1),"")</f>
        <v/>
      </c>
      <c r="E20" s="10">
        <f>IFERROR(C20/D20,"")</f>
        <v/>
      </c>
      <c r="F20" s="10">
        <f>IFERROR(SUMPRODUCT(("'Sales Entry'!B$5:B$204"=B20)*("'Sales Entry'!I$5:I$204"="Cash")*("'Sales Entry'!H$5:H$204")),"")</f>
        <v/>
      </c>
      <c r="G20" s="10">
        <f>IFERROR(SUMPRODUCT(("'Sales Entry'!B$5:B$204"=B20)*("'Sales Entry'!I$5:I$204"="Card")*("'Sales Entry'!H$5:H$204")),"")</f>
        <v/>
      </c>
      <c r="H20" s="10">
        <f>IFERROR(SUMPRODUCT(("'Sales Entry'!B$5:B$204"=B20)*("'Sales Entry'!I$5:I$204"="Online")*("'Sales Entry'!H$5:H$204")),"")</f>
        <v/>
      </c>
    </row>
    <row r="21" ht="22" customHeight="1">
      <c r="B21" s="3" t="n"/>
      <c r="C21" s="6">
        <f>IFERROR(SUMPRODUCT(("'Sales Entry'!B$5:B$204"=B21)*("'Sales Entry'!H$5:H$204")),"")</f>
        <v/>
      </c>
      <c r="D21" s="5">
        <f>IFERROR(SUMPRODUCT(("'Sales Entry'!B$5:B$204"=B21)*1),"")</f>
        <v/>
      </c>
      <c r="E21" s="6">
        <f>IFERROR(C21/D21,"")</f>
        <v/>
      </c>
      <c r="F21" s="6">
        <f>IFERROR(SUMPRODUCT(("'Sales Entry'!B$5:B$204"=B21)*("'Sales Entry'!I$5:I$204"="Cash")*("'Sales Entry'!H$5:H$204")),"")</f>
        <v/>
      </c>
      <c r="G21" s="6">
        <f>IFERROR(SUMPRODUCT(("'Sales Entry'!B$5:B$204"=B21)*("'Sales Entry'!I$5:I$204"="Card")*("'Sales Entry'!H$5:H$204")),"")</f>
        <v/>
      </c>
      <c r="H21" s="6">
        <f>IFERROR(SUMPRODUCT(("'Sales Entry'!B$5:B$204"=B21)*("'Sales Entry'!I$5:I$204"="Online")*("'Sales Entry'!H$5:H$204")),"")</f>
        <v/>
      </c>
    </row>
    <row r="22" ht="22" customHeight="1">
      <c r="B22" s="7" t="n"/>
      <c r="C22" s="10">
        <f>IFERROR(SUMPRODUCT(("'Sales Entry'!B$5:B$204"=B22)*("'Sales Entry'!H$5:H$204")),"")</f>
        <v/>
      </c>
      <c r="D22" s="9">
        <f>IFERROR(SUMPRODUCT(("'Sales Entry'!B$5:B$204"=B22)*1),"")</f>
        <v/>
      </c>
      <c r="E22" s="10">
        <f>IFERROR(C22/D22,"")</f>
        <v/>
      </c>
      <c r="F22" s="10">
        <f>IFERROR(SUMPRODUCT(("'Sales Entry'!B$5:B$204"=B22)*("'Sales Entry'!I$5:I$204"="Cash")*("'Sales Entry'!H$5:H$204")),"")</f>
        <v/>
      </c>
      <c r="G22" s="10">
        <f>IFERROR(SUMPRODUCT(("'Sales Entry'!B$5:B$204"=B22)*("'Sales Entry'!I$5:I$204"="Card")*("'Sales Entry'!H$5:H$204")),"")</f>
        <v/>
      </c>
      <c r="H22" s="10">
        <f>IFERROR(SUMPRODUCT(("'Sales Entry'!B$5:B$204"=B22)*("'Sales Entry'!I$5:I$204"="Online")*("'Sales Entry'!H$5:H$204")),"")</f>
        <v/>
      </c>
    </row>
    <row r="23" ht="22" customHeight="1">
      <c r="B23" s="3" t="n"/>
      <c r="C23" s="6">
        <f>IFERROR(SUMPRODUCT(("'Sales Entry'!B$5:B$204"=B23)*("'Sales Entry'!H$5:H$204")),"")</f>
        <v/>
      </c>
      <c r="D23" s="5">
        <f>IFERROR(SUMPRODUCT(("'Sales Entry'!B$5:B$204"=B23)*1),"")</f>
        <v/>
      </c>
      <c r="E23" s="6">
        <f>IFERROR(C23/D23,"")</f>
        <v/>
      </c>
      <c r="F23" s="6">
        <f>IFERROR(SUMPRODUCT(("'Sales Entry'!B$5:B$204"=B23)*("'Sales Entry'!I$5:I$204"="Cash")*("'Sales Entry'!H$5:H$204")),"")</f>
        <v/>
      </c>
      <c r="G23" s="6">
        <f>IFERROR(SUMPRODUCT(("'Sales Entry'!B$5:B$204"=B23)*("'Sales Entry'!I$5:I$204"="Card")*("'Sales Entry'!H$5:H$204")),"")</f>
        <v/>
      </c>
      <c r="H23" s="6">
        <f>IFERROR(SUMPRODUCT(("'Sales Entry'!B$5:B$204"=B23)*("'Sales Entry'!I$5:I$204"="Online")*("'Sales Entry'!H$5:H$204")),"")</f>
        <v/>
      </c>
    </row>
    <row r="24" ht="22" customHeight="1">
      <c r="B24" s="7" t="n"/>
      <c r="C24" s="10">
        <f>IFERROR(SUMPRODUCT(("'Sales Entry'!B$5:B$204"=B24)*("'Sales Entry'!H$5:H$204")),"")</f>
        <v/>
      </c>
      <c r="D24" s="9">
        <f>IFERROR(SUMPRODUCT(("'Sales Entry'!B$5:B$204"=B24)*1),"")</f>
        <v/>
      </c>
      <c r="E24" s="10">
        <f>IFERROR(C24/D24,"")</f>
        <v/>
      </c>
      <c r="F24" s="10">
        <f>IFERROR(SUMPRODUCT(("'Sales Entry'!B$5:B$204"=B24)*("'Sales Entry'!I$5:I$204"="Cash")*("'Sales Entry'!H$5:H$204")),"")</f>
        <v/>
      </c>
      <c r="G24" s="10">
        <f>IFERROR(SUMPRODUCT(("'Sales Entry'!B$5:B$204"=B24)*("'Sales Entry'!I$5:I$204"="Card")*("'Sales Entry'!H$5:H$204")),"")</f>
        <v/>
      </c>
      <c r="H24" s="10">
        <f>IFERROR(SUMPRODUCT(("'Sales Entry'!B$5:B$204"=B24)*("'Sales Entry'!I$5:I$204"="Online")*("'Sales Entry'!H$5:H$204")),"")</f>
        <v/>
      </c>
    </row>
    <row r="25" ht="22" customHeight="1">
      <c r="B25" s="3" t="n"/>
      <c r="C25" s="6">
        <f>IFERROR(SUMPRODUCT(("'Sales Entry'!B$5:B$204"=B25)*("'Sales Entry'!H$5:H$204")),"")</f>
        <v/>
      </c>
      <c r="D25" s="5">
        <f>IFERROR(SUMPRODUCT(("'Sales Entry'!B$5:B$204"=B25)*1),"")</f>
        <v/>
      </c>
      <c r="E25" s="6">
        <f>IFERROR(C25/D25,"")</f>
        <v/>
      </c>
      <c r="F25" s="6">
        <f>IFERROR(SUMPRODUCT(("'Sales Entry'!B$5:B$204"=B25)*("'Sales Entry'!I$5:I$204"="Cash")*("'Sales Entry'!H$5:H$204")),"")</f>
        <v/>
      </c>
      <c r="G25" s="6">
        <f>IFERROR(SUMPRODUCT(("'Sales Entry'!B$5:B$204"=B25)*("'Sales Entry'!I$5:I$204"="Card")*("'Sales Entry'!H$5:H$204")),"")</f>
        <v/>
      </c>
      <c r="H25" s="6">
        <f>IFERROR(SUMPRODUCT(("'Sales Entry'!B$5:B$204"=B25)*("'Sales Entry'!I$5:I$204"="Online")*("'Sales Entry'!H$5:H$204")),"")</f>
        <v/>
      </c>
    </row>
    <row r="26" ht="22" customHeight="1">
      <c r="B26" s="7" t="n"/>
      <c r="C26" s="10">
        <f>IFERROR(SUMPRODUCT(("'Sales Entry'!B$5:B$204"=B26)*("'Sales Entry'!H$5:H$204")),"")</f>
        <v/>
      </c>
      <c r="D26" s="9">
        <f>IFERROR(SUMPRODUCT(("'Sales Entry'!B$5:B$204"=B26)*1),"")</f>
        <v/>
      </c>
      <c r="E26" s="10">
        <f>IFERROR(C26/D26,"")</f>
        <v/>
      </c>
      <c r="F26" s="10">
        <f>IFERROR(SUMPRODUCT(("'Sales Entry'!B$5:B$204"=B26)*("'Sales Entry'!I$5:I$204"="Cash")*("'Sales Entry'!H$5:H$204")),"")</f>
        <v/>
      </c>
      <c r="G26" s="10">
        <f>IFERROR(SUMPRODUCT(("'Sales Entry'!B$5:B$204"=B26)*("'Sales Entry'!I$5:I$204"="Card")*("'Sales Entry'!H$5:H$204")),"")</f>
        <v/>
      </c>
      <c r="H26" s="10">
        <f>IFERROR(SUMPRODUCT(("'Sales Entry'!B$5:B$204"=B26)*("'Sales Entry'!I$5:I$204"="Online")*("'Sales Entry'!H$5:H$204")),"")</f>
        <v/>
      </c>
    </row>
    <row r="27" ht="22" customHeight="1">
      <c r="B27" s="3" t="n"/>
      <c r="C27" s="6">
        <f>IFERROR(SUMPRODUCT(("'Sales Entry'!B$5:B$204"=B27)*("'Sales Entry'!H$5:H$204")),"")</f>
        <v/>
      </c>
      <c r="D27" s="5">
        <f>IFERROR(SUMPRODUCT(("'Sales Entry'!B$5:B$204"=B27)*1),"")</f>
        <v/>
      </c>
      <c r="E27" s="6">
        <f>IFERROR(C27/D27,"")</f>
        <v/>
      </c>
      <c r="F27" s="6">
        <f>IFERROR(SUMPRODUCT(("'Sales Entry'!B$5:B$204"=B27)*("'Sales Entry'!I$5:I$204"="Cash")*("'Sales Entry'!H$5:H$204")),"")</f>
        <v/>
      </c>
      <c r="G27" s="6">
        <f>IFERROR(SUMPRODUCT(("'Sales Entry'!B$5:B$204"=B27)*("'Sales Entry'!I$5:I$204"="Card")*("'Sales Entry'!H$5:H$204")),"")</f>
        <v/>
      </c>
      <c r="H27" s="6">
        <f>IFERROR(SUMPRODUCT(("'Sales Entry'!B$5:B$204"=B27)*("'Sales Entry'!I$5:I$204"="Online")*("'Sales Entry'!H$5:H$204")),"")</f>
        <v/>
      </c>
    </row>
    <row r="28" ht="22" customHeight="1">
      <c r="B28" s="7" t="n"/>
      <c r="C28" s="10">
        <f>IFERROR(SUMPRODUCT(("'Sales Entry'!B$5:B$204"=B28)*("'Sales Entry'!H$5:H$204")),"")</f>
        <v/>
      </c>
      <c r="D28" s="9">
        <f>IFERROR(SUMPRODUCT(("'Sales Entry'!B$5:B$204"=B28)*1),"")</f>
        <v/>
      </c>
      <c r="E28" s="10">
        <f>IFERROR(C28/D28,"")</f>
        <v/>
      </c>
      <c r="F28" s="10">
        <f>IFERROR(SUMPRODUCT(("'Sales Entry'!B$5:B$204"=B28)*("'Sales Entry'!I$5:I$204"="Cash")*("'Sales Entry'!H$5:H$204")),"")</f>
        <v/>
      </c>
      <c r="G28" s="10">
        <f>IFERROR(SUMPRODUCT(("'Sales Entry'!B$5:B$204"=B28)*("'Sales Entry'!I$5:I$204"="Card")*("'Sales Entry'!H$5:H$204")),"")</f>
        <v/>
      </c>
      <c r="H28" s="10">
        <f>IFERROR(SUMPRODUCT(("'Sales Entry'!B$5:B$204"=B28)*("'Sales Entry'!I$5:I$204"="Online")*("'Sales Entry'!H$5:H$204")),"")</f>
        <v/>
      </c>
    </row>
    <row r="29" ht="22" customHeight="1">
      <c r="B29" s="3" t="n"/>
      <c r="C29" s="6">
        <f>IFERROR(SUMPRODUCT(("'Sales Entry'!B$5:B$204"=B29)*("'Sales Entry'!H$5:H$204")),"")</f>
        <v/>
      </c>
      <c r="D29" s="5">
        <f>IFERROR(SUMPRODUCT(("'Sales Entry'!B$5:B$204"=B29)*1),"")</f>
        <v/>
      </c>
      <c r="E29" s="6">
        <f>IFERROR(C29/D29,"")</f>
        <v/>
      </c>
      <c r="F29" s="6">
        <f>IFERROR(SUMPRODUCT(("'Sales Entry'!B$5:B$204"=B29)*("'Sales Entry'!I$5:I$204"="Cash")*("'Sales Entry'!H$5:H$204")),"")</f>
        <v/>
      </c>
      <c r="G29" s="6">
        <f>IFERROR(SUMPRODUCT(("'Sales Entry'!B$5:B$204"=B29)*("'Sales Entry'!I$5:I$204"="Card")*("'Sales Entry'!H$5:H$204")),"")</f>
        <v/>
      </c>
      <c r="H29" s="6">
        <f>IFERROR(SUMPRODUCT(("'Sales Entry'!B$5:B$204"=B29)*("'Sales Entry'!I$5:I$204"="Online")*("'Sales Entry'!H$5:H$204")),"")</f>
        <v/>
      </c>
    </row>
    <row r="30" ht="22" customHeight="1">
      <c r="B30" s="7" t="n"/>
      <c r="C30" s="10">
        <f>IFERROR(SUMPRODUCT(("'Sales Entry'!B$5:B$204"=B30)*("'Sales Entry'!H$5:H$204")),"")</f>
        <v/>
      </c>
      <c r="D30" s="9">
        <f>IFERROR(SUMPRODUCT(("'Sales Entry'!B$5:B$204"=B30)*1),"")</f>
        <v/>
      </c>
      <c r="E30" s="10">
        <f>IFERROR(C30/D30,"")</f>
        <v/>
      </c>
      <c r="F30" s="10">
        <f>IFERROR(SUMPRODUCT(("'Sales Entry'!B$5:B$204"=B30)*("'Sales Entry'!I$5:I$204"="Cash")*("'Sales Entry'!H$5:H$204")),"")</f>
        <v/>
      </c>
      <c r="G30" s="10">
        <f>IFERROR(SUMPRODUCT(("'Sales Entry'!B$5:B$204"=B30)*("'Sales Entry'!I$5:I$204"="Card")*("'Sales Entry'!H$5:H$204")),"")</f>
        <v/>
      </c>
      <c r="H30" s="10">
        <f>IFERROR(SUMPRODUCT(("'Sales Entry'!B$5:B$204"=B30)*("'Sales Entry'!I$5:I$204"="Online")*("'Sales Entry'!H$5:H$204")),"")</f>
        <v/>
      </c>
    </row>
    <row r="31" ht="22" customHeight="1">
      <c r="B31" s="3" t="n"/>
      <c r="C31" s="6">
        <f>IFERROR(SUMPRODUCT(("'Sales Entry'!B$5:B$204"=B31)*("'Sales Entry'!H$5:H$204")),"")</f>
        <v/>
      </c>
      <c r="D31" s="5">
        <f>IFERROR(SUMPRODUCT(("'Sales Entry'!B$5:B$204"=B31)*1),"")</f>
        <v/>
      </c>
      <c r="E31" s="6">
        <f>IFERROR(C31/D31,"")</f>
        <v/>
      </c>
      <c r="F31" s="6">
        <f>IFERROR(SUMPRODUCT(("'Sales Entry'!B$5:B$204"=B31)*("'Sales Entry'!I$5:I$204"="Cash")*("'Sales Entry'!H$5:H$204")),"")</f>
        <v/>
      </c>
      <c r="G31" s="6">
        <f>IFERROR(SUMPRODUCT(("'Sales Entry'!B$5:B$204"=B31)*("'Sales Entry'!I$5:I$204"="Card")*("'Sales Entry'!H$5:H$204")),"")</f>
        <v/>
      </c>
      <c r="H31" s="6">
        <f>IFERROR(SUMPRODUCT(("'Sales Entry'!B$5:B$204"=B31)*("'Sales Entry'!I$5:I$204"="Online")*("'Sales Entry'!H$5:H$204")),"")</f>
        <v/>
      </c>
    </row>
    <row r="32" ht="22" customHeight="1">
      <c r="B32" s="7" t="n"/>
      <c r="C32" s="10">
        <f>IFERROR(SUMPRODUCT(("'Sales Entry'!B$5:B$204"=B32)*("'Sales Entry'!H$5:H$204")),"")</f>
        <v/>
      </c>
      <c r="D32" s="9">
        <f>IFERROR(SUMPRODUCT(("'Sales Entry'!B$5:B$204"=B32)*1),"")</f>
        <v/>
      </c>
      <c r="E32" s="10">
        <f>IFERROR(C32/D32,"")</f>
        <v/>
      </c>
      <c r="F32" s="10">
        <f>IFERROR(SUMPRODUCT(("'Sales Entry'!B$5:B$204"=B32)*("'Sales Entry'!I$5:I$204"="Cash")*("'Sales Entry'!H$5:H$204")),"")</f>
        <v/>
      </c>
      <c r="G32" s="10">
        <f>IFERROR(SUMPRODUCT(("'Sales Entry'!B$5:B$204"=B32)*("'Sales Entry'!I$5:I$204"="Card")*("'Sales Entry'!H$5:H$204")),"")</f>
        <v/>
      </c>
      <c r="H32" s="10">
        <f>IFERROR(SUMPRODUCT(("'Sales Entry'!B$5:B$204"=B32)*("'Sales Entry'!I$5:I$204"="Online")*("'Sales Entry'!H$5:H$204")),"")</f>
        <v/>
      </c>
    </row>
    <row r="33" ht="22" customHeight="1">
      <c r="B33" s="3" t="n"/>
      <c r="C33" s="6">
        <f>IFERROR(SUMPRODUCT(("'Sales Entry'!B$5:B$204"=B33)*("'Sales Entry'!H$5:H$204")),"")</f>
        <v/>
      </c>
      <c r="D33" s="5">
        <f>IFERROR(SUMPRODUCT(("'Sales Entry'!B$5:B$204"=B33)*1),"")</f>
        <v/>
      </c>
      <c r="E33" s="6">
        <f>IFERROR(C33/D33,"")</f>
        <v/>
      </c>
      <c r="F33" s="6">
        <f>IFERROR(SUMPRODUCT(("'Sales Entry'!B$5:B$204"=B33)*("'Sales Entry'!I$5:I$204"="Cash")*("'Sales Entry'!H$5:H$204")),"")</f>
        <v/>
      </c>
      <c r="G33" s="6">
        <f>IFERROR(SUMPRODUCT(("'Sales Entry'!B$5:B$204"=B33)*("'Sales Entry'!I$5:I$204"="Card")*("'Sales Entry'!H$5:H$204")),"")</f>
        <v/>
      </c>
      <c r="H33" s="6">
        <f>IFERROR(SUMPRODUCT(("'Sales Entry'!B$5:B$204"=B33)*("'Sales Entry'!I$5:I$204"="Online")*("'Sales Entry'!H$5:H$204")),"")</f>
        <v/>
      </c>
    </row>
    <row r="34" ht="22" customHeight="1">
      <c r="B34" s="7" t="n"/>
      <c r="C34" s="10">
        <f>IFERROR(SUMPRODUCT(("'Sales Entry'!B$5:B$204"=B34)*("'Sales Entry'!H$5:H$204")),"")</f>
        <v/>
      </c>
      <c r="D34" s="9">
        <f>IFERROR(SUMPRODUCT(("'Sales Entry'!B$5:B$204"=B34)*1),"")</f>
        <v/>
      </c>
      <c r="E34" s="10">
        <f>IFERROR(C34/D34,"")</f>
        <v/>
      </c>
      <c r="F34" s="10">
        <f>IFERROR(SUMPRODUCT(("'Sales Entry'!B$5:B$204"=B34)*("'Sales Entry'!I$5:I$204"="Cash")*("'Sales Entry'!H$5:H$204")),"")</f>
        <v/>
      </c>
      <c r="G34" s="10">
        <f>IFERROR(SUMPRODUCT(("'Sales Entry'!B$5:B$204"=B34)*("'Sales Entry'!I$5:I$204"="Card")*("'Sales Entry'!H$5:H$204")),"")</f>
        <v/>
      </c>
      <c r="H34" s="10">
        <f>IFERROR(SUMPRODUCT(("'Sales Entry'!B$5:B$204"=B34)*("'Sales Entry'!I$5:I$204"="Online")*("'Sales Entry'!H$5:H$204")),"")</f>
        <v/>
      </c>
    </row>
    <row r="35" ht="22" customHeight="1">
      <c r="B35" s="3" t="n"/>
      <c r="C35" s="6">
        <f>IFERROR(SUMPRODUCT(("'Sales Entry'!B$5:B$204"=B35)*("'Sales Entry'!H$5:H$204")),"")</f>
        <v/>
      </c>
      <c r="D35" s="5">
        <f>IFERROR(SUMPRODUCT(("'Sales Entry'!B$5:B$204"=B35)*1),"")</f>
        <v/>
      </c>
      <c r="E35" s="6">
        <f>IFERROR(C35/D35,"")</f>
        <v/>
      </c>
      <c r="F35" s="6">
        <f>IFERROR(SUMPRODUCT(("'Sales Entry'!B$5:B$204"=B35)*("'Sales Entry'!I$5:I$204"="Cash")*("'Sales Entry'!H$5:H$204")),"")</f>
        <v/>
      </c>
      <c r="G35" s="6">
        <f>IFERROR(SUMPRODUCT(("'Sales Entry'!B$5:B$204"=B35)*("'Sales Entry'!I$5:I$204"="Card")*("'Sales Entry'!H$5:H$204")),"")</f>
        <v/>
      </c>
      <c r="H35" s="6">
        <f>IFERROR(SUMPRODUCT(("'Sales Entry'!B$5:B$204"=B35)*("'Sales Entry'!I$5:I$204"="Online")*("'Sales Entry'!H$5:H$204")),"")</f>
        <v/>
      </c>
    </row>
    <row r="36" ht="26" customHeight="1">
      <c r="B36" s="11" t="inlineStr">
        <is>
          <t>TOTALS</t>
        </is>
      </c>
      <c r="C36" s="14">
        <f>IFERROR(SUM(C5:C35),"")</f>
        <v/>
      </c>
      <c r="D36" s="13">
        <f>IFERROR(SUM(D5:D35),"")</f>
        <v/>
      </c>
      <c r="E36" s="14">
        <f>IFERROR(C36/D36,"")</f>
        <v/>
      </c>
      <c r="F36" s="14">
        <f>IFERROR(SUM(F5:F35),"")</f>
        <v/>
      </c>
      <c r="G36" s="14">
        <f>IFERROR(SUM(G5:G35),"")</f>
        <v/>
      </c>
      <c r="H36" s="14">
        <f>IFERROR(SUM(H5:H35),"")</f>
        <v/>
      </c>
    </row>
  </sheetData>
  <mergeCells count="1">
    <mergeCell ref="B2:H2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tabColor rgb="00B85C1E"/>
    <outlinePr summaryBelow="1" summaryRight="1"/>
    <pageSetUpPr fitToPage="1"/>
  </sheetPr>
  <dimension ref="B2:G5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14" customWidth="1" min="3" max="3"/>
    <col width="14" customWidth="1" min="4" max="4"/>
    <col width="14" customWidth="1" min="5" max="5"/>
    <col width="8" customWidth="1" min="6" max="6"/>
    <col width="14" customWidth="1" min="7" max="7"/>
  </cols>
  <sheetData>
    <row r="1" ht="15" customHeight="1"/>
    <row r="2" ht="32" customHeight="1">
      <c r="B2" s="1" t="inlineStr">
        <is>
          <t>Weekly Summary</t>
        </is>
      </c>
    </row>
    <row r="3" ht="8" customHeight="1"/>
    <row r="4" ht="28" customHeight="1">
      <c r="B4" s="2" t="inlineStr">
        <is>
          <t>Week #</t>
        </is>
      </c>
      <c r="C4" s="2" t="inlineStr">
        <is>
          <t>Week Start Date</t>
        </is>
      </c>
      <c r="D4" s="2" t="inlineStr">
        <is>
          <t>Week End Date</t>
        </is>
      </c>
      <c r="E4" s="2" t="inlineStr">
        <is>
          <t>Total Sales</t>
        </is>
      </c>
      <c r="F4" s="2" t="inlineStr">
        <is>
          <t># Transactions</t>
        </is>
      </c>
      <c r="G4" s="2" t="inlineStr">
        <is>
          <t>Avg Transaction</t>
        </is>
      </c>
    </row>
    <row r="5" ht="22" customHeight="1">
      <c r="B5" s="5" t="n"/>
      <c r="C5" s="3" t="n"/>
      <c r="D5" s="3" t="n"/>
      <c r="E5" s="6">
        <f>IFERROR(SUMPRODUCT(("'Daily Summary'!B$5:B$35"&gt;=C5)*("'Daily Summary'!B$5:B$35"&lt;=D5)*("'Daily Summary'!C$5:C$35")),"")</f>
        <v/>
      </c>
      <c r="F5" s="5">
        <f>IFERROR(SUMPRODUCT(("'Daily Summary'!B$5:B$35"&gt;=C5)*("'Daily Summary'!B$5:B$35"&lt;=D5)*("'Daily Summary'!D$5:D$35")),"")</f>
        <v/>
      </c>
      <c r="G5" s="6">
        <f>IFERROR(E5/F5,"")</f>
        <v/>
      </c>
    </row>
    <row r="6" ht="22" customHeight="1">
      <c r="B6" s="9" t="n"/>
      <c r="C6" s="7" t="n"/>
      <c r="D6" s="7" t="n"/>
      <c r="E6" s="10">
        <f>IFERROR(SUMPRODUCT(("'Daily Summary'!B$5:B$35"&gt;=C6)*("'Daily Summary'!B$5:B$35"&lt;=D6)*("'Daily Summary'!C$5:C$35")),"")</f>
        <v/>
      </c>
      <c r="F6" s="9">
        <f>IFERROR(SUMPRODUCT(("'Daily Summary'!B$5:B$35"&gt;=C6)*("'Daily Summary'!B$5:B$35"&lt;=D6)*("'Daily Summary'!D$5:D$35")),"")</f>
        <v/>
      </c>
      <c r="G6" s="10">
        <f>IFERROR(E6/F6,"")</f>
        <v/>
      </c>
    </row>
    <row r="7" ht="22" customHeight="1">
      <c r="B7" s="5" t="n"/>
      <c r="C7" s="3" t="n"/>
      <c r="D7" s="3" t="n"/>
      <c r="E7" s="6">
        <f>IFERROR(SUMPRODUCT(("'Daily Summary'!B$5:B$35"&gt;=C7)*("'Daily Summary'!B$5:B$35"&lt;=D7)*("'Daily Summary'!C$5:C$35")),"")</f>
        <v/>
      </c>
      <c r="F7" s="5">
        <f>IFERROR(SUMPRODUCT(("'Daily Summary'!B$5:B$35"&gt;=C7)*("'Daily Summary'!B$5:B$35"&lt;=D7)*("'Daily Summary'!D$5:D$35")),"")</f>
        <v/>
      </c>
      <c r="G7" s="6">
        <f>IFERROR(E7/F7,"")</f>
        <v/>
      </c>
    </row>
    <row r="8" ht="22" customHeight="1">
      <c r="B8" s="9" t="n"/>
      <c r="C8" s="7" t="n"/>
      <c r="D8" s="7" t="n"/>
      <c r="E8" s="10">
        <f>IFERROR(SUMPRODUCT(("'Daily Summary'!B$5:B$35"&gt;=C8)*("'Daily Summary'!B$5:B$35"&lt;=D8)*("'Daily Summary'!C$5:C$35")),"")</f>
        <v/>
      </c>
      <c r="F8" s="9">
        <f>IFERROR(SUMPRODUCT(("'Daily Summary'!B$5:B$35"&gt;=C8)*("'Daily Summary'!B$5:B$35"&lt;=D8)*("'Daily Summary'!D$5:D$35")),"")</f>
        <v/>
      </c>
      <c r="G8" s="10">
        <f>IFERROR(E8/F8,"")</f>
        <v/>
      </c>
    </row>
    <row r="9" ht="22" customHeight="1">
      <c r="B9" s="5" t="n"/>
      <c r="C9" s="3" t="n"/>
      <c r="D9" s="3" t="n"/>
      <c r="E9" s="6">
        <f>IFERROR(SUMPRODUCT(("'Daily Summary'!B$5:B$35"&gt;=C9)*("'Daily Summary'!B$5:B$35"&lt;=D9)*("'Daily Summary'!C$5:C$35")),"")</f>
        <v/>
      </c>
      <c r="F9" s="5">
        <f>IFERROR(SUMPRODUCT(("'Daily Summary'!B$5:B$35"&gt;=C9)*("'Daily Summary'!B$5:B$35"&lt;=D9)*("'Daily Summary'!D$5:D$35")),"")</f>
        <v/>
      </c>
      <c r="G9" s="6">
        <f>IFERROR(E9/F9,"")</f>
        <v/>
      </c>
    </row>
    <row r="10" ht="22" customHeight="1">
      <c r="B10" s="9" t="n"/>
      <c r="C10" s="7" t="n"/>
      <c r="D10" s="7" t="n"/>
      <c r="E10" s="10">
        <f>IFERROR(SUMPRODUCT(("'Daily Summary'!B$5:B$35"&gt;=C10)*("'Daily Summary'!B$5:B$35"&lt;=D10)*("'Daily Summary'!C$5:C$35")),"")</f>
        <v/>
      </c>
      <c r="F10" s="9">
        <f>IFERROR(SUMPRODUCT(("'Daily Summary'!B$5:B$35"&gt;=C10)*("'Daily Summary'!B$5:B$35"&lt;=D10)*("'Daily Summary'!D$5:D$35")),"")</f>
        <v/>
      </c>
      <c r="G10" s="10">
        <f>IFERROR(E10/F10,"")</f>
        <v/>
      </c>
    </row>
    <row r="11" ht="22" customHeight="1">
      <c r="B11" s="5" t="n"/>
      <c r="C11" s="3" t="n"/>
      <c r="D11" s="3" t="n"/>
      <c r="E11" s="6">
        <f>IFERROR(SUMPRODUCT(("'Daily Summary'!B$5:B$35"&gt;=C11)*("'Daily Summary'!B$5:B$35"&lt;=D11)*("'Daily Summary'!C$5:C$35")),"")</f>
        <v/>
      </c>
      <c r="F11" s="5">
        <f>IFERROR(SUMPRODUCT(("'Daily Summary'!B$5:B$35"&gt;=C11)*("'Daily Summary'!B$5:B$35"&lt;=D11)*("'Daily Summary'!D$5:D$35")),"")</f>
        <v/>
      </c>
      <c r="G11" s="6">
        <f>IFERROR(E11/F11,"")</f>
        <v/>
      </c>
    </row>
    <row r="12" ht="22" customHeight="1">
      <c r="B12" s="9" t="n"/>
      <c r="C12" s="7" t="n"/>
      <c r="D12" s="7" t="n"/>
      <c r="E12" s="10">
        <f>IFERROR(SUMPRODUCT(("'Daily Summary'!B$5:B$35"&gt;=C12)*("'Daily Summary'!B$5:B$35"&lt;=D12)*("'Daily Summary'!C$5:C$35")),"")</f>
        <v/>
      </c>
      <c r="F12" s="9">
        <f>IFERROR(SUMPRODUCT(("'Daily Summary'!B$5:B$35"&gt;=C12)*("'Daily Summary'!B$5:B$35"&lt;=D12)*("'Daily Summary'!D$5:D$35")),"")</f>
        <v/>
      </c>
      <c r="G12" s="10">
        <f>IFERROR(E12/F12,"")</f>
        <v/>
      </c>
    </row>
    <row r="13" ht="22" customHeight="1">
      <c r="B13" s="5" t="n"/>
      <c r="C13" s="3" t="n"/>
      <c r="D13" s="3" t="n"/>
      <c r="E13" s="6">
        <f>IFERROR(SUMPRODUCT(("'Daily Summary'!B$5:B$35"&gt;=C13)*("'Daily Summary'!B$5:B$35"&lt;=D13)*("'Daily Summary'!C$5:C$35")),"")</f>
        <v/>
      </c>
      <c r="F13" s="5">
        <f>IFERROR(SUMPRODUCT(("'Daily Summary'!B$5:B$35"&gt;=C13)*("'Daily Summary'!B$5:B$35"&lt;=D13)*("'Daily Summary'!D$5:D$35")),"")</f>
        <v/>
      </c>
      <c r="G13" s="6">
        <f>IFERROR(E13/F13,"")</f>
        <v/>
      </c>
    </row>
    <row r="14" ht="22" customHeight="1">
      <c r="B14" s="9" t="n"/>
      <c r="C14" s="7" t="n"/>
      <c r="D14" s="7" t="n"/>
      <c r="E14" s="10">
        <f>IFERROR(SUMPRODUCT(("'Daily Summary'!B$5:B$35"&gt;=C14)*("'Daily Summary'!B$5:B$35"&lt;=D14)*("'Daily Summary'!C$5:C$35")),"")</f>
        <v/>
      </c>
      <c r="F14" s="9">
        <f>IFERROR(SUMPRODUCT(("'Daily Summary'!B$5:B$35"&gt;=C14)*("'Daily Summary'!B$5:B$35"&lt;=D14)*("'Daily Summary'!D$5:D$35")),"")</f>
        <v/>
      </c>
      <c r="G14" s="10">
        <f>IFERROR(E14/F14,"")</f>
        <v/>
      </c>
    </row>
    <row r="15" ht="22" customHeight="1">
      <c r="B15" s="5" t="n"/>
      <c r="C15" s="3" t="n"/>
      <c r="D15" s="3" t="n"/>
      <c r="E15" s="6">
        <f>IFERROR(SUMPRODUCT(("'Daily Summary'!B$5:B$35"&gt;=C15)*("'Daily Summary'!B$5:B$35"&lt;=D15)*("'Daily Summary'!C$5:C$35")),"")</f>
        <v/>
      </c>
      <c r="F15" s="5">
        <f>IFERROR(SUMPRODUCT(("'Daily Summary'!B$5:B$35"&gt;=C15)*("'Daily Summary'!B$5:B$35"&lt;=D15)*("'Daily Summary'!D$5:D$35")),"")</f>
        <v/>
      </c>
      <c r="G15" s="6">
        <f>IFERROR(E15/F15,"")</f>
        <v/>
      </c>
    </row>
    <row r="16" ht="22" customHeight="1">
      <c r="B16" s="9" t="n"/>
      <c r="C16" s="7" t="n"/>
      <c r="D16" s="7" t="n"/>
      <c r="E16" s="10">
        <f>IFERROR(SUMPRODUCT(("'Daily Summary'!B$5:B$35"&gt;=C16)*("'Daily Summary'!B$5:B$35"&lt;=D16)*("'Daily Summary'!C$5:C$35")),"")</f>
        <v/>
      </c>
      <c r="F16" s="9">
        <f>IFERROR(SUMPRODUCT(("'Daily Summary'!B$5:B$35"&gt;=C16)*("'Daily Summary'!B$5:B$35"&lt;=D16)*("'Daily Summary'!D$5:D$35")),"")</f>
        <v/>
      </c>
      <c r="G16" s="10">
        <f>IFERROR(E16/F16,"")</f>
        <v/>
      </c>
    </row>
    <row r="17" ht="22" customHeight="1">
      <c r="B17" s="5" t="n"/>
      <c r="C17" s="3" t="n"/>
      <c r="D17" s="3" t="n"/>
      <c r="E17" s="6">
        <f>IFERROR(SUMPRODUCT(("'Daily Summary'!B$5:B$35"&gt;=C17)*("'Daily Summary'!B$5:B$35"&lt;=D17)*("'Daily Summary'!C$5:C$35")),"")</f>
        <v/>
      </c>
      <c r="F17" s="5">
        <f>IFERROR(SUMPRODUCT(("'Daily Summary'!B$5:B$35"&gt;=C17)*("'Daily Summary'!B$5:B$35"&lt;=D17)*("'Daily Summary'!D$5:D$35")),"")</f>
        <v/>
      </c>
      <c r="G17" s="6">
        <f>IFERROR(E17/F17,"")</f>
        <v/>
      </c>
    </row>
    <row r="18" ht="22" customHeight="1">
      <c r="B18" s="9" t="n"/>
      <c r="C18" s="7" t="n"/>
      <c r="D18" s="7" t="n"/>
      <c r="E18" s="10">
        <f>IFERROR(SUMPRODUCT(("'Daily Summary'!B$5:B$35"&gt;=C18)*("'Daily Summary'!B$5:B$35"&lt;=D18)*("'Daily Summary'!C$5:C$35")),"")</f>
        <v/>
      </c>
      <c r="F18" s="9">
        <f>IFERROR(SUMPRODUCT(("'Daily Summary'!B$5:B$35"&gt;=C18)*("'Daily Summary'!B$5:B$35"&lt;=D18)*("'Daily Summary'!D$5:D$35")),"")</f>
        <v/>
      </c>
      <c r="G18" s="10">
        <f>IFERROR(E18/F18,"")</f>
        <v/>
      </c>
    </row>
    <row r="19" ht="22" customHeight="1">
      <c r="B19" s="5" t="n"/>
      <c r="C19" s="3" t="n"/>
      <c r="D19" s="3" t="n"/>
      <c r="E19" s="6">
        <f>IFERROR(SUMPRODUCT(("'Daily Summary'!B$5:B$35"&gt;=C19)*("'Daily Summary'!B$5:B$35"&lt;=D19)*("'Daily Summary'!C$5:C$35")),"")</f>
        <v/>
      </c>
      <c r="F19" s="5">
        <f>IFERROR(SUMPRODUCT(("'Daily Summary'!B$5:B$35"&gt;=C19)*("'Daily Summary'!B$5:B$35"&lt;=D19)*("'Daily Summary'!D$5:D$35")),"")</f>
        <v/>
      </c>
      <c r="G19" s="6">
        <f>IFERROR(E19/F19,"")</f>
        <v/>
      </c>
    </row>
    <row r="20" ht="22" customHeight="1">
      <c r="B20" s="9" t="n"/>
      <c r="C20" s="7" t="n"/>
      <c r="D20" s="7" t="n"/>
      <c r="E20" s="10">
        <f>IFERROR(SUMPRODUCT(("'Daily Summary'!B$5:B$35"&gt;=C20)*("'Daily Summary'!B$5:B$35"&lt;=D20)*("'Daily Summary'!C$5:C$35")),"")</f>
        <v/>
      </c>
      <c r="F20" s="9">
        <f>IFERROR(SUMPRODUCT(("'Daily Summary'!B$5:B$35"&gt;=C20)*("'Daily Summary'!B$5:B$35"&lt;=D20)*("'Daily Summary'!D$5:D$35")),"")</f>
        <v/>
      </c>
      <c r="G20" s="10">
        <f>IFERROR(E20/F20,"")</f>
        <v/>
      </c>
    </row>
    <row r="21" ht="22" customHeight="1">
      <c r="B21" s="5" t="n"/>
      <c r="C21" s="3" t="n"/>
      <c r="D21" s="3" t="n"/>
      <c r="E21" s="6">
        <f>IFERROR(SUMPRODUCT(("'Daily Summary'!B$5:B$35"&gt;=C21)*("'Daily Summary'!B$5:B$35"&lt;=D21)*("'Daily Summary'!C$5:C$35")),"")</f>
        <v/>
      </c>
      <c r="F21" s="5">
        <f>IFERROR(SUMPRODUCT(("'Daily Summary'!B$5:B$35"&gt;=C21)*("'Daily Summary'!B$5:B$35"&lt;=D21)*("'Daily Summary'!D$5:D$35")),"")</f>
        <v/>
      </c>
      <c r="G21" s="6">
        <f>IFERROR(E21/F21,"")</f>
        <v/>
      </c>
    </row>
    <row r="22" ht="22" customHeight="1">
      <c r="B22" s="9" t="n"/>
      <c r="C22" s="7" t="n"/>
      <c r="D22" s="7" t="n"/>
      <c r="E22" s="10">
        <f>IFERROR(SUMPRODUCT(("'Daily Summary'!B$5:B$35"&gt;=C22)*("'Daily Summary'!B$5:B$35"&lt;=D22)*("'Daily Summary'!C$5:C$35")),"")</f>
        <v/>
      </c>
      <c r="F22" s="9">
        <f>IFERROR(SUMPRODUCT(("'Daily Summary'!B$5:B$35"&gt;=C22)*("'Daily Summary'!B$5:B$35"&lt;=D22)*("'Daily Summary'!D$5:D$35")),"")</f>
        <v/>
      </c>
      <c r="G22" s="10">
        <f>IFERROR(E22/F22,"")</f>
        <v/>
      </c>
    </row>
    <row r="23" ht="22" customHeight="1">
      <c r="B23" s="5" t="n"/>
      <c r="C23" s="3" t="n"/>
      <c r="D23" s="3" t="n"/>
      <c r="E23" s="6">
        <f>IFERROR(SUMPRODUCT(("'Daily Summary'!B$5:B$35"&gt;=C23)*("'Daily Summary'!B$5:B$35"&lt;=D23)*("'Daily Summary'!C$5:C$35")),"")</f>
        <v/>
      </c>
      <c r="F23" s="5">
        <f>IFERROR(SUMPRODUCT(("'Daily Summary'!B$5:B$35"&gt;=C23)*("'Daily Summary'!B$5:B$35"&lt;=D23)*("'Daily Summary'!D$5:D$35")),"")</f>
        <v/>
      </c>
      <c r="G23" s="6">
        <f>IFERROR(E23/F23,"")</f>
        <v/>
      </c>
    </row>
    <row r="24" ht="22" customHeight="1">
      <c r="B24" s="9" t="n"/>
      <c r="C24" s="7" t="n"/>
      <c r="D24" s="7" t="n"/>
      <c r="E24" s="10">
        <f>IFERROR(SUMPRODUCT(("'Daily Summary'!B$5:B$35"&gt;=C24)*("'Daily Summary'!B$5:B$35"&lt;=D24)*("'Daily Summary'!C$5:C$35")),"")</f>
        <v/>
      </c>
      <c r="F24" s="9">
        <f>IFERROR(SUMPRODUCT(("'Daily Summary'!B$5:B$35"&gt;=C24)*("'Daily Summary'!B$5:B$35"&lt;=D24)*("'Daily Summary'!D$5:D$35")),"")</f>
        <v/>
      </c>
      <c r="G24" s="10">
        <f>IFERROR(E24/F24,"")</f>
        <v/>
      </c>
    </row>
    <row r="25" ht="22" customHeight="1">
      <c r="B25" s="5" t="n"/>
      <c r="C25" s="3" t="n"/>
      <c r="D25" s="3" t="n"/>
      <c r="E25" s="6">
        <f>IFERROR(SUMPRODUCT(("'Daily Summary'!B$5:B$35"&gt;=C25)*("'Daily Summary'!B$5:B$35"&lt;=D25)*("'Daily Summary'!C$5:C$35")),"")</f>
        <v/>
      </c>
      <c r="F25" s="5">
        <f>IFERROR(SUMPRODUCT(("'Daily Summary'!B$5:B$35"&gt;=C25)*("'Daily Summary'!B$5:B$35"&lt;=D25)*("'Daily Summary'!D$5:D$35")),"")</f>
        <v/>
      </c>
      <c r="G25" s="6">
        <f>IFERROR(E25/F25,"")</f>
        <v/>
      </c>
    </row>
    <row r="26" ht="22" customHeight="1">
      <c r="B26" s="9" t="n"/>
      <c r="C26" s="7" t="n"/>
      <c r="D26" s="7" t="n"/>
      <c r="E26" s="10">
        <f>IFERROR(SUMPRODUCT(("'Daily Summary'!B$5:B$35"&gt;=C26)*("'Daily Summary'!B$5:B$35"&lt;=D26)*("'Daily Summary'!C$5:C$35")),"")</f>
        <v/>
      </c>
      <c r="F26" s="9">
        <f>IFERROR(SUMPRODUCT(("'Daily Summary'!B$5:B$35"&gt;=C26)*("'Daily Summary'!B$5:B$35"&lt;=D26)*("'Daily Summary'!D$5:D$35")),"")</f>
        <v/>
      </c>
      <c r="G26" s="10">
        <f>IFERROR(E26/F26,"")</f>
        <v/>
      </c>
    </row>
    <row r="27" ht="22" customHeight="1">
      <c r="B27" s="5" t="n"/>
      <c r="C27" s="3" t="n"/>
      <c r="D27" s="3" t="n"/>
      <c r="E27" s="6">
        <f>IFERROR(SUMPRODUCT(("'Daily Summary'!B$5:B$35"&gt;=C27)*("'Daily Summary'!B$5:B$35"&lt;=D27)*("'Daily Summary'!C$5:C$35")),"")</f>
        <v/>
      </c>
      <c r="F27" s="5">
        <f>IFERROR(SUMPRODUCT(("'Daily Summary'!B$5:B$35"&gt;=C27)*("'Daily Summary'!B$5:B$35"&lt;=D27)*("'Daily Summary'!D$5:D$35")),"")</f>
        <v/>
      </c>
      <c r="G27" s="6">
        <f>IFERROR(E27/F27,"")</f>
        <v/>
      </c>
    </row>
    <row r="28" ht="22" customHeight="1">
      <c r="B28" s="9" t="n"/>
      <c r="C28" s="7" t="n"/>
      <c r="D28" s="7" t="n"/>
      <c r="E28" s="10">
        <f>IFERROR(SUMPRODUCT(("'Daily Summary'!B$5:B$35"&gt;=C28)*("'Daily Summary'!B$5:B$35"&lt;=D28)*("'Daily Summary'!C$5:C$35")),"")</f>
        <v/>
      </c>
      <c r="F28" s="9">
        <f>IFERROR(SUMPRODUCT(("'Daily Summary'!B$5:B$35"&gt;=C28)*("'Daily Summary'!B$5:B$35"&lt;=D28)*("'Daily Summary'!D$5:D$35")),"")</f>
        <v/>
      </c>
      <c r="G28" s="10">
        <f>IFERROR(E28/F28,"")</f>
        <v/>
      </c>
    </row>
    <row r="29" ht="22" customHeight="1">
      <c r="B29" s="5" t="n"/>
      <c r="C29" s="3" t="n"/>
      <c r="D29" s="3" t="n"/>
      <c r="E29" s="6">
        <f>IFERROR(SUMPRODUCT(("'Daily Summary'!B$5:B$35"&gt;=C29)*("'Daily Summary'!B$5:B$35"&lt;=D29)*("'Daily Summary'!C$5:C$35")),"")</f>
        <v/>
      </c>
      <c r="F29" s="5">
        <f>IFERROR(SUMPRODUCT(("'Daily Summary'!B$5:B$35"&gt;=C29)*("'Daily Summary'!B$5:B$35"&lt;=D29)*("'Daily Summary'!D$5:D$35")),"")</f>
        <v/>
      </c>
      <c r="G29" s="6">
        <f>IFERROR(E29/F29,"")</f>
        <v/>
      </c>
    </row>
    <row r="30" ht="22" customHeight="1">
      <c r="B30" s="9" t="n"/>
      <c r="C30" s="7" t="n"/>
      <c r="D30" s="7" t="n"/>
      <c r="E30" s="10">
        <f>IFERROR(SUMPRODUCT(("'Daily Summary'!B$5:B$35"&gt;=C30)*("'Daily Summary'!B$5:B$35"&lt;=D30)*("'Daily Summary'!C$5:C$35")),"")</f>
        <v/>
      </c>
      <c r="F30" s="9">
        <f>IFERROR(SUMPRODUCT(("'Daily Summary'!B$5:B$35"&gt;=C30)*("'Daily Summary'!B$5:B$35"&lt;=D30)*("'Daily Summary'!D$5:D$35")),"")</f>
        <v/>
      </c>
      <c r="G30" s="10">
        <f>IFERROR(E30/F30,"")</f>
        <v/>
      </c>
    </row>
    <row r="31" ht="22" customHeight="1">
      <c r="B31" s="5" t="n"/>
      <c r="C31" s="3" t="n"/>
      <c r="D31" s="3" t="n"/>
      <c r="E31" s="6">
        <f>IFERROR(SUMPRODUCT(("'Daily Summary'!B$5:B$35"&gt;=C31)*("'Daily Summary'!B$5:B$35"&lt;=D31)*("'Daily Summary'!C$5:C$35")),"")</f>
        <v/>
      </c>
      <c r="F31" s="5">
        <f>IFERROR(SUMPRODUCT(("'Daily Summary'!B$5:B$35"&gt;=C31)*("'Daily Summary'!B$5:B$35"&lt;=D31)*("'Daily Summary'!D$5:D$35")),"")</f>
        <v/>
      </c>
      <c r="G31" s="6">
        <f>IFERROR(E31/F31,"")</f>
        <v/>
      </c>
    </row>
    <row r="32" ht="22" customHeight="1">
      <c r="B32" s="9" t="n"/>
      <c r="C32" s="7" t="n"/>
      <c r="D32" s="7" t="n"/>
      <c r="E32" s="10">
        <f>IFERROR(SUMPRODUCT(("'Daily Summary'!B$5:B$35"&gt;=C32)*("'Daily Summary'!B$5:B$35"&lt;=D32)*("'Daily Summary'!C$5:C$35")),"")</f>
        <v/>
      </c>
      <c r="F32" s="9">
        <f>IFERROR(SUMPRODUCT(("'Daily Summary'!B$5:B$35"&gt;=C32)*("'Daily Summary'!B$5:B$35"&lt;=D32)*("'Daily Summary'!D$5:D$35")),"")</f>
        <v/>
      </c>
      <c r="G32" s="10">
        <f>IFERROR(E32/F32,"")</f>
        <v/>
      </c>
    </row>
    <row r="33" ht="22" customHeight="1">
      <c r="B33" s="5" t="n"/>
      <c r="C33" s="3" t="n"/>
      <c r="D33" s="3" t="n"/>
      <c r="E33" s="6">
        <f>IFERROR(SUMPRODUCT(("'Daily Summary'!B$5:B$35"&gt;=C33)*("'Daily Summary'!B$5:B$35"&lt;=D33)*("'Daily Summary'!C$5:C$35")),"")</f>
        <v/>
      </c>
      <c r="F33" s="5">
        <f>IFERROR(SUMPRODUCT(("'Daily Summary'!B$5:B$35"&gt;=C33)*("'Daily Summary'!B$5:B$35"&lt;=D33)*("'Daily Summary'!D$5:D$35")),"")</f>
        <v/>
      </c>
      <c r="G33" s="6">
        <f>IFERROR(E33/F33,"")</f>
        <v/>
      </c>
    </row>
    <row r="34" ht="22" customHeight="1">
      <c r="B34" s="9" t="n"/>
      <c r="C34" s="7" t="n"/>
      <c r="D34" s="7" t="n"/>
      <c r="E34" s="10">
        <f>IFERROR(SUMPRODUCT(("'Daily Summary'!B$5:B$35"&gt;=C34)*("'Daily Summary'!B$5:B$35"&lt;=D34)*("'Daily Summary'!C$5:C$35")),"")</f>
        <v/>
      </c>
      <c r="F34" s="9">
        <f>IFERROR(SUMPRODUCT(("'Daily Summary'!B$5:B$35"&gt;=C34)*("'Daily Summary'!B$5:B$35"&lt;=D34)*("'Daily Summary'!D$5:D$35")),"")</f>
        <v/>
      </c>
      <c r="G34" s="10">
        <f>IFERROR(E34/F34,"")</f>
        <v/>
      </c>
    </row>
    <row r="35" ht="22" customHeight="1">
      <c r="B35" s="5" t="n"/>
      <c r="C35" s="3" t="n"/>
      <c r="D35" s="3" t="n"/>
      <c r="E35" s="6">
        <f>IFERROR(SUMPRODUCT(("'Daily Summary'!B$5:B$35"&gt;=C35)*("'Daily Summary'!B$5:B$35"&lt;=D35)*("'Daily Summary'!C$5:C$35")),"")</f>
        <v/>
      </c>
      <c r="F35" s="5">
        <f>IFERROR(SUMPRODUCT(("'Daily Summary'!B$5:B$35"&gt;=C35)*("'Daily Summary'!B$5:B$35"&lt;=D35)*("'Daily Summary'!D$5:D$35")),"")</f>
        <v/>
      </c>
      <c r="G35" s="6">
        <f>IFERROR(E35/F35,"")</f>
        <v/>
      </c>
    </row>
    <row r="36" ht="22" customHeight="1">
      <c r="B36" s="9" t="n"/>
      <c r="C36" s="7" t="n"/>
      <c r="D36" s="7" t="n"/>
      <c r="E36" s="10">
        <f>IFERROR(SUMPRODUCT(("'Daily Summary'!B$5:B$35"&gt;=C36)*("'Daily Summary'!B$5:B$35"&lt;=D36)*("'Daily Summary'!C$5:C$35")),"")</f>
        <v/>
      </c>
      <c r="F36" s="9">
        <f>IFERROR(SUMPRODUCT(("'Daily Summary'!B$5:B$35"&gt;=C36)*("'Daily Summary'!B$5:B$35"&lt;=D36)*("'Daily Summary'!D$5:D$35")),"")</f>
        <v/>
      </c>
      <c r="G36" s="10">
        <f>IFERROR(E36/F36,"")</f>
        <v/>
      </c>
    </row>
    <row r="37" ht="22" customHeight="1">
      <c r="B37" s="5" t="n"/>
      <c r="C37" s="3" t="n"/>
      <c r="D37" s="3" t="n"/>
      <c r="E37" s="6">
        <f>IFERROR(SUMPRODUCT(("'Daily Summary'!B$5:B$35"&gt;=C37)*("'Daily Summary'!B$5:B$35"&lt;=D37)*("'Daily Summary'!C$5:C$35")),"")</f>
        <v/>
      </c>
      <c r="F37" s="5">
        <f>IFERROR(SUMPRODUCT(("'Daily Summary'!B$5:B$35"&gt;=C37)*("'Daily Summary'!B$5:B$35"&lt;=D37)*("'Daily Summary'!D$5:D$35")),"")</f>
        <v/>
      </c>
      <c r="G37" s="6">
        <f>IFERROR(E37/F37,"")</f>
        <v/>
      </c>
    </row>
    <row r="38" ht="22" customHeight="1">
      <c r="B38" s="9" t="n"/>
      <c r="C38" s="7" t="n"/>
      <c r="D38" s="7" t="n"/>
      <c r="E38" s="10">
        <f>IFERROR(SUMPRODUCT(("'Daily Summary'!B$5:B$35"&gt;=C38)*("'Daily Summary'!B$5:B$35"&lt;=D38)*("'Daily Summary'!C$5:C$35")),"")</f>
        <v/>
      </c>
      <c r="F38" s="9">
        <f>IFERROR(SUMPRODUCT(("'Daily Summary'!B$5:B$35"&gt;=C38)*("'Daily Summary'!B$5:B$35"&lt;=D38)*("'Daily Summary'!D$5:D$35")),"")</f>
        <v/>
      </c>
      <c r="G38" s="10">
        <f>IFERROR(E38/F38,"")</f>
        <v/>
      </c>
    </row>
    <row r="39" ht="22" customHeight="1">
      <c r="B39" s="5" t="n"/>
      <c r="C39" s="3" t="n"/>
      <c r="D39" s="3" t="n"/>
      <c r="E39" s="6">
        <f>IFERROR(SUMPRODUCT(("'Daily Summary'!B$5:B$35"&gt;=C39)*("'Daily Summary'!B$5:B$35"&lt;=D39)*("'Daily Summary'!C$5:C$35")),"")</f>
        <v/>
      </c>
      <c r="F39" s="5">
        <f>IFERROR(SUMPRODUCT(("'Daily Summary'!B$5:B$35"&gt;=C39)*("'Daily Summary'!B$5:B$35"&lt;=D39)*("'Daily Summary'!D$5:D$35")),"")</f>
        <v/>
      </c>
      <c r="G39" s="6">
        <f>IFERROR(E39/F39,"")</f>
        <v/>
      </c>
    </row>
    <row r="40" ht="22" customHeight="1">
      <c r="B40" s="9" t="n"/>
      <c r="C40" s="7" t="n"/>
      <c r="D40" s="7" t="n"/>
      <c r="E40" s="10">
        <f>IFERROR(SUMPRODUCT(("'Daily Summary'!B$5:B$35"&gt;=C40)*("'Daily Summary'!B$5:B$35"&lt;=D40)*("'Daily Summary'!C$5:C$35")),"")</f>
        <v/>
      </c>
      <c r="F40" s="9">
        <f>IFERROR(SUMPRODUCT(("'Daily Summary'!B$5:B$35"&gt;=C40)*("'Daily Summary'!B$5:B$35"&lt;=D40)*("'Daily Summary'!D$5:D$35")),"")</f>
        <v/>
      </c>
      <c r="G40" s="10">
        <f>IFERROR(E40/F40,"")</f>
        <v/>
      </c>
    </row>
    <row r="41" ht="22" customHeight="1">
      <c r="B41" s="5" t="n"/>
      <c r="C41" s="3" t="n"/>
      <c r="D41" s="3" t="n"/>
      <c r="E41" s="6">
        <f>IFERROR(SUMPRODUCT(("'Daily Summary'!B$5:B$35"&gt;=C41)*("'Daily Summary'!B$5:B$35"&lt;=D41)*("'Daily Summary'!C$5:C$35")),"")</f>
        <v/>
      </c>
      <c r="F41" s="5">
        <f>IFERROR(SUMPRODUCT(("'Daily Summary'!B$5:B$35"&gt;=C41)*("'Daily Summary'!B$5:B$35"&lt;=D41)*("'Daily Summary'!D$5:D$35")),"")</f>
        <v/>
      </c>
      <c r="G41" s="6">
        <f>IFERROR(E41/F41,"")</f>
        <v/>
      </c>
    </row>
    <row r="42" ht="22" customHeight="1">
      <c r="B42" s="9" t="n"/>
      <c r="C42" s="7" t="n"/>
      <c r="D42" s="7" t="n"/>
      <c r="E42" s="10">
        <f>IFERROR(SUMPRODUCT(("'Daily Summary'!B$5:B$35"&gt;=C42)*("'Daily Summary'!B$5:B$35"&lt;=D42)*("'Daily Summary'!C$5:C$35")),"")</f>
        <v/>
      </c>
      <c r="F42" s="9">
        <f>IFERROR(SUMPRODUCT(("'Daily Summary'!B$5:B$35"&gt;=C42)*("'Daily Summary'!B$5:B$35"&lt;=D42)*("'Daily Summary'!D$5:D$35")),"")</f>
        <v/>
      </c>
      <c r="G42" s="10">
        <f>IFERROR(E42/F42,"")</f>
        <v/>
      </c>
    </row>
    <row r="43" ht="22" customHeight="1">
      <c r="B43" s="5" t="n"/>
      <c r="C43" s="3" t="n"/>
      <c r="D43" s="3" t="n"/>
      <c r="E43" s="6">
        <f>IFERROR(SUMPRODUCT(("'Daily Summary'!B$5:B$35"&gt;=C43)*("'Daily Summary'!B$5:B$35"&lt;=D43)*("'Daily Summary'!C$5:C$35")),"")</f>
        <v/>
      </c>
      <c r="F43" s="5">
        <f>IFERROR(SUMPRODUCT(("'Daily Summary'!B$5:B$35"&gt;=C43)*("'Daily Summary'!B$5:B$35"&lt;=D43)*("'Daily Summary'!D$5:D$35")),"")</f>
        <v/>
      </c>
      <c r="G43" s="6">
        <f>IFERROR(E43/F43,"")</f>
        <v/>
      </c>
    </row>
    <row r="44" ht="22" customHeight="1">
      <c r="B44" s="9" t="n"/>
      <c r="C44" s="7" t="n"/>
      <c r="D44" s="7" t="n"/>
      <c r="E44" s="10">
        <f>IFERROR(SUMPRODUCT(("'Daily Summary'!B$5:B$35"&gt;=C44)*("'Daily Summary'!B$5:B$35"&lt;=D44)*("'Daily Summary'!C$5:C$35")),"")</f>
        <v/>
      </c>
      <c r="F44" s="9">
        <f>IFERROR(SUMPRODUCT(("'Daily Summary'!B$5:B$35"&gt;=C44)*("'Daily Summary'!B$5:B$35"&lt;=D44)*("'Daily Summary'!D$5:D$35")),"")</f>
        <v/>
      </c>
      <c r="G44" s="10">
        <f>IFERROR(E44/F44,"")</f>
        <v/>
      </c>
    </row>
    <row r="45" ht="22" customHeight="1">
      <c r="B45" s="5" t="n"/>
      <c r="C45" s="3" t="n"/>
      <c r="D45" s="3" t="n"/>
      <c r="E45" s="6">
        <f>IFERROR(SUMPRODUCT(("'Daily Summary'!B$5:B$35"&gt;=C45)*("'Daily Summary'!B$5:B$35"&lt;=D45)*("'Daily Summary'!C$5:C$35")),"")</f>
        <v/>
      </c>
      <c r="F45" s="5">
        <f>IFERROR(SUMPRODUCT(("'Daily Summary'!B$5:B$35"&gt;=C45)*("'Daily Summary'!B$5:B$35"&lt;=D45)*("'Daily Summary'!D$5:D$35")),"")</f>
        <v/>
      </c>
      <c r="G45" s="6">
        <f>IFERROR(E45/F45,"")</f>
        <v/>
      </c>
    </row>
    <row r="46" ht="22" customHeight="1">
      <c r="B46" s="9" t="n"/>
      <c r="C46" s="7" t="n"/>
      <c r="D46" s="7" t="n"/>
      <c r="E46" s="10">
        <f>IFERROR(SUMPRODUCT(("'Daily Summary'!B$5:B$35"&gt;=C46)*("'Daily Summary'!B$5:B$35"&lt;=D46)*("'Daily Summary'!C$5:C$35")),"")</f>
        <v/>
      </c>
      <c r="F46" s="9">
        <f>IFERROR(SUMPRODUCT(("'Daily Summary'!B$5:B$35"&gt;=C46)*("'Daily Summary'!B$5:B$35"&lt;=D46)*("'Daily Summary'!D$5:D$35")),"")</f>
        <v/>
      </c>
      <c r="G46" s="10">
        <f>IFERROR(E46/F46,"")</f>
        <v/>
      </c>
    </row>
    <row r="47" ht="22" customHeight="1">
      <c r="B47" s="5" t="n"/>
      <c r="C47" s="3" t="n"/>
      <c r="D47" s="3" t="n"/>
      <c r="E47" s="6">
        <f>IFERROR(SUMPRODUCT(("'Daily Summary'!B$5:B$35"&gt;=C47)*("'Daily Summary'!B$5:B$35"&lt;=D47)*("'Daily Summary'!C$5:C$35")),"")</f>
        <v/>
      </c>
      <c r="F47" s="5">
        <f>IFERROR(SUMPRODUCT(("'Daily Summary'!B$5:B$35"&gt;=C47)*("'Daily Summary'!B$5:B$35"&lt;=D47)*("'Daily Summary'!D$5:D$35")),"")</f>
        <v/>
      </c>
      <c r="G47" s="6">
        <f>IFERROR(E47/F47,"")</f>
        <v/>
      </c>
    </row>
    <row r="48" ht="22" customHeight="1">
      <c r="B48" s="9" t="n"/>
      <c r="C48" s="7" t="n"/>
      <c r="D48" s="7" t="n"/>
      <c r="E48" s="10">
        <f>IFERROR(SUMPRODUCT(("'Daily Summary'!B$5:B$35"&gt;=C48)*("'Daily Summary'!B$5:B$35"&lt;=D48)*("'Daily Summary'!C$5:C$35")),"")</f>
        <v/>
      </c>
      <c r="F48" s="9">
        <f>IFERROR(SUMPRODUCT(("'Daily Summary'!B$5:B$35"&gt;=C48)*("'Daily Summary'!B$5:B$35"&lt;=D48)*("'Daily Summary'!D$5:D$35")),"")</f>
        <v/>
      </c>
      <c r="G48" s="10">
        <f>IFERROR(E48/F48,"")</f>
        <v/>
      </c>
    </row>
    <row r="49" ht="22" customHeight="1">
      <c r="B49" s="5" t="n"/>
      <c r="C49" s="3" t="n"/>
      <c r="D49" s="3" t="n"/>
      <c r="E49" s="6">
        <f>IFERROR(SUMPRODUCT(("'Daily Summary'!B$5:B$35"&gt;=C49)*("'Daily Summary'!B$5:B$35"&lt;=D49)*("'Daily Summary'!C$5:C$35")),"")</f>
        <v/>
      </c>
      <c r="F49" s="5">
        <f>IFERROR(SUMPRODUCT(("'Daily Summary'!B$5:B$35"&gt;=C49)*("'Daily Summary'!B$5:B$35"&lt;=D49)*("'Daily Summary'!D$5:D$35")),"")</f>
        <v/>
      </c>
      <c r="G49" s="6">
        <f>IFERROR(E49/F49,"")</f>
        <v/>
      </c>
    </row>
    <row r="50" ht="22" customHeight="1">
      <c r="B50" s="9" t="n"/>
      <c r="C50" s="7" t="n"/>
      <c r="D50" s="7" t="n"/>
      <c r="E50" s="10">
        <f>IFERROR(SUMPRODUCT(("'Daily Summary'!B$5:B$35"&gt;=C50)*("'Daily Summary'!B$5:B$35"&lt;=D50)*("'Daily Summary'!C$5:C$35")),"")</f>
        <v/>
      </c>
      <c r="F50" s="9">
        <f>IFERROR(SUMPRODUCT(("'Daily Summary'!B$5:B$35"&gt;=C50)*("'Daily Summary'!B$5:B$35"&lt;=D50)*("'Daily Summary'!D$5:D$35")),"")</f>
        <v/>
      </c>
      <c r="G50" s="10">
        <f>IFERROR(E50/F50,"")</f>
        <v/>
      </c>
    </row>
    <row r="51" ht="22" customHeight="1">
      <c r="B51" s="5" t="n"/>
      <c r="C51" s="3" t="n"/>
      <c r="D51" s="3" t="n"/>
      <c r="E51" s="6">
        <f>IFERROR(SUMPRODUCT(("'Daily Summary'!B$5:B$35"&gt;=C51)*("'Daily Summary'!B$5:B$35"&lt;=D51)*("'Daily Summary'!C$5:C$35")),"")</f>
        <v/>
      </c>
      <c r="F51" s="5">
        <f>IFERROR(SUMPRODUCT(("'Daily Summary'!B$5:B$35"&gt;=C51)*("'Daily Summary'!B$5:B$35"&lt;=D51)*("'Daily Summary'!D$5:D$35")),"")</f>
        <v/>
      </c>
      <c r="G51" s="6">
        <f>IFERROR(E51/F51,"")</f>
        <v/>
      </c>
    </row>
    <row r="52" ht="22" customHeight="1">
      <c r="B52" s="9" t="n"/>
      <c r="C52" s="7" t="n"/>
      <c r="D52" s="7" t="n"/>
      <c r="E52" s="10">
        <f>IFERROR(SUMPRODUCT(("'Daily Summary'!B$5:B$35"&gt;=C52)*("'Daily Summary'!B$5:B$35"&lt;=D52)*("'Daily Summary'!C$5:C$35")),"")</f>
        <v/>
      </c>
      <c r="F52" s="9">
        <f>IFERROR(SUMPRODUCT(("'Daily Summary'!B$5:B$35"&gt;=C52)*("'Daily Summary'!B$5:B$35"&lt;=D52)*("'Daily Summary'!D$5:D$35")),"")</f>
        <v/>
      </c>
      <c r="G52" s="10">
        <f>IFERROR(E52/F52,"")</f>
        <v/>
      </c>
    </row>
    <row r="53" ht="22" customHeight="1">
      <c r="B53" s="5" t="n"/>
      <c r="C53" s="3" t="n"/>
      <c r="D53" s="3" t="n"/>
      <c r="E53" s="6">
        <f>IFERROR(SUMPRODUCT(("'Daily Summary'!B$5:B$35"&gt;=C53)*("'Daily Summary'!B$5:B$35"&lt;=D53)*("'Daily Summary'!C$5:C$35")),"")</f>
        <v/>
      </c>
      <c r="F53" s="5">
        <f>IFERROR(SUMPRODUCT(("'Daily Summary'!B$5:B$35"&gt;=C53)*("'Daily Summary'!B$5:B$35"&lt;=D53)*("'Daily Summary'!D$5:D$35")),"")</f>
        <v/>
      </c>
      <c r="G53" s="6">
        <f>IFERROR(E53/F53,"")</f>
        <v/>
      </c>
    </row>
    <row r="54" ht="22" customHeight="1">
      <c r="B54" s="9" t="n"/>
      <c r="C54" s="7" t="n"/>
      <c r="D54" s="7" t="n"/>
      <c r="E54" s="10">
        <f>IFERROR(SUMPRODUCT(("'Daily Summary'!B$5:B$35"&gt;=C54)*("'Daily Summary'!B$5:B$35"&lt;=D54)*("'Daily Summary'!C$5:C$35")),"")</f>
        <v/>
      </c>
      <c r="F54" s="9">
        <f>IFERROR(SUMPRODUCT(("'Daily Summary'!B$5:B$35"&gt;=C54)*("'Daily Summary'!B$5:B$35"&lt;=D54)*("'Daily Summary'!D$5:D$35")),"")</f>
        <v/>
      </c>
      <c r="G54" s="10">
        <f>IFERROR(E54/F54,"")</f>
        <v/>
      </c>
    </row>
    <row r="55" ht="22" customHeight="1">
      <c r="B55" s="5" t="n"/>
      <c r="C55" s="3" t="n"/>
      <c r="D55" s="3" t="n"/>
      <c r="E55" s="6">
        <f>IFERROR(SUMPRODUCT(("'Daily Summary'!B$5:B$35"&gt;=C55)*("'Daily Summary'!B$5:B$35"&lt;=D55)*("'Daily Summary'!C$5:C$35")),"")</f>
        <v/>
      </c>
      <c r="F55" s="5">
        <f>IFERROR(SUMPRODUCT(("'Daily Summary'!B$5:B$35"&gt;=C55)*("'Daily Summary'!B$5:B$35"&lt;=D55)*("'Daily Summary'!D$5:D$35")),"")</f>
        <v/>
      </c>
      <c r="G55" s="6">
        <f>IFERROR(E55/F55,"")</f>
        <v/>
      </c>
    </row>
    <row r="56" ht="22" customHeight="1">
      <c r="B56" s="9" t="n"/>
      <c r="C56" s="7" t="n"/>
      <c r="D56" s="7" t="n"/>
      <c r="E56" s="10">
        <f>IFERROR(SUMPRODUCT(("'Daily Summary'!B$5:B$35"&gt;=C56)*("'Daily Summary'!B$5:B$35"&lt;=D56)*("'Daily Summary'!C$5:C$35")),"")</f>
        <v/>
      </c>
      <c r="F56" s="9">
        <f>IFERROR(SUMPRODUCT(("'Daily Summary'!B$5:B$35"&gt;=C56)*("'Daily Summary'!B$5:B$35"&lt;=D56)*("'Daily Summary'!D$5:D$35")),"")</f>
        <v/>
      </c>
      <c r="G56" s="10">
        <f>IFERROR(E56/F56,"")</f>
        <v/>
      </c>
    </row>
    <row r="57" ht="26" customHeight="1">
      <c r="B57" s="11" t="inlineStr">
        <is>
          <t>TOTALS</t>
        </is>
      </c>
      <c r="C57" s="12" t="n"/>
      <c r="D57" s="12" t="n"/>
      <c r="E57" s="14">
        <f>IFERROR(SUM(E5:E56),"")</f>
        <v/>
      </c>
      <c r="F57" s="13">
        <f>IFERROR(SUM(F5:F56),"")</f>
        <v/>
      </c>
      <c r="G57" s="14">
        <f>IFERROR(E57/F57,"")</f>
        <v/>
      </c>
    </row>
  </sheetData>
  <mergeCells count="1">
    <mergeCell ref="B2:G2"/>
  </mergeCell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tabColor rgb="00B85C1E"/>
    <outlinePr summaryBelow="1" summaryRight="1"/>
    <pageSetUpPr fitToPage="1"/>
  </sheetPr>
  <dimension ref="B2:G1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14" customWidth="1" min="5" max="5"/>
    <col width="14" customWidth="1" min="6" max="6"/>
    <col width="14" customWidth="1" min="7" max="7"/>
  </cols>
  <sheetData>
    <row r="1" ht="15" customHeight="1"/>
    <row r="2" ht="32" customHeight="1">
      <c r="B2" s="1" t="inlineStr">
        <is>
          <t>Monthly Summary</t>
        </is>
      </c>
    </row>
    <row r="3" ht="8" customHeight="1"/>
    <row r="4" ht="28" customHeight="1">
      <c r="B4" s="2" t="inlineStr">
        <is>
          <t>Month</t>
        </is>
      </c>
      <c r="C4" s="2" t="inlineStr">
        <is>
          <t>Total Sales</t>
        </is>
      </c>
      <c r="D4" s="2" t="inlineStr">
        <is>
          <t># Transactions</t>
        </is>
      </c>
      <c r="E4" s="2" t="inlineStr">
        <is>
          <t>Avg Transaction</t>
        </is>
      </c>
      <c r="F4" s="2" t="inlineStr">
        <is>
          <t>Best Day Sales</t>
        </is>
      </c>
      <c r="G4" s="2" t="inlineStr">
        <is>
          <t>Best Day Date</t>
        </is>
      </c>
    </row>
    <row r="5" ht="22" customHeight="1">
      <c r="B5" s="4" t="inlineStr">
        <is>
          <t>January</t>
        </is>
      </c>
      <c r="C5" s="6">
        <f>IFERROR(SUMPRODUCT((MONTH("'Daily Summary'!B$5:B$35")=1)*("'Daily Summary'!C$5:C$35")),"")</f>
        <v/>
      </c>
      <c r="D5" s="5">
        <f>IFERROR(SUMPRODUCT((MONTH("'Daily Summary'!B$5:B$35")=1)*("'Daily Summary'!D$5:D$35")),"")</f>
        <v/>
      </c>
      <c r="E5" s="6">
        <f>IFERROR(C5/D5,"")</f>
        <v/>
      </c>
      <c r="F5" s="6">
        <f>IFERROR(MAX((MONTH("'Daily Summary'!B$5:B$35")=1)*("'Daily Summary'!C$5:C$35")),"")</f>
        <v/>
      </c>
      <c r="G5" s="3">
        <f>IFERROR(SUMPRODUCT((MONTH("'Daily Summary'!B$5:B$35")=1)*("'Daily Summary'!C$5:C$35"=F5)*("'Daily Summary'!B$5:B$35")),"")</f>
        <v/>
      </c>
    </row>
    <row r="6" ht="22" customHeight="1">
      <c r="B6" s="8" t="inlineStr">
        <is>
          <t>February</t>
        </is>
      </c>
      <c r="C6" s="10">
        <f>IFERROR(SUMPRODUCT((MONTH("'Daily Summary'!B$5:B$35")=2)*("'Daily Summary'!C$5:C$35")),"")</f>
        <v/>
      </c>
      <c r="D6" s="9">
        <f>IFERROR(SUMPRODUCT((MONTH("'Daily Summary'!B$5:B$35")=2)*("'Daily Summary'!D$5:D$35")),"")</f>
        <v/>
      </c>
      <c r="E6" s="10">
        <f>IFERROR(C6/D6,"")</f>
        <v/>
      </c>
      <c r="F6" s="10">
        <f>IFERROR(MAX((MONTH("'Daily Summary'!B$5:B$35")=2)*("'Daily Summary'!C$5:C$35")),"")</f>
        <v/>
      </c>
      <c r="G6" s="7">
        <f>IFERROR(SUMPRODUCT((MONTH("'Daily Summary'!B$5:B$35")=2)*("'Daily Summary'!C$5:C$35"=F6)*("'Daily Summary'!B$5:B$35")),"")</f>
        <v/>
      </c>
    </row>
    <row r="7" ht="22" customHeight="1">
      <c r="B7" s="4" t="inlineStr">
        <is>
          <t>March</t>
        </is>
      </c>
      <c r="C7" s="6">
        <f>IFERROR(SUMPRODUCT((MONTH("'Daily Summary'!B$5:B$35")=3)*("'Daily Summary'!C$5:C$35")),"")</f>
        <v/>
      </c>
      <c r="D7" s="5">
        <f>IFERROR(SUMPRODUCT((MONTH("'Daily Summary'!B$5:B$35")=3)*("'Daily Summary'!D$5:D$35")),"")</f>
        <v/>
      </c>
      <c r="E7" s="6">
        <f>IFERROR(C7/D7,"")</f>
        <v/>
      </c>
      <c r="F7" s="6">
        <f>IFERROR(MAX((MONTH("'Daily Summary'!B$5:B$35")=3)*("'Daily Summary'!C$5:C$35")),"")</f>
        <v/>
      </c>
      <c r="G7" s="3">
        <f>IFERROR(SUMPRODUCT((MONTH("'Daily Summary'!B$5:B$35")=3)*("'Daily Summary'!C$5:C$35"=F7)*("'Daily Summary'!B$5:B$35")),"")</f>
        <v/>
      </c>
    </row>
    <row r="8" ht="22" customHeight="1">
      <c r="B8" s="8" t="inlineStr">
        <is>
          <t>April</t>
        </is>
      </c>
      <c r="C8" s="10">
        <f>IFERROR(SUMPRODUCT((MONTH("'Daily Summary'!B$5:B$35")=4)*("'Daily Summary'!C$5:C$35")),"")</f>
        <v/>
      </c>
      <c r="D8" s="9">
        <f>IFERROR(SUMPRODUCT((MONTH("'Daily Summary'!B$5:B$35")=4)*("'Daily Summary'!D$5:D$35")),"")</f>
        <v/>
      </c>
      <c r="E8" s="10">
        <f>IFERROR(C8/D8,"")</f>
        <v/>
      </c>
      <c r="F8" s="10">
        <f>IFERROR(MAX((MONTH("'Daily Summary'!B$5:B$35")=4)*("'Daily Summary'!C$5:C$35")),"")</f>
        <v/>
      </c>
      <c r="G8" s="7">
        <f>IFERROR(SUMPRODUCT((MONTH("'Daily Summary'!B$5:B$35")=4)*("'Daily Summary'!C$5:C$35"=F8)*("'Daily Summary'!B$5:B$35")),"")</f>
        <v/>
      </c>
    </row>
    <row r="9" ht="22" customHeight="1">
      <c r="B9" s="4" t="inlineStr">
        <is>
          <t>May</t>
        </is>
      </c>
      <c r="C9" s="6">
        <f>IFERROR(SUMPRODUCT((MONTH("'Daily Summary'!B$5:B$35")=5)*("'Daily Summary'!C$5:C$35")),"")</f>
        <v/>
      </c>
      <c r="D9" s="5">
        <f>IFERROR(SUMPRODUCT((MONTH("'Daily Summary'!B$5:B$35")=5)*("'Daily Summary'!D$5:D$35")),"")</f>
        <v/>
      </c>
      <c r="E9" s="6">
        <f>IFERROR(C9/D9,"")</f>
        <v/>
      </c>
      <c r="F9" s="6">
        <f>IFERROR(MAX((MONTH("'Daily Summary'!B$5:B$35")=5)*("'Daily Summary'!C$5:C$35")),"")</f>
        <v/>
      </c>
      <c r="G9" s="3">
        <f>IFERROR(SUMPRODUCT((MONTH("'Daily Summary'!B$5:B$35")=5)*("'Daily Summary'!C$5:C$35"=F9)*("'Daily Summary'!B$5:B$35")),"")</f>
        <v/>
      </c>
    </row>
    <row r="10" ht="22" customHeight="1">
      <c r="B10" s="8" t="inlineStr">
        <is>
          <t>June</t>
        </is>
      </c>
      <c r="C10" s="10">
        <f>IFERROR(SUMPRODUCT((MONTH("'Daily Summary'!B$5:B$35")=6)*("'Daily Summary'!C$5:C$35")),"")</f>
        <v/>
      </c>
      <c r="D10" s="9">
        <f>IFERROR(SUMPRODUCT((MONTH("'Daily Summary'!B$5:B$35")=6)*("'Daily Summary'!D$5:D$35")),"")</f>
        <v/>
      </c>
      <c r="E10" s="10">
        <f>IFERROR(C10/D10,"")</f>
        <v/>
      </c>
      <c r="F10" s="10">
        <f>IFERROR(MAX((MONTH("'Daily Summary'!B$5:B$35")=6)*("'Daily Summary'!C$5:C$35")),"")</f>
        <v/>
      </c>
      <c r="G10" s="7">
        <f>IFERROR(SUMPRODUCT((MONTH("'Daily Summary'!B$5:B$35")=6)*("'Daily Summary'!C$5:C$35"=F10)*("'Daily Summary'!B$5:B$35")),"")</f>
        <v/>
      </c>
    </row>
    <row r="11" ht="22" customHeight="1">
      <c r="B11" s="4" t="inlineStr">
        <is>
          <t>July</t>
        </is>
      </c>
      <c r="C11" s="6">
        <f>IFERROR(SUMPRODUCT((MONTH("'Daily Summary'!B$5:B$35")=7)*("'Daily Summary'!C$5:C$35")),"")</f>
        <v/>
      </c>
      <c r="D11" s="5">
        <f>IFERROR(SUMPRODUCT((MONTH("'Daily Summary'!B$5:B$35")=7)*("'Daily Summary'!D$5:D$35")),"")</f>
        <v/>
      </c>
      <c r="E11" s="6">
        <f>IFERROR(C11/D11,"")</f>
        <v/>
      </c>
      <c r="F11" s="6">
        <f>IFERROR(MAX((MONTH("'Daily Summary'!B$5:B$35")=7)*("'Daily Summary'!C$5:C$35")),"")</f>
        <v/>
      </c>
      <c r="G11" s="3">
        <f>IFERROR(SUMPRODUCT((MONTH("'Daily Summary'!B$5:B$35")=7)*("'Daily Summary'!C$5:C$35"=F11)*("'Daily Summary'!B$5:B$35")),"")</f>
        <v/>
      </c>
    </row>
    <row r="12" ht="22" customHeight="1">
      <c r="B12" s="8" t="inlineStr">
        <is>
          <t>August</t>
        </is>
      </c>
      <c r="C12" s="10">
        <f>IFERROR(SUMPRODUCT((MONTH("'Daily Summary'!B$5:B$35")=8)*("'Daily Summary'!C$5:C$35")),"")</f>
        <v/>
      </c>
      <c r="D12" s="9">
        <f>IFERROR(SUMPRODUCT((MONTH("'Daily Summary'!B$5:B$35")=8)*("'Daily Summary'!D$5:D$35")),"")</f>
        <v/>
      </c>
      <c r="E12" s="10">
        <f>IFERROR(C12/D12,"")</f>
        <v/>
      </c>
      <c r="F12" s="10">
        <f>IFERROR(MAX((MONTH("'Daily Summary'!B$5:B$35")=8)*("'Daily Summary'!C$5:C$35")),"")</f>
        <v/>
      </c>
      <c r="G12" s="7">
        <f>IFERROR(SUMPRODUCT((MONTH("'Daily Summary'!B$5:B$35")=8)*("'Daily Summary'!C$5:C$35"=F12)*("'Daily Summary'!B$5:B$35")),"")</f>
        <v/>
      </c>
    </row>
    <row r="13" ht="22" customHeight="1">
      <c r="B13" s="4" t="inlineStr">
        <is>
          <t>September</t>
        </is>
      </c>
      <c r="C13" s="6">
        <f>IFERROR(SUMPRODUCT((MONTH("'Daily Summary'!B$5:B$35")=9)*("'Daily Summary'!C$5:C$35")),"")</f>
        <v/>
      </c>
      <c r="D13" s="5">
        <f>IFERROR(SUMPRODUCT((MONTH("'Daily Summary'!B$5:B$35")=9)*("'Daily Summary'!D$5:D$35")),"")</f>
        <v/>
      </c>
      <c r="E13" s="6">
        <f>IFERROR(C13/D13,"")</f>
        <v/>
      </c>
      <c r="F13" s="6">
        <f>IFERROR(MAX((MONTH("'Daily Summary'!B$5:B$35")=9)*("'Daily Summary'!C$5:C$35")),"")</f>
        <v/>
      </c>
      <c r="G13" s="3">
        <f>IFERROR(SUMPRODUCT((MONTH("'Daily Summary'!B$5:B$35")=9)*("'Daily Summary'!C$5:C$35"=F13)*("'Daily Summary'!B$5:B$35")),"")</f>
        <v/>
      </c>
    </row>
    <row r="14" ht="22" customHeight="1">
      <c r="B14" s="8" t="inlineStr">
        <is>
          <t>October</t>
        </is>
      </c>
      <c r="C14" s="10">
        <f>IFERROR(SUMPRODUCT((MONTH("'Daily Summary'!B$5:B$35")=10)*("'Daily Summary'!C$5:C$35")),"")</f>
        <v/>
      </c>
      <c r="D14" s="9">
        <f>IFERROR(SUMPRODUCT((MONTH("'Daily Summary'!B$5:B$35")=10)*("'Daily Summary'!D$5:D$35")),"")</f>
        <v/>
      </c>
      <c r="E14" s="10">
        <f>IFERROR(C14/D14,"")</f>
        <v/>
      </c>
      <c r="F14" s="10">
        <f>IFERROR(MAX((MONTH("'Daily Summary'!B$5:B$35")=10)*("'Daily Summary'!C$5:C$35")),"")</f>
        <v/>
      </c>
      <c r="G14" s="7">
        <f>IFERROR(SUMPRODUCT((MONTH("'Daily Summary'!B$5:B$35")=10)*("'Daily Summary'!C$5:C$35"=F14)*("'Daily Summary'!B$5:B$35")),"")</f>
        <v/>
      </c>
    </row>
    <row r="15" ht="22" customHeight="1">
      <c r="B15" s="4" t="inlineStr">
        <is>
          <t>November</t>
        </is>
      </c>
      <c r="C15" s="6">
        <f>IFERROR(SUMPRODUCT((MONTH("'Daily Summary'!B$5:B$35")=11)*("'Daily Summary'!C$5:C$35")),"")</f>
        <v/>
      </c>
      <c r="D15" s="5">
        <f>IFERROR(SUMPRODUCT((MONTH("'Daily Summary'!B$5:B$35")=11)*("'Daily Summary'!D$5:D$35")),"")</f>
        <v/>
      </c>
      <c r="E15" s="6">
        <f>IFERROR(C15/D15,"")</f>
        <v/>
      </c>
      <c r="F15" s="6">
        <f>IFERROR(MAX((MONTH("'Daily Summary'!B$5:B$35")=11)*("'Daily Summary'!C$5:C$35")),"")</f>
        <v/>
      </c>
      <c r="G15" s="3">
        <f>IFERROR(SUMPRODUCT((MONTH("'Daily Summary'!B$5:B$35")=11)*("'Daily Summary'!C$5:C$35"=F15)*("'Daily Summary'!B$5:B$35")),"")</f>
        <v/>
      </c>
    </row>
    <row r="16" ht="22" customHeight="1">
      <c r="B16" s="8" t="inlineStr">
        <is>
          <t>December</t>
        </is>
      </c>
      <c r="C16" s="10">
        <f>IFERROR(SUMPRODUCT((MONTH("'Daily Summary'!B$5:B$35")=12)*("'Daily Summary'!C$5:C$35")),"")</f>
        <v/>
      </c>
      <c r="D16" s="9">
        <f>IFERROR(SUMPRODUCT((MONTH("'Daily Summary'!B$5:B$35")=12)*("'Daily Summary'!D$5:D$35")),"")</f>
        <v/>
      </c>
      <c r="E16" s="10">
        <f>IFERROR(C16/D16,"")</f>
        <v/>
      </c>
      <c r="F16" s="10">
        <f>IFERROR(MAX((MONTH("'Daily Summary'!B$5:B$35")=12)*("'Daily Summary'!C$5:C$35")),"")</f>
        <v/>
      </c>
      <c r="G16" s="7">
        <f>IFERROR(SUMPRODUCT((MONTH("'Daily Summary'!B$5:B$35")=12)*("'Daily Summary'!C$5:C$35"=F16)*("'Daily Summary'!B$5:B$35")),"")</f>
        <v/>
      </c>
    </row>
    <row r="17" ht="26" customHeight="1">
      <c r="B17" s="11" t="inlineStr">
        <is>
          <t>TOTALS</t>
        </is>
      </c>
      <c r="C17" s="14">
        <f>IFERROR(SUM(C5:C16),"")</f>
        <v/>
      </c>
      <c r="D17" s="13">
        <f>IFERROR(SUM(D5:D16),"")</f>
        <v/>
      </c>
      <c r="E17" s="14">
        <f>IFERROR(C17/D17,"")</f>
        <v/>
      </c>
      <c r="F17" s="12" t="inlineStr"/>
      <c r="G17" s="12" t="inlineStr"/>
    </row>
  </sheetData>
  <mergeCells count="1">
    <mergeCell ref="B2:G2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B85C1E"/>
    <outlinePr summaryBelow="1" summaryRight="1"/>
    <pageSetUpPr fitToPage="1"/>
  </sheetPr>
  <dimension ref="B2:H27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8" customWidth="1" min="2" max="2"/>
    <col width="22" customWidth="1" min="3" max="3"/>
    <col width="3" customWidth="1" min="4" max="4"/>
    <col width="28" customWidth="1" min="5" max="5"/>
    <col width="10" customWidth="1" min="6" max="6"/>
    <col width="14" customWidth="1" min="7" max="7"/>
    <col width="14" customWidth="1" min="8" max="8"/>
  </cols>
  <sheetData>
    <row r="1" ht="15" customHeight="1"/>
    <row r="2" ht="32" customHeight="1">
      <c r="B2" s="1" t="inlineStr">
        <is>
          <t>[Your Company Name]</t>
        </is>
      </c>
    </row>
    <row r="3" ht="8" customHeight="1">
      <c r="B3" s="15" t="inlineStr">
        <is>
          <t>[Company Address | Phone | Email]</t>
        </is>
      </c>
    </row>
    <row r="5">
      <c r="B5" s="1" t="inlineStr">
        <is>
          <t>INVOICE</t>
        </is>
      </c>
    </row>
    <row r="7">
      <c r="B7" s="16" t="inlineStr">
        <is>
          <t>Invoice #</t>
        </is>
      </c>
      <c r="C7" s="17" t="n"/>
    </row>
    <row r="8">
      <c r="B8" s="16" t="inlineStr">
        <is>
          <t>Date</t>
        </is>
      </c>
      <c r="C8" s="18" t="n"/>
    </row>
    <row r="9">
      <c r="B9" s="16" t="inlineStr">
        <is>
          <t>Customer</t>
        </is>
      </c>
      <c r="C9" s="17" t="n"/>
    </row>
    <row r="10" ht="8" customHeight="1"/>
    <row r="11" ht="28" customHeight="1">
      <c r="E11" s="2" t="inlineStr">
        <is>
          <t>Item</t>
        </is>
      </c>
      <c r="F11" s="2" t="inlineStr">
        <is>
          <t>Qty</t>
        </is>
      </c>
      <c r="G11" s="2" t="inlineStr">
        <is>
          <t>Price</t>
        </is>
      </c>
      <c r="H11" s="2" t="inlineStr">
        <is>
          <t>Total</t>
        </is>
      </c>
    </row>
    <row r="12" ht="22" customHeight="1">
      <c r="E12" s="4" t="n"/>
      <c r="F12" s="5" t="n"/>
      <c r="G12" s="6" t="n"/>
      <c r="H12" s="6">
        <f>IFERROR(F12*G12,"")</f>
        <v/>
      </c>
    </row>
    <row r="13" ht="22" customHeight="1">
      <c r="E13" s="8" t="n"/>
      <c r="F13" s="9" t="n"/>
      <c r="G13" s="10" t="n"/>
      <c r="H13" s="10">
        <f>IFERROR(F13*G13,"")</f>
        <v/>
      </c>
    </row>
    <row r="14" ht="22" customHeight="1">
      <c r="E14" s="4" t="n"/>
      <c r="F14" s="5" t="n"/>
      <c r="G14" s="6" t="n"/>
      <c r="H14" s="6">
        <f>IFERROR(F14*G14,"")</f>
        <v/>
      </c>
    </row>
    <row r="15" ht="22" customHeight="1">
      <c r="E15" s="8" t="n"/>
      <c r="F15" s="9" t="n"/>
      <c r="G15" s="10" t="n"/>
      <c r="H15" s="10">
        <f>IFERROR(F15*G15,"")</f>
        <v/>
      </c>
    </row>
    <row r="16" ht="22" customHeight="1">
      <c r="E16" s="4" t="n"/>
      <c r="F16" s="5" t="n"/>
      <c r="G16" s="6" t="n"/>
      <c r="H16" s="6">
        <f>IFERROR(F16*G16,"")</f>
        <v/>
      </c>
    </row>
    <row r="17" ht="22" customHeight="1">
      <c r="E17" s="8" t="n"/>
      <c r="F17" s="9" t="n"/>
      <c r="G17" s="10" t="n"/>
      <c r="H17" s="10">
        <f>IFERROR(F17*G17,"")</f>
        <v/>
      </c>
    </row>
    <row r="18" ht="22" customHeight="1">
      <c r="E18" s="4" t="n"/>
      <c r="F18" s="5" t="n"/>
      <c r="G18" s="6" t="n"/>
      <c r="H18" s="6">
        <f>IFERROR(F18*G18,"")</f>
        <v/>
      </c>
    </row>
    <row r="19" ht="22" customHeight="1">
      <c r="E19" s="8" t="n"/>
      <c r="F19" s="9" t="n"/>
      <c r="G19" s="10" t="n"/>
      <c r="H19" s="10">
        <f>IFERROR(F19*G19,"")</f>
        <v/>
      </c>
    </row>
    <row r="20" ht="22" customHeight="1">
      <c r="E20" s="4" t="n"/>
      <c r="F20" s="5" t="n"/>
      <c r="G20" s="6" t="n"/>
      <c r="H20" s="6">
        <f>IFERROR(F20*G20,"")</f>
        <v/>
      </c>
    </row>
    <row r="21" ht="22" customHeight="1">
      <c r="E21" s="8" t="n"/>
      <c r="F21" s="9" t="n"/>
      <c r="G21" s="10" t="n"/>
      <c r="H21" s="10">
        <f>IFERROR(F21*G21,"")</f>
        <v/>
      </c>
    </row>
    <row r="22" ht="8" customHeight="1"/>
    <row r="23">
      <c r="G23" s="19" t="inlineStr">
        <is>
          <t>Subtotal</t>
        </is>
      </c>
      <c r="H23" s="20">
        <f>IFERROR(SUM(H12:H21),"")</f>
        <v/>
      </c>
    </row>
    <row r="24">
      <c r="G24" s="19" t="inlineStr">
        <is>
          <t>VAT 5%</t>
        </is>
      </c>
      <c r="H24" s="20">
        <f>IFERROR(H23*0.05,"")</f>
        <v/>
      </c>
    </row>
    <row r="25" ht="26" customHeight="1">
      <c r="G25" s="11" t="inlineStr">
        <is>
          <t>Grand Total</t>
        </is>
      </c>
      <c r="H25" s="14">
        <f>IFERROR(H23+H24,"")</f>
        <v/>
      </c>
    </row>
    <row r="27">
      <c r="B27" s="21" t="inlineStr">
        <is>
          <t>Thank you for your business!</t>
        </is>
      </c>
    </row>
  </sheetData>
  <mergeCells count="4">
    <mergeCell ref="E2:H2"/>
    <mergeCell ref="B3:C3"/>
    <mergeCell ref="B2:C2"/>
    <mergeCell ref="B27:H27"/>
  </mergeCells>
  <pageMargins left="0.75" right="0.75" top="1" bottom="1" header="0.5" footer="0.5"/>
  <pageSetup orientation="portrait" paperSize="9" fitToHeight="1" fitToWidth="1"/>
</worksheet>
</file>

<file path=xl/worksheets/sheet6.xml><?xml version="1.0" encoding="utf-8"?>
<worksheet xmlns="http://schemas.openxmlformats.org/spreadsheetml/2006/main">
  <sheetPr>
    <tabColor rgb="00B85C1E"/>
    <outlinePr summaryBelow="1" summaryRight="1"/>
    <pageSetUpPr fitToPage="1"/>
  </sheetPr>
  <dimension ref="B2:F10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8" customWidth="1" min="2" max="2"/>
    <col width="22" customWidth="1" min="3" max="3"/>
    <col width="12" customWidth="1" min="4" max="4"/>
    <col width="14" customWidth="1" min="5" max="5"/>
    <col width="32" customWidth="1" min="6" max="6"/>
  </cols>
  <sheetData>
    <row r="1" ht="15" customHeight="1"/>
    <row r="2" ht="32" customHeight="1">
      <c r="B2" s="1" t="inlineStr">
        <is>
          <t>Product List</t>
        </is>
      </c>
    </row>
    <row r="3" ht="8" customHeight="1"/>
    <row r="4" ht="28" customHeight="1">
      <c r="B4" s="2" t="inlineStr">
        <is>
          <t>Product ID</t>
        </is>
      </c>
      <c r="C4" s="2" t="inlineStr">
        <is>
          <t>Item Name</t>
        </is>
      </c>
      <c r="D4" s="2" t="inlineStr">
        <is>
          <t>Category</t>
        </is>
      </c>
      <c r="E4" s="2" t="inlineStr">
        <is>
          <t>Unit Price</t>
        </is>
      </c>
      <c r="F4" s="2" t="inlineStr">
        <is>
          <t>Description</t>
        </is>
      </c>
    </row>
    <row r="5" ht="22" customHeight="1">
      <c r="B5" s="4" t="n"/>
      <c r="C5" s="4" t="n"/>
      <c r="D5" s="4" t="n"/>
      <c r="E5" s="6" t="n"/>
      <c r="F5" s="4" t="n"/>
    </row>
    <row r="6" ht="22" customHeight="1">
      <c r="B6" s="8" t="n"/>
      <c r="C6" s="8" t="n"/>
      <c r="D6" s="8" t="n"/>
      <c r="E6" s="10" t="n"/>
      <c r="F6" s="8" t="n"/>
    </row>
    <row r="7" ht="22" customHeight="1">
      <c r="B7" s="4" t="n"/>
      <c r="C7" s="4" t="n"/>
      <c r="D7" s="4" t="n"/>
      <c r="E7" s="6" t="n"/>
      <c r="F7" s="4" t="n"/>
    </row>
    <row r="8" ht="22" customHeight="1">
      <c r="B8" s="8" t="n"/>
      <c r="C8" s="8" t="n"/>
      <c r="D8" s="8" t="n"/>
      <c r="E8" s="10" t="n"/>
      <c r="F8" s="8" t="n"/>
    </row>
    <row r="9" ht="22" customHeight="1">
      <c r="B9" s="4" t="n"/>
      <c r="C9" s="4" t="n"/>
      <c r="D9" s="4" t="n"/>
      <c r="E9" s="6" t="n"/>
      <c r="F9" s="4" t="n"/>
    </row>
    <row r="10" ht="22" customHeight="1">
      <c r="B10" s="8" t="n"/>
      <c r="C10" s="8" t="n"/>
      <c r="D10" s="8" t="n"/>
      <c r="E10" s="10" t="n"/>
      <c r="F10" s="8" t="n"/>
    </row>
    <row r="11" ht="22" customHeight="1">
      <c r="B11" s="4" t="n"/>
      <c r="C11" s="4" t="n"/>
      <c r="D11" s="4" t="n"/>
      <c r="E11" s="6" t="n"/>
      <c r="F11" s="4" t="n"/>
    </row>
    <row r="12" ht="22" customHeight="1">
      <c r="B12" s="8" t="n"/>
      <c r="C12" s="8" t="n"/>
      <c r="D12" s="8" t="n"/>
      <c r="E12" s="10" t="n"/>
      <c r="F12" s="8" t="n"/>
    </row>
    <row r="13" ht="22" customHeight="1">
      <c r="B13" s="4" t="n"/>
      <c r="C13" s="4" t="n"/>
      <c r="D13" s="4" t="n"/>
      <c r="E13" s="6" t="n"/>
      <c r="F13" s="4" t="n"/>
    </row>
    <row r="14" ht="22" customHeight="1">
      <c r="B14" s="8" t="n"/>
      <c r="C14" s="8" t="n"/>
      <c r="D14" s="8" t="n"/>
      <c r="E14" s="10" t="n"/>
      <c r="F14" s="8" t="n"/>
    </row>
    <row r="15" ht="22" customHeight="1">
      <c r="B15" s="4" t="n"/>
      <c r="C15" s="4" t="n"/>
      <c r="D15" s="4" t="n"/>
      <c r="E15" s="6" t="n"/>
      <c r="F15" s="4" t="n"/>
    </row>
    <row r="16" ht="22" customHeight="1">
      <c r="B16" s="8" t="n"/>
      <c r="C16" s="8" t="n"/>
      <c r="D16" s="8" t="n"/>
      <c r="E16" s="10" t="n"/>
      <c r="F16" s="8" t="n"/>
    </row>
    <row r="17" ht="22" customHeight="1">
      <c r="B17" s="4" t="n"/>
      <c r="C17" s="4" t="n"/>
      <c r="D17" s="4" t="n"/>
      <c r="E17" s="6" t="n"/>
      <c r="F17" s="4" t="n"/>
    </row>
    <row r="18" ht="22" customHeight="1">
      <c r="B18" s="8" t="n"/>
      <c r="C18" s="8" t="n"/>
      <c r="D18" s="8" t="n"/>
      <c r="E18" s="10" t="n"/>
      <c r="F18" s="8" t="n"/>
    </row>
    <row r="19" ht="22" customHeight="1">
      <c r="B19" s="4" t="n"/>
      <c r="C19" s="4" t="n"/>
      <c r="D19" s="4" t="n"/>
      <c r="E19" s="6" t="n"/>
      <c r="F19" s="4" t="n"/>
    </row>
    <row r="20" ht="22" customHeight="1">
      <c r="B20" s="8" t="n"/>
      <c r="C20" s="8" t="n"/>
      <c r="D20" s="8" t="n"/>
      <c r="E20" s="10" t="n"/>
      <c r="F20" s="8" t="n"/>
    </row>
    <row r="21" ht="22" customHeight="1">
      <c r="B21" s="4" t="n"/>
      <c r="C21" s="4" t="n"/>
      <c r="D21" s="4" t="n"/>
      <c r="E21" s="6" t="n"/>
      <c r="F21" s="4" t="n"/>
    </row>
    <row r="22" ht="22" customHeight="1">
      <c r="B22" s="8" t="n"/>
      <c r="C22" s="8" t="n"/>
      <c r="D22" s="8" t="n"/>
      <c r="E22" s="10" t="n"/>
      <c r="F22" s="8" t="n"/>
    </row>
    <row r="23" ht="22" customHeight="1">
      <c r="B23" s="4" t="n"/>
      <c r="C23" s="4" t="n"/>
      <c r="D23" s="4" t="n"/>
      <c r="E23" s="6" t="n"/>
      <c r="F23" s="4" t="n"/>
    </row>
    <row r="24" ht="22" customHeight="1">
      <c r="B24" s="8" t="n"/>
      <c r="C24" s="8" t="n"/>
      <c r="D24" s="8" t="n"/>
      <c r="E24" s="10" t="n"/>
      <c r="F24" s="8" t="n"/>
    </row>
    <row r="25" ht="22" customHeight="1">
      <c r="B25" s="4" t="n"/>
      <c r="C25" s="4" t="n"/>
      <c r="D25" s="4" t="n"/>
      <c r="E25" s="6" t="n"/>
      <c r="F25" s="4" t="n"/>
    </row>
    <row r="26" ht="22" customHeight="1">
      <c r="B26" s="8" t="n"/>
      <c r="C26" s="8" t="n"/>
      <c r="D26" s="8" t="n"/>
      <c r="E26" s="10" t="n"/>
      <c r="F26" s="8" t="n"/>
    </row>
    <row r="27" ht="22" customHeight="1">
      <c r="B27" s="4" t="n"/>
      <c r="C27" s="4" t="n"/>
      <c r="D27" s="4" t="n"/>
      <c r="E27" s="6" t="n"/>
      <c r="F27" s="4" t="n"/>
    </row>
    <row r="28" ht="22" customHeight="1">
      <c r="B28" s="8" t="n"/>
      <c r="C28" s="8" t="n"/>
      <c r="D28" s="8" t="n"/>
      <c r="E28" s="10" t="n"/>
      <c r="F28" s="8" t="n"/>
    </row>
    <row r="29" ht="22" customHeight="1">
      <c r="B29" s="4" t="n"/>
      <c r="C29" s="4" t="n"/>
      <c r="D29" s="4" t="n"/>
      <c r="E29" s="6" t="n"/>
      <c r="F29" s="4" t="n"/>
    </row>
    <row r="30" ht="22" customHeight="1">
      <c r="B30" s="8" t="n"/>
      <c r="C30" s="8" t="n"/>
      <c r="D30" s="8" t="n"/>
      <c r="E30" s="10" t="n"/>
      <c r="F30" s="8" t="n"/>
    </row>
    <row r="31" ht="22" customHeight="1">
      <c r="B31" s="4" t="n"/>
      <c r="C31" s="4" t="n"/>
      <c r="D31" s="4" t="n"/>
      <c r="E31" s="6" t="n"/>
      <c r="F31" s="4" t="n"/>
    </row>
    <row r="32" ht="22" customHeight="1">
      <c r="B32" s="8" t="n"/>
      <c r="C32" s="8" t="n"/>
      <c r="D32" s="8" t="n"/>
      <c r="E32" s="10" t="n"/>
      <c r="F32" s="8" t="n"/>
    </row>
    <row r="33" ht="22" customHeight="1">
      <c r="B33" s="4" t="n"/>
      <c r="C33" s="4" t="n"/>
      <c r="D33" s="4" t="n"/>
      <c r="E33" s="6" t="n"/>
      <c r="F33" s="4" t="n"/>
    </row>
    <row r="34" ht="22" customHeight="1">
      <c r="B34" s="8" t="n"/>
      <c r="C34" s="8" t="n"/>
      <c r="D34" s="8" t="n"/>
      <c r="E34" s="10" t="n"/>
      <c r="F34" s="8" t="n"/>
    </row>
    <row r="35" ht="22" customHeight="1">
      <c r="B35" s="4" t="n"/>
      <c r="C35" s="4" t="n"/>
      <c r="D35" s="4" t="n"/>
      <c r="E35" s="6" t="n"/>
      <c r="F35" s="4" t="n"/>
    </row>
    <row r="36" ht="22" customHeight="1">
      <c r="B36" s="8" t="n"/>
      <c r="C36" s="8" t="n"/>
      <c r="D36" s="8" t="n"/>
      <c r="E36" s="10" t="n"/>
      <c r="F36" s="8" t="n"/>
    </row>
    <row r="37" ht="22" customHeight="1">
      <c r="B37" s="4" t="n"/>
      <c r="C37" s="4" t="n"/>
      <c r="D37" s="4" t="n"/>
      <c r="E37" s="6" t="n"/>
      <c r="F37" s="4" t="n"/>
    </row>
    <row r="38" ht="22" customHeight="1">
      <c r="B38" s="8" t="n"/>
      <c r="C38" s="8" t="n"/>
      <c r="D38" s="8" t="n"/>
      <c r="E38" s="10" t="n"/>
      <c r="F38" s="8" t="n"/>
    </row>
    <row r="39" ht="22" customHeight="1">
      <c r="B39" s="4" t="n"/>
      <c r="C39" s="4" t="n"/>
      <c r="D39" s="4" t="n"/>
      <c r="E39" s="6" t="n"/>
      <c r="F39" s="4" t="n"/>
    </row>
    <row r="40" ht="22" customHeight="1">
      <c r="B40" s="8" t="n"/>
      <c r="C40" s="8" t="n"/>
      <c r="D40" s="8" t="n"/>
      <c r="E40" s="10" t="n"/>
      <c r="F40" s="8" t="n"/>
    </row>
    <row r="41" ht="22" customHeight="1">
      <c r="B41" s="4" t="n"/>
      <c r="C41" s="4" t="n"/>
      <c r="D41" s="4" t="n"/>
      <c r="E41" s="6" t="n"/>
      <c r="F41" s="4" t="n"/>
    </row>
    <row r="42" ht="22" customHeight="1">
      <c r="B42" s="8" t="n"/>
      <c r="C42" s="8" t="n"/>
      <c r="D42" s="8" t="n"/>
      <c r="E42" s="10" t="n"/>
      <c r="F42" s="8" t="n"/>
    </row>
    <row r="43" ht="22" customHeight="1">
      <c r="B43" s="4" t="n"/>
      <c r="C43" s="4" t="n"/>
      <c r="D43" s="4" t="n"/>
      <c r="E43" s="6" t="n"/>
      <c r="F43" s="4" t="n"/>
    </row>
    <row r="44" ht="22" customHeight="1">
      <c r="B44" s="8" t="n"/>
      <c r="C44" s="8" t="n"/>
      <c r="D44" s="8" t="n"/>
      <c r="E44" s="10" t="n"/>
      <c r="F44" s="8" t="n"/>
    </row>
    <row r="45" ht="22" customHeight="1">
      <c r="B45" s="4" t="n"/>
      <c r="C45" s="4" t="n"/>
      <c r="D45" s="4" t="n"/>
      <c r="E45" s="6" t="n"/>
      <c r="F45" s="4" t="n"/>
    </row>
    <row r="46" ht="22" customHeight="1">
      <c r="B46" s="8" t="n"/>
      <c r="C46" s="8" t="n"/>
      <c r="D46" s="8" t="n"/>
      <c r="E46" s="10" t="n"/>
      <c r="F46" s="8" t="n"/>
    </row>
    <row r="47" ht="22" customHeight="1">
      <c r="B47" s="4" t="n"/>
      <c r="C47" s="4" t="n"/>
      <c r="D47" s="4" t="n"/>
      <c r="E47" s="6" t="n"/>
      <c r="F47" s="4" t="n"/>
    </row>
    <row r="48" ht="22" customHeight="1">
      <c r="B48" s="8" t="n"/>
      <c r="C48" s="8" t="n"/>
      <c r="D48" s="8" t="n"/>
      <c r="E48" s="10" t="n"/>
      <c r="F48" s="8" t="n"/>
    </row>
    <row r="49" ht="22" customHeight="1">
      <c r="B49" s="4" t="n"/>
      <c r="C49" s="4" t="n"/>
      <c r="D49" s="4" t="n"/>
      <c r="E49" s="6" t="n"/>
      <c r="F49" s="4" t="n"/>
    </row>
    <row r="50" ht="22" customHeight="1">
      <c r="B50" s="8" t="n"/>
      <c r="C50" s="8" t="n"/>
      <c r="D50" s="8" t="n"/>
      <c r="E50" s="10" t="n"/>
      <c r="F50" s="8" t="n"/>
    </row>
    <row r="51" ht="22" customHeight="1">
      <c r="B51" s="4" t="n"/>
      <c r="C51" s="4" t="n"/>
      <c r="D51" s="4" t="n"/>
      <c r="E51" s="6" t="n"/>
      <c r="F51" s="4" t="n"/>
    </row>
    <row r="52" ht="22" customHeight="1">
      <c r="B52" s="8" t="n"/>
      <c r="C52" s="8" t="n"/>
      <c r="D52" s="8" t="n"/>
      <c r="E52" s="10" t="n"/>
      <c r="F52" s="8" t="n"/>
    </row>
    <row r="53" ht="22" customHeight="1">
      <c r="B53" s="4" t="n"/>
      <c r="C53" s="4" t="n"/>
      <c r="D53" s="4" t="n"/>
      <c r="E53" s="6" t="n"/>
      <c r="F53" s="4" t="n"/>
    </row>
    <row r="54" ht="22" customHeight="1">
      <c r="B54" s="8" t="n"/>
      <c r="C54" s="8" t="n"/>
      <c r="D54" s="8" t="n"/>
      <c r="E54" s="10" t="n"/>
      <c r="F54" s="8" t="n"/>
    </row>
    <row r="55" ht="22" customHeight="1">
      <c r="B55" s="4" t="n"/>
      <c r="C55" s="4" t="n"/>
      <c r="D55" s="4" t="n"/>
      <c r="E55" s="6" t="n"/>
      <c r="F55" s="4" t="n"/>
    </row>
    <row r="56" ht="22" customHeight="1">
      <c r="B56" s="8" t="n"/>
      <c r="C56" s="8" t="n"/>
      <c r="D56" s="8" t="n"/>
      <c r="E56" s="10" t="n"/>
      <c r="F56" s="8" t="n"/>
    </row>
    <row r="57" ht="22" customHeight="1">
      <c r="B57" s="4" t="n"/>
      <c r="C57" s="4" t="n"/>
      <c r="D57" s="4" t="n"/>
      <c r="E57" s="6" t="n"/>
      <c r="F57" s="4" t="n"/>
    </row>
    <row r="58" ht="22" customHeight="1">
      <c r="B58" s="8" t="n"/>
      <c r="C58" s="8" t="n"/>
      <c r="D58" s="8" t="n"/>
      <c r="E58" s="10" t="n"/>
      <c r="F58" s="8" t="n"/>
    </row>
    <row r="59" ht="22" customHeight="1">
      <c r="B59" s="4" t="n"/>
      <c r="C59" s="4" t="n"/>
      <c r="D59" s="4" t="n"/>
      <c r="E59" s="6" t="n"/>
      <c r="F59" s="4" t="n"/>
    </row>
    <row r="60" ht="22" customHeight="1">
      <c r="B60" s="8" t="n"/>
      <c r="C60" s="8" t="n"/>
      <c r="D60" s="8" t="n"/>
      <c r="E60" s="10" t="n"/>
      <c r="F60" s="8" t="n"/>
    </row>
    <row r="61" ht="22" customHeight="1">
      <c r="B61" s="4" t="n"/>
      <c r="C61" s="4" t="n"/>
      <c r="D61" s="4" t="n"/>
      <c r="E61" s="6" t="n"/>
      <c r="F61" s="4" t="n"/>
    </row>
    <row r="62" ht="22" customHeight="1">
      <c r="B62" s="8" t="n"/>
      <c r="C62" s="8" t="n"/>
      <c r="D62" s="8" t="n"/>
      <c r="E62" s="10" t="n"/>
      <c r="F62" s="8" t="n"/>
    </row>
    <row r="63" ht="22" customHeight="1">
      <c r="B63" s="4" t="n"/>
      <c r="C63" s="4" t="n"/>
      <c r="D63" s="4" t="n"/>
      <c r="E63" s="6" t="n"/>
      <c r="F63" s="4" t="n"/>
    </row>
    <row r="64" ht="22" customHeight="1">
      <c r="B64" s="8" t="n"/>
      <c r="C64" s="8" t="n"/>
      <c r="D64" s="8" t="n"/>
      <c r="E64" s="10" t="n"/>
      <c r="F64" s="8" t="n"/>
    </row>
    <row r="65" ht="22" customHeight="1">
      <c r="B65" s="4" t="n"/>
      <c r="C65" s="4" t="n"/>
      <c r="D65" s="4" t="n"/>
      <c r="E65" s="6" t="n"/>
      <c r="F65" s="4" t="n"/>
    </row>
    <row r="66" ht="22" customHeight="1">
      <c r="B66" s="8" t="n"/>
      <c r="C66" s="8" t="n"/>
      <c r="D66" s="8" t="n"/>
      <c r="E66" s="10" t="n"/>
      <c r="F66" s="8" t="n"/>
    </row>
    <row r="67" ht="22" customHeight="1">
      <c r="B67" s="4" t="n"/>
      <c r="C67" s="4" t="n"/>
      <c r="D67" s="4" t="n"/>
      <c r="E67" s="6" t="n"/>
      <c r="F67" s="4" t="n"/>
    </row>
    <row r="68" ht="22" customHeight="1">
      <c r="B68" s="8" t="n"/>
      <c r="C68" s="8" t="n"/>
      <c r="D68" s="8" t="n"/>
      <c r="E68" s="10" t="n"/>
      <c r="F68" s="8" t="n"/>
    </row>
    <row r="69" ht="22" customHeight="1">
      <c r="B69" s="4" t="n"/>
      <c r="C69" s="4" t="n"/>
      <c r="D69" s="4" t="n"/>
      <c r="E69" s="6" t="n"/>
      <c r="F69" s="4" t="n"/>
    </row>
    <row r="70" ht="22" customHeight="1">
      <c r="B70" s="8" t="n"/>
      <c r="C70" s="8" t="n"/>
      <c r="D70" s="8" t="n"/>
      <c r="E70" s="10" t="n"/>
      <c r="F70" s="8" t="n"/>
    </row>
    <row r="71" ht="22" customHeight="1">
      <c r="B71" s="4" t="n"/>
      <c r="C71" s="4" t="n"/>
      <c r="D71" s="4" t="n"/>
      <c r="E71" s="6" t="n"/>
      <c r="F71" s="4" t="n"/>
    </row>
    <row r="72" ht="22" customHeight="1">
      <c r="B72" s="8" t="n"/>
      <c r="C72" s="8" t="n"/>
      <c r="D72" s="8" t="n"/>
      <c r="E72" s="10" t="n"/>
      <c r="F72" s="8" t="n"/>
    </row>
    <row r="73" ht="22" customHeight="1">
      <c r="B73" s="4" t="n"/>
      <c r="C73" s="4" t="n"/>
      <c r="D73" s="4" t="n"/>
      <c r="E73" s="6" t="n"/>
      <c r="F73" s="4" t="n"/>
    </row>
    <row r="74" ht="22" customHeight="1">
      <c r="B74" s="8" t="n"/>
      <c r="C74" s="8" t="n"/>
      <c r="D74" s="8" t="n"/>
      <c r="E74" s="10" t="n"/>
      <c r="F74" s="8" t="n"/>
    </row>
    <row r="75" ht="22" customHeight="1">
      <c r="B75" s="4" t="n"/>
      <c r="C75" s="4" t="n"/>
      <c r="D75" s="4" t="n"/>
      <c r="E75" s="6" t="n"/>
      <c r="F75" s="4" t="n"/>
    </row>
    <row r="76" ht="22" customHeight="1">
      <c r="B76" s="8" t="n"/>
      <c r="C76" s="8" t="n"/>
      <c r="D76" s="8" t="n"/>
      <c r="E76" s="10" t="n"/>
      <c r="F76" s="8" t="n"/>
    </row>
    <row r="77" ht="22" customHeight="1">
      <c r="B77" s="4" t="n"/>
      <c r="C77" s="4" t="n"/>
      <c r="D77" s="4" t="n"/>
      <c r="E77" s="6" t="n"/>
      <c r="F77" s="4" t="n"/>
    </row>
    <row r="78" ht="22" customHeight="1">
      <c r="B78" s="8" t="n"/>
      <c r="C78" s="8" t="n"/>
      <c r="D78" s="8" t="n"/>
      <c r="E78" s="10" t="n"/>
      <c r="F78" s="8" t="n"/>
    </row>
    <row r="79" ht="22" customHeight="1">
      <c r="B79" s="4" t="n"/>
      <c r="C79" s="4" t="n"/>
      <c r="D79" s="4" t="n"/>
      <c r="E79" s="6" t="n"/>
      <c r="F79" s="4" t="n"/>
    </row>
    <row r="80" ht="22" customHeight="1">
      <c r="B80" s="8" t="n"/>
      <c r="C80" s="8" t="n"/>
      <c r="D80" s="8" t="n"/>
      <c r="E80" s="10" t="n"/>
      <c r="F80" s="8" t="n"/>
    </row>
    <row r="81" ht="22" customHeight="1">
      <c r="B81" s="4" t="n"/>
      <c r="C81" s="4" t="n"/>
      <c r="D81" s="4" t="n"/>
      <c r="E81" s="6" t="n"/>
      <c r="F81" s="4" t="n"/>
    </row>
    <row r="82" ht="22" customHeight="1">
      <c r="B82" s="8" t="n"/>
      <c r="C82" s="8" t="n"/>
      <c r="D82" s="8" t="n"/>
      <c r="E82" s="10" t="n"/>
      <c r="F82" s="8" t="n"/>
    </row>
    <row r="83" ht="22" customHeight="1">
      <c r="B83" s="4" t="n"/>
      <c r="C83" s="4" t="n"/>
      <c r="D83" s="4" t="n"/>
      <c r="E83" s="6" t="n"/>
      <c r="F83" s="4" t="n"/>
    </row>
    <row r="84" ht="22" customHeight="1">
      <c r="B84" s="8" t="n"/>
      <c r="C84" s="8" t="n"/>
      <c r="D84" s="8" t="n"/>
      <c r="E84" s="10" t="n"/>
      <c r="F84" s="8" t="n"/>
    </row>
    <row r="85" ht="22" customHeight="1">
      <c r="B85" s="4" t="n"/>
      <c r="C85" s="4" t="n"/>
      <c r="D85" s="4" t="n"/>
      <c r="E85" s="6" t="n"/>
      <c r="F85" s="4" t="n"/>
    </row>
    <row r="86" ht="22" customHeight="1">
      <c r="B86" s="8" t="n"/>
      <c r="C86" s="8" t="n"/>
      <c r="D86" s="8" t="n"/>
      <c r="E86" s="10" t="n"/>
      <c r="F86" s="8" t="n"/>
    </row>
    <row r="87" ht="22" customHeight="1">
      <c r="B87" s="4" t="n"/>
      <c r="C87" s="4" t="n"/>
      <c r="D87" s="4" t="n"/>
      <c r="E87" s="6" t="n"/>
      <c r="F87" s="4" t="n"/>
    </row>
    <row r="88" ht="22" customHeight="1">
      <c r="B88" s="8" t="n"/>
      <c r="C88" s="8" t="n"/>
      <c r="D88" s="8" t="n"/>
      <c r="E88" s="10" t="n"/>
      <c r="F88" s="8" t="n"/>
    </row>
    <row r="89" ht="22" customHeight="1">
      <c r="B89" s="4" t="n"/>
      <c r="C89" s="4" t="n"/>
      <c r="D89" s="4" t="n"/>
      <c r="E89" s="6" t="n"/>
      <c r="F89" s="4" t="n"/>
    </row>
    <row r="90" ht="22" customHeight="1">
      <c r="B90" s="8" t="n"/>
      <c r="C90" s="8" t="n"/>
      <c r="D90" s="8" t="n"/>
      <c r="E90" s="10" t="n"/>
      <c r="F90" s="8" t="n"/>
    </row>
    <row r="91" ht="22" customHeight="1">
      <c r="B91" s="4" t="n"/>
      <c r="C91" s="4" t="n"/>
      <c r="D91" s="4" t="n"/>
      <c r="E91" s="6" t="n"/>
      <c r="F91" s="4" t="n"/>
    </row>
    <row r="92" ht="22" customHeight="1">
      <c r="B92" s="8" t="n"/>
      <c r="C92" s="8" t="n"/>
      <c r="D92" s="8" t="n"/>
      <c r="E92" s="10" t="n"/>
      <c r="F92" s="8" t="n"/>
    </row>
    <row r="93" ht="22" customHeight="1">
      <c r="B93" s="4" t="n"/>
      <c r="C93" s="4" t="n"/>
      <c r="D93" s="4" t="n"/>
      <c r="E93" s="6" t="n"/>
      <c r="F93" s="4" t="n"/>
    </row>
    <row r="94" ht="22" customHeight="1">
      <c r="B94" s="8" t="n"/>
      <c r="C94" s="8" t="n"/>
      <c r="D94" s="8" t="n"/>
      <c r="E94" s="10" t="n"/>
      <c r="F94" s="8" t="n"/>
    </row>
    <row r="95" ht="22" customHeight="1">
      <c r="B95" s="4" t="n"/>
      <c r="C95" s="4" t="n"/>
      <c r="D95" s="4" t="n"/>
      <c r="E95" s="6" t="n"/>
      <c r="F95" s="4" t="n"/>
    </row>
    <row r="96" ht="22" customHeight="1">
      <c r="B96" s="8" t="n"/>
      <c r="C96" s="8" t="n"/>
      <c r="D96" s="8" t="n"/>
      <c r="E96" s="10" t="n"/>
      <c r="F96" s="8" t="n"/>
    </row>
    <row r="97" ht="22" customHeight="1">
      <c r="B97" s="4" t="n"/>
      <c r="C97" s="4" t="n"/>
      <c r="D97" s="4" t="n"/>
      <c r="E97" s="6" t="n"/>
      <c r="F97" s="4" t="n"/>
    </row>
    <row r="98" ht="22" customHeight="1">
      <c r="B98" s="8" t="n"/>
      <c r="C98" s="8" t="n"/>
      <c r="D98" s="8" t="n"/>
      <c r="E98" s="10" t="n"/>
      <c r="F98" s="8" t="n"/>
    </row>
    <row r="99" ht="22" customHeight="1">
      <c r="B99" s="4" t="n"/>
      <c r="C99" s="4" t="n"/>
      <c r="D99" s="4" t="n"/>
      <c r="E99" s="6" t="n"/>
      <c r="F99" s="4" t="n"/>
    </row>
    <row r="100" ht="22" customHeight="1">
      <c r="B100" s="8" t="n"/>
      <c r="C100" s="8" t="n"/>
      <c r="D100" s="8" t="n"/>
      <c r="E100" s="10" t="n"/>
      <c r="F100" s="8" t="n"/>
    </row>
    <row r="101" ht="22" customHeight="1">
      <c r="B101" s="4" t="n"/>
      <c r="C101" s="4" t="n"/>
      <c r="D101" s="4" t="n"/>
      <c r="E101" s="6" t="n"/>
      <c r="F101" s="4" t="n"/>
    </row>
    <row r="102" ht="22" customHeight="1">
      <c r="B102" s="8" t="n"/>
      <c r="C102" s="8" t="n"/>
      <c r="D102" s="8" t="n"/>
      <c r="E102" s="10" t="n"/>
      <c r="F102" s="8" t="n"/>
    </row>
    <row r="103" ht="22" customHeight="1">
      <c r="B103" s="4" t="n"/>
      <c r="C103" s="4" t="n"/>
      <c r="D103" s="4" t="n"/>
      <c r="E103" s="6" t="n"/>
      <c r="F103" s="4" t="n"/>
    </row>
    <row r="104" ht="22" customHeight="1">
      <c r="B104" s="8" t="n"/>
      <c r="C104" s="8" t="n"/>
      <c r="D104" s="8" t="n"/>
      <c r="E104" s="10" t="n"/>
      <c r="F104" s="8" t="n"/>
    </row>
  </sheetData>
  <mergeCells count="1">
    <mergeCell ref="B2:F2"/>
  </mergeCells>
  <dataValidations count="1">
    <dataValidation sqref="D5:D104" showDropDown="0" showInputMessage="0" showErrorMessage="0" allowBlank="1" errorTitle="Invalid Category" error="Please select a valid category" promptTitle="Category" prompt="Select product category" type="list">
      <formula1>"Food,Beverage,Service,Merchandise,Electronics,Clothing,Other"</formula1>
    </dataValidation>
  </dataValidation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2026-05-23T21:36:29Z</dcterms:created>
  <dcterms:modified xmlns:dcterms="http://purl.org/dc/terms/" xmlns:xsi="http://www.w3.org/2001/XMLSchema-instance" xsi:type="dcterms:W3CDTF">2026-05-23T21:36:29Z</dcterms:modified>
</cp:coreProperties>
</file>