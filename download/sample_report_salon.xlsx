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rvice Analysis" sheetId="2" state="visible" r:id="rId2"/>
    <sheet xmlns:r="http://schemas.openxmlformats.org/officeDocument/2006/relationships" name="Staff Performance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AED #,##0"/>
    <numFmt numFmtId="165" formatCode="0.0%"/>
    <numFmt numFmtId="166" formatCode="#,##0.0"/>
    <numFmt numFmtId="167" formatCode="0.0"/>
  </numFmts>
  <fonts count="7">
    <font>
      <name val="Calibri"/>
      <family val="2"/>
      <color theme="1"/>
      <sz val="11"/>
      <scheme val="minor"/>
    </font>
    <font>
      <name val="Noto Sans CJK SC"/>
      <color rgb="002C2C2C"/>
      <sz val="16"/>
    </font>
    <font>
      <name val="Noto Sans CJK SC"/>
      <color rgb="002C2C2C"/>
      <sz val="11"/>
    </font>
    <font>
      <name val="Noto Sans CJK SC"/>
      <color rgb="002C2C2C"/>
      <sz val="22"/>
    </font>
    <font>
      <name val="Noto Sans CJK SC"/>
      <color rgb="00808080"/>
      <sz val="9"/>
    </font>
    <font>
      <name val="Noto Sans CJK SC"/>
      <color rgb="00FFFFFF"/>
      <sz val="11"/>
    </font>
    <font>
      <name val="Noto Sans CJK SC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E5E5E5"/>
      </patternFill>
    </fill>
  </fills>
  <borders count="3">
    <border>
      <left/>
      <right/>
      <top/>
      <bottom/>
      <diagonal/>
    </border>
    <border>
      <bottom style="thin">
        <color rgb="00D4D4D4"/>
      </bottom>
    </border>
    <border>
      <top style="medium">
        <color rgb="00D4D4D4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bottom"/>
    </xf>
    <xf numFmtId="165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7" fontId="6" fillId="3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167" fontId="6" fillId="4" borderId="0" applyAlignment="1" pivotButton="0" quotePrefix="0" xfId="0">
      <alignment horizontal="right" vertical="center"/>
    </xf>
    <xf numFmtId="166" fontId="2" fillId="5" borderId="2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'Dashboard'!$B$9:$B$12</f>
            </numRef>
          </cat>
          <val>
            <numRef>
              <f>'Dashboard'!$C$9:$C$12</f>
            </numRef>
          </val>
        </ser>
        <ser>
          <idx val="1"/>
          <order val="1"/>
          <tx>
            <strRef>
              <f>'Dashboard'!D8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'Dashboard'!$B$9:$B$12</f>
            </numRef>
          </cat>
          <val>
            <numRef>
              <f>'Dashboard'!$D$9:$D$12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Profit Margin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'Dashboard'!F8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'Dashboard'!$B$9:$B$12</f>
            </numRef>
          </cat>
          <val>
            <numRef>
              <f>'Dashboard'!$F$9:$F$12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Margin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Share by Service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B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cat>
            <numRef>
              <f>'Service Analysis'!$B$5:$B$11</f>
            </numRef>
          </cat>
          <val>
            <numRef>
              <f>'Service Analysis'!$D$5:$D$11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Bookings by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'Service Analysis'!C4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'Service Analysis'!$B$5:$B$11</f>
            </numRef>
          </cat>
          <val>
            <numRef>
              <f>'Service Analysis'!$C$5:$C$11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Bookings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Staff Member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Performance'!E4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'Staff Performance'!$B$5:$B$11</f>
            </numRef>
          </cat>
          <val>
            <numRef>
              <f>'Staff Performance'!$E$5:$E$11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26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15" customHeight="1"/>
    <row r="2" ht="32" customHeight="1">
      <c r="B2" s="1" t="inlineStr">
        <is>
          <t>Luxe Beauty Salon — Monthly Business Report</t>
        </is>
      </c>
    </row>
    <row r="3" ht="32" customHeight="1">
      <c r="B3" s="2" t="inlineStr">
        <is>
          <t>January 2026 | Dubai, UAE</t>
        </is>
      </c>
    </row>
    <row r="4" ht="8" customHeight="1"/>
    <row r="5" ht="40" customHeight="1">
      <c r="B5" s="3" t="n">
        <v>98600</v>
      </c>
      <c r="C5" s="3" t="n">
        <v>72400</v>
      </c>
      <c r="D5" s="3" t="n">
        <v>26200</v>
      </c>
      <c r="E5" s="4" t="n">
        <v>0.266</v>
      </c>
    </row>
    <row r="6" ht="18" customHeight="1">
      <c r="B6" s="5" t="inlineStr">
        <is>
          <t>Total Revenue</t>
        </is>
      </c>
      <c r="C6" s="5" t="inlineStr">
        <is>
          <t>Total Expenses</t>
        </is>
      </c>
      <c r="D6" s="5" t="inlineStr">
        <is>
          <t>Net Profit</t>
        </is>
      </c>
      <c r="E6" s="5" t="inlineStr">
        <is>
          <t>Profit Margin</t>
        </is>
      </c>
    </row>
    <row r="8" ht="28" customHeight="1">
      <c r="B8" s="6" t="inlineStr">
        <is>
          <t>Month</t>
        </is>
      </c>
      <c r="C8" s="6" t="inlineStr">
        <is>
          <t>Revenue (AED)</t>
        </is>
      </c>
      <c r="D8" s="6" t="inlineStr">
        <is>
          <t>Expenses (AED)</t>
        </is>
      </c>
      <c r="E8" s="6" t="inlineStr">
        <is>
          <t>Net Profit (AED)</t>
        </is>
      </c>
      <c r="F8" s="6" t="inlineStr">
        <is>
          <t>Profit Margin</t>
        </is>
      </c>
    </row>
    <row r="9" ht="22" customHeight="1">
      <c r="B9" s="7" t="inlineStr">
        <is>
          <t>Oct 2025</t>
        </is>
      </c>
      <c r="C9" s="8" t="n">
        <v>82300</v>
      </c>
      <c r="D9" s="8" t="n">
        <v>68500</v>
      </c>
      <c r="E9" s="8" t="n">
        <v>13800</v>
      </c>
      <c r="F9" s="9" t="n">
        <v>0.168</v>
      </c>
    </row>
    <row r="10" ht="22" customHeight="1">
      <c r="B10" s="10" t="inlineStr">
        <is>
          <t>Nov 2025</t>
        </is>
      </c>
      <c r="C10" s="11" t="n">
        <v>88900</v>
      </c>
      <c r="D10" s="11" t="n">
        <v>70200</v>
      </c>
      <c r="E10" s="11" t="n">
        <v>18700</v>
      </c>
      <c r="F10" s="12" t="n">
        <v>0.21</v>
      </c>
    </row>
    <row r="11" ht="22" customHeight="1">
      <c r="B11" s="7" t="inlineStr">
        <is>
          <t>Dec 2025</t>
        </is>
      </c>
      <c r="C11" s="8" t="n">
        <v>112400</v>
      </c>
      <c r="D11" s="8" t="n">
        <v>76800</v>
      </c>
      <c r="E11" s="8" t="n">
        <v>35600</v>
      </c>
      <c r="F11" s="9" t="n">
        <v>0.317</v>
      </c>
    </row>
    <row r="12" ht="22" customHeight="1">
      <c r="B12" s="10" t="inlineStr">
        <is>
          <t>Jan 2026</t>
        </is>
      </c>
      <c r="C12" s="11" t="n">
        <v>98600</v>
      </c>
      <c r="D12" s="11" t="n">
        <v>72400</v>
      </c>
      <c r="E12" s="11" t="n">
        <v>26200</v>
      </c>
      <c r="F12" s="12" t="n">
        <v>0.266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B38" s="13" t="inlineStr">
        <is>
          <t>Prepared by Ahmed Ali | Data Analysis Services | ahmed-ali-ops.vercel.app</t>
        </is>
      </c>
    </row>
  </sheetData>
  <mergeCells count="3">
    <mergeCell ref="B2:F2"/>
    <mergeCell ref="B3:F3"/>
    <mergeCell ref="B38:F3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15" customHeight="1"/>
    <row r="2" ht="32" customHeight="1">
      <c r="B2" s="1" t="inlineStr">
        <is>
          <t>Revenue by Service — January 2026</t>
        </is>
      </c>
    </row>
    <row r="3" ht="8" customHeight="1"/>
    <row r="4" ht="28" customHeight="1">
      <c r="B4" s="6" t="inlineStr">
        <is>
          <t>Service</t>
        </is>
      </c>
      <c r="C4" s="6" t="inlineStr">
        <is>
          <t>Bookings</t>
        </is>
      </c>
      <c r="D4" s="6" t="inlineStr">
        <is>
          <t>Revenue (AED)</t>
        </is>
      </c>
      <c r="E4" s="6" t="inlineStr">
        <is>
          <t>Avg Price (AED)</t>
        </is>
      </c>
      <c r="F4" s="6" t="inlineStr">
        <is>
          <t>% of Revenue</t>
        </is>
      </c>
      <c r="G4" s="6" t="inlineStr">
        <is>
          <t>Utilization</t>
        </is>
      </c>
    </row>
    <row r="5" ht="22" customHeight="1">
      <c r="B5" s="7" t="inlineStr">
        <is>
          <t>Hair Coloring</t>
        </is>
      </c>
      <c r="C5" s="8" t="n">
        <v>180</v>
      </c>
      <c r="D5" s="8" t="n">
        <v>27000</v>
      </c>
      <c r="E5" s="8" t="n">
        <v>150</v>
      </c>
      <c r="F5" s="9" t="n">
        <v>0.274</v>
      </c>
      <c r="G5" s="9" t="n">
        <v>0.85</v>
      </c>
    </row>
    <row r="6" ht="22" customHeight="1">
      <c r="B6" s="10" t="inlineStr">
        <is>
          <t>Haircut &amp; Styling</t>
        </is>
      </c>
      <c r="C6" s="11" t="n">
        <v>320</v>
      </c>
      <c r="D6" s="11" t="n">
        <v>19200</v>
      </c>
      <c r="E6" s="11" t="n">
        <v>60</v>
      </c>
      <c r="F6" s="12" t="n">
        <v>0.195</v>
      </c>
      <c r="G6" s="12" t="n">
        <v>0.9</v>
      </c>
    </row>
    <row r="7" ht="22" customHeight="1">
      <c r="B7" s="7" t="inlineStr">
        <is>
          <t>Bridal Package</t>
        </is>
      </c>
      <c r="C7" s="8" t="n">
        <v>12</v>
      </c>
      <c r="D7" s="8" t="n">
        <v>16800</v>
      </c>
      <c r="E7" s="8" t="n">
        <v>1400</v>
      </c>
      <c r="F7" s="9" t="n">
        <v>0.17</v>
      </c>
      <c r="G7" s="9" t="n">
        <v>1</v>
      </c>
    </row>
    <row r="8" ht="22" customHeight="1">
      <c r="B8" s="10" t="inlineStr">
        <is>
          <t>Facial Treatment</t>
        </is>
      </c>
      <c r="C8" s="11" t="n">
        <v>210</v>
      </c>
      <c r="D8" s="11" t="n">
        <v>12600</v>
      </c>
      <c r="E8" s="11" t="n">
        <v>60</v>
      </c>
      <c r="F8" s="12" t="n">
        <v>0.128</v>
      </c>
      <c r="G8" s="12" t="n">
        <v>0.72</v>
      </c>
    </row>
    <row r="9" ht="22" customHeight="1">
      <c r="B9" s="7" t="inlineStr">
        <is>
          <t>Manicure &amp; Pedicure</t>
        </is>
      </c>
      <c r="C9" s="8" t="n">
        <v>280</v>
      </c>
      <c r="D9" s="8" t="n">
        <v>11200</v>
      </c>
      <c r="E9" s="8" t="n">
        <v>40</v>
      </c>
      <c r="F9" s="9" t="n">
        <v>0.114</v>
      </c>
      <c r="G9" s="9" t="n">
        <v>0.8</v>
      </c>
    </row>
    <row r="10" ht="22" customHeight="1">
      <c r="B10" s="10" t="inlineStr">
        <is>
          <t>Keratin Treatment</t>
        </is>
      </c>
      <c r="C10" s="11" t="n">
        <v>45</v>
      </c>
      <c r="D10" s="11" t="n">
        <v>8550</v>
      </c>
      <c r="E10" s="11" t="n">
        <v>190</v>
      </c>
      <c r="F10" s="12" t="n">
        <v>0.08699999999999999</v>
      </c>
      <c r="G10" s="12" t="n">
        <v>0.65</v>
      </c>
    </row>
    <row r="11" ht="22" customHeight="1">
      <c r="B11" s="7" t="inlineStr">
        <is>
          <t>Henna Design</t>
        </is>
      </c>
      <c r="C11" s="8" t="n">
        <v>60</v>
      </c>
      <c r="D11" s="8" t="n">
        <v>3250</v>
      </c>
      <c r="E11" s="8" t="n">
        <v>54.2</v>
      </c>
      <c r="F11" s="9" t="n">
        <v>0.032</v>
      </c>
      <c r="G11" s="9" t="n">
        <v>0.5</v>
      </c>
    </row>
    <row r="12" ht="26" customHeight="1">
      <c r="B12" s="14" t="inlineStr">
        <is>
          <t>TOTAL</t>
        </is>
      </c>
      <c r="C12" s="15" t="n">
        <v>1107</v>
      </c>
      <c r="D12" s="15" t="n">
        <v>98600</v>
      </c>
      <c r="E12" s="15" t="n">
        <v>89</v>
      </c>
      <c r="F12" s="16" t="n">
        <v>1</v>
      </c>
      <c r="G12" s="14" t="inlineStr">
        <is>
          <t>—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B39" s="13" t="inlineStr">
        <is>
          <t>Prepared by Ahmed Ali | Data Analysis Services | ahmed-ali-ops.vercel.app</t>
        </is>
      </c>
    </row>
  </sheetData>
  <mergeCells count="2">
    <mergeCell ref="B2:G2"/>
    <mergeCell ref="B39:G3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9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15" customHeight="1"/>
    <row r="2" ht="32" customHeight="1">
      <c r="B2" s="1" t="inlineStr">
        <is>
          <t>Staff Performance — January 2026</t>
        </is>
      </c>
    </row>
    <row r="3" ht="8" customHeight="1"/>
    <row r="4" ht="28" customHeight="1">
      <c r="B4" s="6" t="inlineStr">
        <is>
          <t>Staff Name</t>
        </is>
      </c>
      <c r="C4" s="6" t="inlineStr">
        <is>
          <t>Role</t>
        </is>
      </c>
      <c r="D4" s="6" t="inlineStr">
        <is>
          <t>Clients Served</t>
        </is>
      </c>
      <c r="E4" s="6" t="inlineStr">
        <is>
          <t>Revenue (AED)</t>
        </is>
      </c>
      <c r="F4" s="6" t="inlineStr">
        <is>
          <t>Avg Ticket (AED)</t>
        </is>
      </c>
      <c r="G4" s="6" t="inlineStr">
        <is>
          <t>Rating</t>
        </is>
      </c>
    </row>
    <row r="5" ht="22" customHeight="1">
      <c r="B5" s="7" t="inlineStr">
        <is>
          <t>Fatima K.</t>
        </is>
      </c>
      <c r="C5" s="7" t="inlineStr">
        <is>
          <t>Senior Stylist</t>
        </is>
      </c>
      <c r="D5" s="8" t="n">
        <v>95</v>
      </c>
      <c r="E5" s="8" t="n">
        <v>18500</v>
      </c>
      <c r="F5" s="17" t="n">
        <v>194.7</v>
      </c>
      <c r="G5" s="18" t="n">
        <v>4.9</v>
      </c>
    </row>
    <row r="6" ht="22" customHeight="1">
      <c r="B6" s="10" t="inlineStr">
        <is>
          <t>Noor A.</t>
        </is>
      </c>
      <c r="C6" s="10" t="inlineStr">
        <is>
          <t>Colorist</t>
        </is>
      </c>
      <c r="D6" s="11" t="n">
        <v>78</v>
      </c>
      <c r="E6" s="11" t="n">
        <v>15200</v>
      </c>
      <c r="F6" s="19" t="n">
        <v>194.9</v>
      </c>
      <c r="G6" s="20" t="n">
        <v>4.8</v>
      </c>
    </row>
    <row r="7" ht="22" customHeight="1">
      <c r="B7" s="7" t="inlineStr">
        <is>
          <t>Sara M.</t>
        </is>
      </c>
      <c r="C7" s="7" t="inlineStr">
        <is>
          <t>Bridal Specialist</t>
        </is>
      </c>
      <c r="D7" s="8" t="n">
        <v>22</v>
      </c>
      <c r="E7" s="8" t="n">
        <v>16800</v>
      </c>
      <c r="F7" s="17" t="n">
        <v>763.6</v>
      </c>
      <c r="G7" s="18" t="n">
        <v>5</v>
      </c>
    </row>
    <row r="8" ht="22" customHeight="1">
      <c r="B8" s="10" t="inlineStr">
        <is>
          <t>Maryam H.</t>
        </is>
      </c>
      <c r="C8" s="10" t="inlineStr">
        <is>
          <t>Nail Technician</t>
        </is>
      </c>
      <c r="D8" s="11" t="n">
        <v>120</v>
      </c>
      <c r="E8" s="11" t="n">
        <v>8400</v>
      </c>
      <c r="F8" s="19" t="n">
        <v>70</v>
      </c>
      <c r="G8" s="20" t="n">
        <v>4.7</v>
      </c>
    </row>
    <row r="9" ht="22" customHeight="1">
      <c r="B9" s="7" t="inlineStr">
        <is>
          <t>Aisha R.</t>
        </is>
      </c>
      <c r="C9" s="7" t="inlineStr">
        <is>
          <t>Facial Specialist</t>
        </is>
      </c>
      <c r="D9" s="8" t="n">
        <v>88</v>
      </c>
      <c r="E9" s="8" t="n">
        <v>7920</v>
      </c>
      <c r="F9" s="17" t="n">
        <v>90</v>
      </c>
      <c r="G9" s="18" t="n">
        <v>4.6</v>
      </c>
    </row>
    <row r="10" ht="22" customHeight="1">
      <c r="B10" s="10" t="inlineStr">
        <is>
          <t>Layla S.</t>
        </is>
      </c>
      <c r="C10" s="10" t="inlineStr">
        <is>
          <t>Junior Stylist</t>
        </is>
      </c>
      <c r="D10" s="11" t="n">
        <v>65</v>
      </c>
      <c r="E10" s="11" t="n">
        <v>5850</v>
      </c>
      <c r="F10" s="19" t="n">
        <v>90</v>
      </c>
      <c r="G10" s="20" t="n">
        <v>4.5</v>
      </c>
    </row>
    <row r="11" ht="22" customHeight="1">
      <c r="B11" s="7" t="inlineStr">
        <is>
          <t>Huda B.</t>
        </is>
      </c>
      <c r="C11" s="7" t="inlineStr">
        <is>
          <t>Henna Artist</t>
        </is>
      </c>
      <c r="D11" s="8" t="n">
        <v>50</v>
      </c>
      <c r="E11" s="8" t="n">
        <v>2700</v>
      </c>
      <c r="F11" s="17" t="n">
        <v>54</v>
      </c>
      <c r="G11" s="18" t="n">
        <v>4.8</v>
      </c>
    </row>
    <row r="12" ht="26" customHeight="1">
      <c r="B12" s="14" t="inlineStr">
        <is>
          <t>TOTAL</t>
        </is>
      </c>
      <c r="C12" s="14" t="inlineStr">
        <is>
          <t>—</t>
        </is>
      </c>
      <c r="D12" s="15" t="n">
        <v>518</v>
      </c>
      <c r="E12" s="15" t="n">
        <v>75370</v>
      </c>
      <c r="F12" s="21" t="n">
        <v>145.5</v>
      </c>
      <c r="G12" s="14" t="inlineStr">
        <is>
          <t>—</t>
        </is>
      </c>
    </row>
    <row r="13">
      <c r="B13" s="13" t="inlineStr">
        <is>
          <t>Note: Staff revenue does not equal total salon revenue (some bookings have multiple staff)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>
      <c r="B27" s="13" t="inlineStr">
        <is>
          <t>Prepared by Ahmed Ali | Data Analysis Services | ahmed-ali-ops.vercel.app</t>
        </is>
      </c>
    </row>
  </sheetData>
  <mergeCells count="3">
    <mergeCell ref="B2:G2"/>
    <mergeCell ref="B27:G27"/>
    <mergeCell ref="B13:G13"/>
  </mergeCells>
  <conditionalFormatting sqref="G5:G11">
    <cfRule type="cellIs" priority="1" operator="greaterThanOrEqual" dxfId="0">
      <formula>4.8</formula>
    </cfRule>
    <cfRule type="cellIs" priority="2" operator="between" dxfId="1">
      <formula>4.6</formula>
      <formula>4.79</formula>
    </cfRule>
    <cfRule type="cellIs" priority="3" operator="lessThan" dxfId="2">
      <formula>4.6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0" customWidth="1" min="3" max="3"/>
    <col width="8" customWidth="1" min="4" max="4"/>
  </cols>
  <sheetData>
    <row r="1" ht="15" customHeight="1"/>
    <row r="2" ht="32" customHeight="1">
      <c r="B2" s="1" t="inlineStr">
        <is>
          <t>Key Insights &amp; Recommendations</t>
        </is>
      </c>
    </row>
    <row r="3" ht="8" customHeight="1"/>
    <row r="4" ht="28" customHeight="1">
      <c r="B4" s="6" t="inlineStr">
        <is>
          <t>#</t>
        </is>
      </c>
      <c r="C4" s="6" t="inlineStr">
        <is>
          <t>Insight</t>
        </is>
      </c>
      <c r="D4" s="6" t="inlineStr">
        <is>
          <t>Priority</t>
        </is>
      </c>
    </row>
    <row r="5" ht="22" customHeight="1">
      <c r="B5" s="22" t="n">
        <v>1</v>
      </c>
      <c r="C5" s="7" t="inlineStr">
        <is>
          <t>Bridal packages generate AED 1,400 avg ticket — highest ROI. Increase bridal marketing budget by 20%.</t>
        </is>
      </c>
      <c r="D5" s="22" t="inlineStr">
        <is>
          <t>High</t>
        </is>
      </c>
    </row>
    <row r="6" ht="22" customHeight="1">
      <c r="B6" s="23" t="n">
        <v>2</v>
      </c>
      <c r="C6" s="10" t="inlineStr">
        <is>
          <t>Keratin treatment utilization is only 65%. Run a promotion to boost bookings.</t>
        </is>
      </c>
      <c r="D6" s="23" t="inlineStr">
        <is>
          <t>Medium</t>
        </is>
      </c>
    </row>
    <row r="7" ht="22" customHeight="1">
      <c r="B7" s="22" t="n">
        <v>3</v>
      </c>
      <c r="C7" s="7" t="inlineStr">
        <is>
          <t>Henna service utilization at 50%. Consider offering henna as add-on to bridal packages.</t>
        </is>
      </c>
      <c r="D7" s="22" t="inlineStr">
        <is>
          <t>Medium</t>
        </is>
      </c>
    </row>
    <row r="8" ht="22" customHeight="1">
      <c r="B8" s="23" t="n">
        <v>4</v>
      </c>
      <c r="C8" s="10" t="inlineStr">
        <is>
          <t>December showed 31.7% margin (wedding season). Plan staffing for Dec 2026 peak.</t>
        </is>
      </c>
      <c r="D8" s="23" t="inlineStr">
        <is>
          <t>Low</t>
        </is>
      </c>
    </row>
    <row r="9" ht="22" customHeight="1">
      <c r="B9" s="22" t="n">
        <v>5</v>
      </c>
      <c r="C9" s="7" t="inlineStr">
        <is>
          <t>Facial treatments have room for growth (72% utilization). Partner with skincare brands for events.</t>
        </is>
      </c>
      <c r="D9" s="22" t="inlineStr">
        <is>
          <t>Medium</t>
        </is>
      </c>
    </row>
    <row r="10"/>
    <row r="11">
      <c r="B11" s="13" t="inlineStr">
        <is>
          <t>Prepared by Ahmed Ali | Data Analysis Services | ahmed-ali-ops.vercel.app</t>
        </is>
      </c>
    </row>
  </sheetData>
  <mergeCells count="2">
    <mergeCell ref="B11:D11"/>
    <mergeCell ref="B2:D2"/>
  </mergeCells>
  <conditionalFormatting sqref="D5:D9">
    <cfRule type="cellIs" priority="1" operator="equal" dxfId="2">
      <formula>"High"</formula>
    </cfRule>
    <cfRule type="cellIs" priority="2" operator="equal" dxfId="1">
      <formula>"Medium"</formula>
    </cfRule>
    <cfRule type="cellIs" priority="3" operator="equal" dxfId="0">
      <formula>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2026-05-23T14:31:21Z</dcterms:created>
  <dcterms:modified xmlns:dcterms="http://purl.org/dc/terms/" xmlns:xsi="http://www.w3.org/2001/XMLSchema-instance" xsi:type="dcterms:W3CDTF">2026-05-23T14:31:21Z</dcterms:modified>
</cp:coreProperties>
</file>