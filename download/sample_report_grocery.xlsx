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oduct Analysis" sheetId="2" state="visible" r:id="rId2"/>
    <sheet xmlns:r="http://schemas.openxmlformats.org/officeDocument/2006/relationships" name="Inventory Alerts" sheetId="3" state="visible" r:id="rId3"/>
    <sheet xmlns:r="http://schemas.openxmlformats.org/officeDocument/2006/relationships" name="Recommenda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7">
    <font>
      <name val="Calibri"/>
      <family val="2"/>
      <color theme="1"/>
      <sz val="11"/>
      <scheme val="minor"/>
    </font>
    <font>
      <name val="Noto Sans CJK SC"/>
      <color rgb="001B2A4A"/>
      <sz val="16"/>
    </font>
    <font>
      <name val="Noto Sans CJK SC"/>
      <color rgb="008C8A84"/>
      <sz val="9"/>
    </font>
    <font>
      <name val="Noto Sans CJK SC"/>
      <color rgb="001B2A4A"/>
      <sz val="22"/>
    </font>
    <font>
      <name val="Noto Sans CJK SC"/>
      <color rgb="00FFFFFF"/>
      <sz val="11"/>
    </font>
    <font>
      <name val="Noto Sans CJK SC"/>
      <color rgb="0037352F"/>
      <sz val="11"/>
    </font>
    <font>
      <name val="Noto Sans CJK SC"/>
      <color rgb="001B2A4A"/>
      <sz val="11"/>
    </font>
  </fonts>
  <fills count="6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FFFFFF"/>
      </patternFill>
    </fill>
    <fill>
      <patternFill patternType="solid">
        <fgColor rgb="00F7F7F5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bottom style="thin">
        <color rgb="00E9E9E8"/>
      </bottom>
    </border>
    <border>
      <top style="medium">
        <color rgb="00E9E9E8"/>
      </top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center" vertical="bottom"/>
    </xf>
    <xf numFmtId="164" fontId="3" fillId="0" borderId="0" applyAlignment="1" pivotButton="0" quotePrefix="0" xfId="0">
      <alignment horizontal="center" vertical="bottom"/>
    </xf>
    <xf numFmtId="0" fontId="2" fillId="0" borderId="0" applyAlignment="1" pivotButton="0" quotePrefix="0" xfId="0">
      <alignment horizontal="center" vertical="top"/>
    </xf>
    <xf numFmtId="0" fontId="4" fillId="2" borderId="1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164" fontId="5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3" fontId="5" fillId="4" borderId="0" applyAlignment="1" pivotButton="0" quotePrefix="0" xfId="0">
      <alignment horizontal="right" vertical="center"/>
    </xf>
    <xf numFmtId="164" fontId="5" fillId="4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 wrapText="1"/>
    </xf>
    <xf numFmtId="165" fontId="5" fillId="3" borderId="0" applyAlignment="1" pivotButton="0" quotePrefix="0" xfId="0">
      <alignment horizontal="right" vertical="center"/>
    </xf>
    <xf numFmtId="3" fontId="0" fillId="0" borderId="0" pivotButton="0" quotePrefix="0" xfId="0"/>
    <xf numFmtId="165" fontId="5" fillId="4" borderId="0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right" vertical="center"/>
    </xf>
    <xf numFmtId="0" fontId="5" fillId="3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b val="1"/>
        <color rgb="00C0392B"/>
      </font>
      <fill>
        <patternFill>
          <bgColor rgb="00FDEDEC"/>
        </patternFill>
      </fill>
    </dxf>
    <dxf>
      <font>
        <b val="1"/>
        <color rgb="00D4820A"/>
      </font>
      <fill>
        <patternFill>
          <bgColor rgb="00FEF9E7"/>
        </patternFill>
      </fill>
    </dxf>
    <dxf>
      <font>
        <b val="1"/>
        <color rgb="001B7D46"/>
      </font>
      <fill>
        <patternFill>
          <bgColor rgb="00E8F5E9"/>
        </patternFill>
      </fill>
    </dxf>
    <dxf>
      <font>
        <b val="1"/>
        <color rgb="001B2A4A"/>
      </font>
      <fill>
        <patternFill>
          <bgColor rgb="00D6E4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Revenue vs Expenses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'Dashboard'!C8</f>
            </strRef>
          </tx>
          <spPr>
            <a:solidFill xmlns:a="http://schemas.openxmlformats.org/drawingml/2006/main">
              <a:srgbClr val="1B2A4A"/>
            </a:solidFill>
            <a:ln xmlns:a="http://schemas.openxmlformats.org/drawingml/2006/main">
              <a:solidFill>
                <a:srgbClr val="1B2A4A"/>
              </a:solidFill>
              <a:prstDash val="solid"/>
            </a:ln>
          </spPr>
          <cat>
            <numRef>
              <f>'Dashboard'!$B$9:$B$12</f>
            </numRef>
          </cat>
          <val>
            <numRef>
              <f>'Dashboard'!$C$9:$C$12</f>
            </numRef>
          </val>
        </ser>
        <ser>
          <idx val="1"/>
          <order val="1"/>
          <tx>
            <strRef>
              <f>'Dashboard'!D8</f>
            </strRef>
          </tx>
          <spPr>
            <a:solidFill xmlns:a="http://schemas.openxmlformats.org/drawingml/2006/main">
              <a:srgbClr val="D4820A"/>
            </a:solidFill>
            <a:ln xmlns:a="http://schemas.openxmlformats.org/drawingml/2006/main">
              <a:solidFill>
                <a:srgbClr val="D4820A"/>
              </a:solidFill>
              <a:prstDash val="solid"/>
            </a:ln>
          </spPr>
          <cat>
            <numRef>
              <f>'Dashboard'!$B$9:$B$12</f>
            </numRef>
          </cat>
          <val>
            <numRef>
              <f>'Dashboard'!$D$9:$D$12</f>
            </numRef>
          </val>
        </ser>
        <gapWidth val="100"/>
        <overlap val="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Noto Sans CJK SC"/>
                    <a:ea typeface="Noto Sans CJK SC"/>
                  </a:defRPr>
                </a:pPr>
                <a:r>
                  <a:rPr sz="1000" b="0">
                    <a:latin typeface="Noto Sans CJK SC"/>
                    <a:ea typeface="Noto Sans CJK SC"/>
                  </a:rPr>
                  <a:t>Amount 
(AED)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Noto Sans CJK SC"/>
                  <a:ea typeface="Noto Sans CJK SC"/>
                </a:defRPr>
              </a:pPr>
              <a:r>
                <a:t/>
              </a:r>
            </a:p>
          </txPr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Profit Margin Trend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'Dashboard'!F8</f>
            </strRef>
          </tx>
          <spPr>
            <a:solidFill xmlns:a="http://schemas.openxmlformats.org/drawingml/2006/main">
              <a:srgbClr val="1B7D46"/>
            </a:solidFill>
            <a:ln xmlns:a="http://schemas.openxmlformats.org/drawingml/2006/main" w="28000">
              <a:solidFill>
                <a:srgbClr val="1B7D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'Dashboard'!$B$9:$B$12</f>
            </numRef>
          </cat>
          <val>
            <numRef>
              <f>'Dashboard'!$F$9:$F$12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25"/>
          <min val="0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Noto Sans CJK SC"/>
                    <a:ea typeface="Noto Sans CJK SC"/>
                  </a:defRPr>
                </a:pPr>
                <a:r>
                  <a:rPr sz="1000" b="0">
                    <a:latin typeface="Noto Sans CJK SC"/>
                    <a:ea typeface="Noto Sans CJK SC"/>
                  </a:rPr>
                  <a:t>Margin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Noto Sans CJK SC"/>
                  <a:ea typeface="Noto Sans CJK SC"/>
                </a:defRPr>
              </a:pPr>
              <a:r>
                <a:t/>
              </a:r>
            </a:p>
          </txPr>
        </title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Revenue by Product (AED)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'Product Analysis'!E5</f>
            </strRef>
          </tx>
          <spPr>
            <a:solidFill xmlns:a="http://schemas.openxmlformats.org/drawingml/2006/main">
              <a:srgbClr val="1B2A4A"/>
            </a:solidFill>
            <a:ln xmlns:a="http://schemas.openxmlformats.org/drawingml/2006/main">
              <a:solidFill>
                <a:srgbClr val="1B2A4A"/>
              </a:solidFill>
              <a:prstDash val="solid"/>
            </a:ln>
          </spPr>
          <cat>
            <numRef>
              <f>'Product Analysis'!$B$6:$B$15</f>
            </numRef>
          </cat>
          <val>
            <numRef>
              <f>'Product Analysis'!$E$6:$E$15</f>
            </numRef>
          </val>
        </ser>
        <gapWidth val="8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000" b="0">
                    <a:latin typeface="Noto Sans CJK SC"/>
                    <a:ea typeface="Noto Sans CJK SC"/>
                  </a:defRPr>
                </a:pPr>
                <a:r>
                  <a:rPr sz="1000" b="0">
                    <a:latin typeface="Noto Sans CJK SC"/>
                    <a:ea typeface="Noto Sans CJK SC"/>
                  </a:rPr>
                  <a:t>Revenue (AED)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 sz="1200" b="0">
                <a:latin typeface="Noto Sans CJK SC"/>
                <a:ea typeface="Noto Sans CJK SC"/>
              </a:defRPr>
            </a:pPr>
            <a:r>
              <a:rPr sz="1200" b="0">
                <a:latin typeface="Noto Sans CJK SC"/>
                <a:ea typeface="Noto Sans CJK SC"/>
              </a:rPr>
              <a:t>Revenue by Category</a:t>
            </a:r>
          </a:p>
        </rich>
      </tx>
    </title>
    <plotArea>
      <pieChart>
        <varyColors val="1"/>
        <ser>
          <idx val="0"/>
          <order val="0"/>
          <tx>
            <strRef>
              <f>'Product Analysis'!K5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B2A4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B7D46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820A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C8A84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1B2A4A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1B7D46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4820A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8C8A84"/>
              </a:solidFill>
              <a:ln xmlns:a="http://schemas.openxmlformats.org/drawingml/2006/main">
                <a:prstDash val="solid"/>
              </a:ln>
            </spPr>
          </dPt>
          <cat>
            <numRef>
              <f>'Product Analysis'!$J$6:$J$15</f>
            </numRef>
          </cat>
          <val>
            <numRef>
              <f>'Product Analysis'!$K$6:$K$15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30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17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34</row>
      <rowOff>0</rowOff>
    </from>
    <ext cx="576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</cols>
  <sheetData>
    <row r="1" ht="15" customHeight="1"/>
    <row r="2" ht="32" customHeight="1">
      <c r="B2" s="1" t="inlineStr">
        <is>
          <t>Al Madina Grocery — Monthly Business Report</t>
        </is>
      </c>
    </row>
    <row r="3" ht="18" customHeight="1">
      <c r="B3" s="2" t="inlineStr">
        <is>
          <t>January 2026 | Ajman, UAE</t>
        </is>
      </c>
    </row>
    <row r="5" ht="48" customHeight="1">
      <c r="B5" s="3" t="n">
        <v>312800</v>
      </c>
      <c r="D5" s="3" t="n">
        <v>268400</v>
      </c>
      <c r="F5" s="3" t="n">
        <v>44400</v>
      </c>
      <c r="H5" s="4" t="n">
        <v>0.142</v>
      </c>
    </row>
    <row r="6" ht="18" customHeight="1">
      <c r="B6" s="5" t="inlineStr">
        <is>
          <t>Total Revenue</t>
        </is>
      </c>
      <c r="D6" s="5" t="inlineStr">
        <is>
          <t>Total Expenses</t>
        </is>
      </c>
      <c r="F6" s="5" t="inlineStr">
        <is>
          <t>Net Profit</t>
        </is>
      </c>
      <c r="H6" s="5" t="inlineStr">
        <is>
          <t>Profit Margin</t>
        </is>
      </c>
    </row>
    <row r="8" ht="28" customHeight="1">
      <c r="B8" s="6" t="inlineStr">
        <is>
          <t>Month</t>
        </is>
      </c>
      <c r="C8" s="6" t="inlineStr">
        <is>
          <t>Revenue (AED)</t>
        </is>
      </c>
      <c r="D8" s="6" t="inlineStr">
        <is>
          <t>Expenses (AED)</t>
        </is>
      </c>
      <c r="E8" s="6" t="inlineStr">
        <is>
          <t>Net Profit (AED)</t>
        </is>
      </c>
      <c r="F8" s="6" t="inlineStr">
        <is>
          <t>Profit Margin</t>
        </is>
      </c>
    </row>
    <row r="9" ht="22" customHeight="1">
      <c r="B9" s="7" t="inlineStr">
        <is>
          <t>Oct 2025</t>
        </is>
      </c>
      <c r="C9" s="8" t="n">
        <v>285600</v>
      </c>
      <c r="D9" s="8" t="n">
        <v>252100</v>
      </c>
      <c r="E9" s="8" t="n">
        <v>33500</v>
      </c>
      <c r="F9" s="9" t="n">
        <v>0.117</v>
      </c>
    </row>
    <row r="10" ht="22" customHeight="1">
      <c r="B10" s="10" t="inlineStr">
        <is>
          <t>Nov 2025</t>
        </is>
      </c>
      <c r="C10" s="11" t="n">
        <v>298400</v>
      </c>
      <c r="D10" s="11" t="n">
        <v>259800</v>
      </c>
      <c r="E10" s="11" t="n">
        <v>38600</v>
      </c>
      <c r="F10" s="12" t="n">
        <v>0.129</v>
      </c>
    </row>
    <row r="11" ht="22" customHeight="1">
      <c r="B11" s="7" t="inlineStr">
        <is>
          <t>Dec 2025</t>
        </is>
      </c>
      <c r="C11" s="8" t="n">
        <v>342100</v>
      </c>
      <c r="D11" s="8" t="n">
        <v>278500</v>
      </c>
      <c r="E11" s="8" t="n">
        <v>63600</v>
      </c>
      <c r="F11" s="9" t="n">
        <v>0.186</v>
      </c>
    </row>
    <row r="12" ht="22" customHeight="1">
      <c r="B12" s="10" t="inlineStr">
        <is>
          <t>Jan 2026</t>
        </is>
      </c>
      <c r="C12" s="11" t="n">
        <v>312800</v>
      </c>
      <c r="D12" s="11" t="n">
        <v>268400</v>
      </c>
      <c r="E12" s="11" t="n">
        <v>44400</v>
      </c>
      <c r="F12" s="12" t="n">
        <v>0.142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 ht="20" customHeight="1">
      <c r="B47" s="2" t="inlineStr">
        <is>
          <t>Prepared by Ahmed Ali | Data Analysis Services | ahmed-ali-ops.vercel.app</t>
        </is>
      </c>
    </row>
  </sheetData>
  <mergeCells count="3">
    <mergeCell ref="B3:H3"/>
    <mergeCell ref="B47:H47"/>
    <mergeCell ref="B2:H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K5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3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15" customHeight="1"/>
    <row r="2" ht="32" customHeight="1">
      <c r="B2" s="1" t="inlineStr">
        <is>
          <t>Top Products — January 2026</t>
        </is>
      </c>
    </row>
    <row r="3" ht="8" customHeight="1"/>
    <row r="5" ht="28" customHeight="1">
      <c r="B5" s="6" t="inlineStr">
        <is>
          <t>Product</t>
        </is>
      </c>
      <c r="C5" s="6" t="inlineStr">
        <is>
          <t>Category</t>
        </is>
      </c>
      <c r="D5" s="6" t="inlineStr">
        <is>
          <t>Units Sold</t>
        </is>
      </c>
      <c r="E5" s="6" t="inlineStr">
        <is>
          <t>Revenue (AED)</t>
        </is>
      </c>
      <c r="F5" s="6" t="inlineStr">
        <is>
          <t>Unit Price (AED)</t>
        </is>
      </c>
      <c r="G5" s="6" t="inlineStr">
        <is>
          <t>Profit Margin</t>
        </is>
      </c>
      <c r="J5" t="inlineStr">
        <is>
          <t>Category</t>
        </is>
      </c>
      <c r="K5" s="13" t="inlineStr">
        <is>
          <t>Revenue (AED)</t>
        </is>
      </c>
    </row>
    <row r="6" ht="22" customHeight="1">
      <c r="B6" s="7" t="inlineStr">
        <is>
          <t>Basmati Rice (25kg)</t>
        </is>
      </c>
      <c r="C6" s="7" t="inlineStr">
        <is>
          <t>Grains</t>
        </is>
      </c>
      <c r="D6" s="8" t="n">
        <v>420</v>
      </c>
      <c r="E6" s="8" t="n">
        <v>33600</v>
      </c>
      <c r="F6" s="14" t="n">
        <v>80</v>
      </c>
      <c r="G6" s="9" t="n">
        <v>0.22</v>
      </c>
      <c r="J6" t="inlineStr">
        <is>
          <t>Grains</t>
        </is>
      </c>
      <c r="K6" s="15" t="n">
        <v>33600</v>
      </c>
    </row>
    <row r="7" ht="22" customHeight="1">
      <c r="B7" s="10" t="inlineStr">
        <is>
          <t>Fresh Chicken (kg)</t>
        </is>
      </c>
      <c r="C7" s="10" t="inlineStr">
        <is>
          <t>Meat</t>
        </is>
      </c>
      <c r="D7" s="11" t="n">
        <v>680</v>
      </c>
      <c r="E7" s="11" t="n">
        <v>27200</v>
      </c>
      <c r="F7" s="16" t="n">
        <v>40</v>
      </c>
      <c r="G7" s="12" t="n">
        <v>0.15</v>
      </c>
      <c r="J7" t="inlineStr">
        <is>
          <t>Meat</t>
        </is>
      </c>
      <c r="K7" s="15" t="n">
        <v>27200</v>
      </c>
    </row>
    <row r="8" ht="22" customHeight="1">
      <c r="B8" s="7" t="inlineStr">
        <is>
          <t>Cooking Oil (5L)</t>
        </is>
      </c>
      <c r="C8" s="7" t="inlineStr">
        <is>
          <t>Oil &amp; Ghee</t>
        </is>
      </c>
      <c r="D8" s="8" t="n">
        <v>540</v>
      </c>
      <c r="E8" s="8" t="n">
        <v>24300</v>
      </c>
      <c r="F8" s="14" t="n">
        <v>45</v>
      </c>
      <c r="G8" s="9" t="n">
        <v>0.185</v>
      </c>
      <c r="J8" t="inlineStr">
        <is>
          <t>Oil &amp; Ghee</t>
        </is>
      </c>
      <c r="K8" s="15" t="n">
        <v>24300</v>
      </c>
    </row>
    <row r="9" ht="22" customHeight="1">
      <c r="B9" s="10" t="inlineStr">
        <is>
          <t>Fresh Milk (1L)</t>
        </is>
      </c>
      <c r="C9" s="10" t="inlineStr">
        <is>
          <t>Dairy</t>
        </is>
      </c>
      <c r="D9" s="11" t="n">
        <v>1200</v>
      </c>
      <c r="E9" s="11" t="n">
        <v>8400</v>
      </c>
      <c r="F9" s="16" t="n">
        <v>7</v>
      </c>
      <c r="G9" s="12" t="n">
        <v>0.28</v>
      </c>
      <c r="J9" t="inlineStr">
        <is>
          <t>Dry Fruits</t>
        </is>
      </c>
      <c r="K9" s="15" t="n">
        <v>12400</v>
      </c>
    </row>
    <row r="10" ht="22" customHeight="1">
      <c r="B10" s="7" t="inlineStr">
        <is>
          <t>Bread (pack)</t>
        </is>
      </c>
      <c r="C10" s="7" t="inlineStr">
        <is>
          <t>Bakery</t>
        </is>
      </c>
      <c r="D10" s="8" t="n">
        <v>950</v>
      </c>
      <c r="E10" s="8" t="n">
        <v>4750</v>
      </c>
      <c r="F10" s="14" t="n">
        <v>5</v>
      </c>
      <c r="G10" s="9" t="n">
        <v>0.35</v>
      </c>
      <c r="J10" t="inlineStr">
        <is>
          <t>Dairy</t>
        </is>
      </c>
      <c r="K10" s="15" t="n">
        <v>8400</v>
      </c>
    </row>
    <row r="11" ht="22" customHeight="1">
      <c r="B11" s="10" t="inlineStr">
        <is>
          <t>Dates (1kg)</t>
        </is>
      </c>
      <c r="C11" s="10" t="inlineStr">
        <is>
          <t>Dry Fruits</t>
        </is>
      </c>
      <c r="D11" s="11" t="n">
        <v>310</v>
      </c>
      <c r="E11" s="11" t="n">
        <v>12400</v>
      </c>
      <c r="F11" s="16" t="n">
        <v>40</v>
      </c>
      <c r="G11" s="12" t="n">
        <v>0.42</v>
      </c>
      <c r="J11" t="inlineStr">
        <is>
          <t>Household</t>
        </is>
      </c>
      <c r="K11" s="15" t="n">
        <v>8400</v>
      </c>
    </row>
    <row r="12" ht="22" customHeight="1">
      <c r="B12" s="7" t="inlineStr">
        <is>
          <t>Spices Mix</t>
        </is>
      </c>
      <c r="C12" s="7" t="inlineStr">
        <is>
          <t>Spices</t>
        </is>
      </c>
      <c r="D12" s="8" t="n">
        <v>480</v>
      </c>
      <c r="E12" s="8" t="n">
        <v>7200</v>
      </c>
      <c r="F12" s="14" t="n">
        <v>15</v>
      </c>
      <c r="G12" s="9" t="n">
        <v>0.55</v>
      </c>
      <c r="J12" t="inlineStr">
        <is>
          <t>Spices</t>
        </is>
      </c>
      <c r="K12" s="15" t="n">
        <v>7200</v>
      </c>
    </row>
    <row r="13" ht="22" customHeight="1">
      <c r="B13" s="10" t="inlineStr">
        <is>
          <t>Water (24-pack)</t>
        </is>
      </c>
      <c r="C13" s="10" t="inlineStr">
        <is>
          <t>Beverages</t>
        </is>
      </c>
      <c r="D13" s="11" t="n">
        <v>890</v>
      </c>
      <c r="E13" s="11" t="n">
        <v>5340</v>
      </c>
      <c r="F13" s="16" t="n">
        <v>6</v>
      </c>
      <c r="G13" s="12" t="n">
        <v>0.3</v>
      </c>
      <c r="J13" t="inlineStr">
        <is>
          <t>Beverages</t>
        </is>
      </c>
      <c r="K13" s="15" t="n">
        <v>5340</v>
      </c>
    </row>
    <row r="14" ht="22" customHeight="1">
      <c r="B14" s="7" t="inlineStr">
        <is>
          <t>Canned Beans</t>
        </is>
      </c>
      <c r="C14" s="7" t="inlineStr">
        <is>
          <t>Canned Food</t>
        </is>
      </c>
      <c r="D14" s="8" t="n">
        <v>620</v>
      </c>
      <c r="E14" s="8" t="n">
        <v>4960</v>
      </c>
      <c r="F14" s="14" t="n">
        <v>8</v>
      </c>
      <c r="G14" s="9" t="n">
        <v>0.38</v>
      </c>
      <c r="J14" t="inlineStr">
        <is>
          <t>Canned Food</t>
        </is>
      </c>
      <c r="K14" s="15" t="n">
        <v>4960</v>
      </c>
    </row>
    <row r="15" ht="22" customHeight="1">
      <c r="B15" s="10" t="inlineStr">
        <is>
          <t>Laundry Detergent</t>
        </is>
      </c>
      <c r="C15" s="10" t="inlineStr">
        <is>
          <t>Household</t>
        </is>
      </c>
      <c r="D15" s="11" t="n">
        <v>280</v>
      </c>
      <c r="E15" s="11" t="n">
        <v>8400</v>
      </c>
      <c r="F15" s="16" t="n">
        <v>30</v>
      </c>
      <c r="G15" s="12" t="n">
        <v>0.25</v>
      </c>
      <c r="J15" t="inlineStr">
        <is>
          <t>Bakery</t>
        </is>
      </c>
      <c r="K15" s="15" t="n">
        <v>4750</v>
      </c>
    </row>
    <row r="16" ht="26" customHeight="1">
      <c r="B16" s="17" t="inlineStr">
        <is>
          <t>TOTAL</t>
        </is>
      </c>
      <c r="C16" s="17" t="inlineStr">
        <is>
          <t>—</t>
        </is>
      </c>
      <c r="D16" s="18" t="n">
        <v>6370</v>
      </c>
      <c r="E16" s="18" t="n">
        <v>136550</v>
      </c>
      <c r="F16" s="19" t="inlineStr">
        <is>
          <t>—</t>
        </is>
      </c>
      <c r="G16" s="19" t="inlineStr">
        <is>
          <t>—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 ht="20" customHeight="1">
      <c r="B52" s="2" t="inlineStr">
        <is>
          <t>Prepared by Ahmed Ali | Data Analysis Services | ahmed-ali-ops.vercel.app</t>
        </is>
      </c>
    </row>
  </sheetData>
  <mergeCells count="2">
    <mergeCell ref="B52:H52"/>
    <mergeCell ref="B2:H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3" customWidth="1" min="3" max="3"/>
    <col width="13" customWidth="1" min="4" max="4"/>
    <col width="11" customWidth="1" min="5" max="5"/>
    <col width="8" customWidth="1" min="6" max="6"/>
    <col width="16" customWidth="1" min="7" max="7"/>
    <col width="8" customWidth="1" min="8" max="8"/>
  </cols>
  <sheetData>
    <row r="1" ht="15" customHeight="1"/>
    <row r="2" ht="32" customHeight="1">
      <c r="B2" s="1" t="inlineStr">
        <is>
          <t>Inventory Status &amp; Reorder Alerts</t>
        </is>
      </c>
    </row>
    <row r="3" ht="8" customHeight="1"/>
    <row r="5" ht="28" customHeight="1">
      <c r="B5" s="6" t="inlineStr">
        <is>
          <t>Product</t>
        </is>
      </c>
      <c r="C5" s="6" t="inlineStr">
        <is>
          <t>Current Stock</t>
        </is>
      </c>
      <c r="D5" s="6" t="inlineStr">
        <is>
          <t>Reorder Level</t>
        </is>
      </c>
      <c r="E5" s="6" t="inlineStr">
        <is>
          <t>Status</t>
        </is>
      </c>
      <c r="F5" s="6" t="inlineStr">
        <is>
          <t>Days of Supply</t>
        </is>
      </c>
      <c r="G5" s="6" t="inlineStr">
        <is>
          <t>Action Required</t>
        </is>
      </c>
    </row>
    <row r="6" ht="22" customHeight="1">
      <c r="B6" s="7" t="inlineStr">
        <is>
          <t>Basmati Rice (25kg)</t>
        </is>
      </c>
      <c r="C6" s="20" t="inlineStr">
        <is>
          <t>85 bags</t>
        </is>
      </c>
      <c r="D6" s="20" t="inlineStr">
        <is>
          <t>100 bags</t>
        </is>
      </c>
      <c r="E6" s="21" t="inlineStr">
        <is>
          <t>Low Stock</t>
        </is>
      </c>
      <c r="F6" s="20" t="n">
        <v>8</v>
      </c>
      <c r="G6" s="7" t="inlineStr">
        <is>
          <t>Reorder Now</t>
        </is>
      </c>
    </row>
    <row r="7" ht="22" customHeight="1">
      <c r="B7" s="10" t="inlineStr">
        <is>
          <t>Fresh Chicken (kg)</t>
        </is>
      </c>
      <c r="C7" s="22" t="inlineStr">
        <is>
          <t>45 kg</t>
        </is>
      </c>
      <c r="D7" s="22" t="inlineStr">
        <is>
          <t>50 kg</t>
        </is>
      </c>
      <c r="E7" s="23" t="inlineStr">
        <is>
          <t>Low Stock</t>
        </is>
      </c>
      <c r="F7" s="22" t="n">
        <v>3</v>
      </c>
      <c r="G7" s="10" t="inlineStr">
        <is>
          <t>Reorder Urgent</t>
        </is>
      </c>
    </row>
    <row r="8" ht="22" customHeight="1">
      <c r="B8" s="7" t="inlineStr">
        <is>
          <t>Cooking Oil (5L)</t>
        </is>
      </c>
      <c r="C8" s="20" t="inlineStr">
        <is>
          <t>180 bottles</t>
        </is>
      </c>
      <c r="D8" s="20" t="inlineStr">
        <is>
          <t>100 bottles</t>
        </is>
      </c>
      <c r="E8" s="21" t="inlineStr">
        <is>
          <t>Adequate</t>
        </is>
      </c>
      <c r="F8" s="20" t="n">
        <v>22</v>
      </c>
      <c r="G8" s="7" t="inlineStr">
        <is>
          <t>No Action</t>
        </is>
      </c>
    </row>
    <row r="9" ht="22" customHeight="1">
      <c r="B9" s="10" t="inlineStr">
        <is>
          <t>Fresh Milk (1L)</t>
        </is>
      </c>
      <c r="C9" s="22" t="inlineStr">
        <is>
          <t>320 units</t>
        </is>
      </c>
      <c r="D9" s="22" t="inlineStr">
        <is>
          <t>200 units</t>
        </is>
      </c>
      <c r="E9" s="23" t="inlineStr">
        <is>
          <t>Adequate</t>
        </is>
      </c>
      <c r="F9" s="22" t="n">
        <v>15</v>
      </c>
      <c r="G9" s="10" t="inlineStr">
        <is>
          <t>No Action</t>
        </is>
      </c>
    </row>
    <row r="10" ht="22" customHeight="1">
      <c r="B10" s="7" t="inlineStr">
        <is>
          <t>Bread (pack)</t>
        </is>
      </c>
      <c r="C10" s="20" t="inlineStr">
        <is>
          <t>60 packs</t>
        </is>
      </c>
      <c r="D10" s="20" t="inlineStr">
        <is>
          <t>100 packs</t>
        </is>
      </c>
      <c r="E10" s="21" t="inlineStr">
        <is>
          <t>Low Stock</t>
        </is>
      </c>
      <c r="F10" s="20" t="n">
        <v>4</v>
      </c>
      <c r="G10" s="7" t="inlineStr">
        <is>
          <t>Reorder Urgent</t>
        </is>
      </c>
    </row>
    <row r="11" ht="22" customHeight="1">
      <c r="B11" s="10" t="inlineStr">
        <is>
          <t>Dates (1kg)</t>
        </is>
      </c>
      <c r="C11" s="22" t="inlineStr">
        <is>
          <t>150 boxes</t>
        </is>
      </c>
      <c r="D11" s="22" t="inlineStr">
        <is>
          <t>80 boxes</t>
        </is>
      </c>
      <c r="E11" s="23" t="inlineStr">
        <is>
          <t>Surplus</t>
        </is>
      </c>
      <c r="F11" s="22" t="n">
        <v>35</v>
      </c>
      <c r="G11" s="10" t="inlineStr">
        <is>
          <t>Reduce Order</t>
        </is>
      </c>
    </row>
    <row r="12" ht="22" customHeight="1">
      <c r="B12" s="7" t="inlineStr">
        <is>
          <t>Spices Mix</t>
        </is>
      </c>
      <c r="C12" s="20" t="inlineStr">
        <is>
          <t>200 packs</t>
        </is>
      </c>
      <c r="D12" s="20" t="inlineStr">
        <is>
          <t>100 packs</t>
        </is>
      </c>
      <c r="E12" s="21" t="inlineStr">
        <is>
          <t>Adequate</t>
        </is>
      </c>
      <c r="F12" s="20" t="n">
        <v>28</v>
      </c>
      <c r="G12" s="7" t="inlineStr">
        <is>
          <t>No Action</t>
        </is>
      </c>
    </row>
    <row r="13" ht="22" customHeight="1">
      <c r="B13" s="10" t="inlineStr">
        <is>
          <t>Water (24-pack)</t>
        </is>
      </c>
      <c r="C13" s="22" t="inlineStr">
        <is>
          <t>40 packs</t>
        </is>
      </c>
      <c r="D13" s="22" t="inlineStr">
        <is>
          <t>150 packs</t>
        </is>
      </c>
      <c r="E13" s="23" t="inlineStr">
        <is>
          <t>Critical</t>
        </is>
      </c>
      <c r="F13" s="22" t="n">
        <v>2</v>
      </c>
      <c r="G13" s="10" t="inlineStr">
        <is>
          <t>Reorder Urgent</t>
        </is>
      </c>
    </row>
    <row r="14" ht="22" customHeight="1">
      <c r="B14" s="7" t="inlineStr">
        <is>
          <t>Canned Beans</t>
        </is>
      </c>
      <c r="C14" s="20" t="inlineStr">
        <is>
          <t>300 cans</t>
        </is>
      </c>
      <c r="D14" s="20" t="inlineStr">
        <is>
          <t>150 cans</t>
        </is>
      </c>
      <c r="E14" s="21" t="inlineStr">
        <is>
          <t>Adequate</t>
        </is>
      </c>
      <c r="F14" s="20" t="n">
        <v>30</v>
      </c>
      <c r="G14" s="7" t="inlineStr">
        <is>
          <t>No Action</t>
        </is>
      </c>
    </row>
    <row r="15" ht="22" customHeight="1">
      <c r="B15" s="10" t="inlineStr">
        <is>
          <t>Laundry Detergent</t>
        </is>
      </c>
      <c r="C15" s="22" t="inlineStr">
        <is>
          <t>25 units</t>
        </is>
      </c>
      <c r="D15" s="22" t="inlineStr">
        <is>
          <t>50 units</t>
        </is>
      </c>
      <c r="E15" s="23" t="inlineStr">
        <is>
          <t>Low Stock</t>
        </is>
      </c>
      <c r="F15" s="22" t="n">
        <v>5</v>
      </c>
      <c r="G15" s="10" t="inlineStr">
        <is>
          <t>Reorder Now</t>
        </is>
      </c>
    </row>
    <row r="16"/>
    <row r="17" ht="20" customHeight="1">
      <c r="B17" s="2" t="inlineStr">
        <is>
          <t>Prepared by Ahmed Ali | Data Analysis Services | ahmed-ali-ops.vercel.app</t>
        </is>
      </c>
    </row>
  </sheetData>
  <mergeCells count="2">
    <mergeCell ref="B2:H2"/>
    <mergeCell ref="B17:G17"/>
  </mergeCells>
  <conditionalFormatting sqref="E6:E15">
    <cfRule type="cellIs" priority="1" operator="equal" dxfId="0">
      <formula>"Critical"</formula>
    </cfRule>
    <cfRule type="cellIs" priority="2" operator="equal" dxfId="1">
      <formula>"Low Stock"</formula>
    </cfRule>
    <cfRule type="cellIs" priority="3" operator="equal" dxfId="2">
      <formula>"Adequate"</formula>
    </cfRule>
    <cfRule type="cellIs" priority="4" operator="equal" dxfId="3">
      <formula>"Surplus"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E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60" customWidth="1" min="3" max="3"/>
    <col width="8" customWidth="1" min="4" max="4"/>
    <col width="8" customWidth="1" min="5" max="5"/>
  </cols>
  <sheetData>
    <row r="1" ht="15" customHeight="1"/>
    <row r="2" ht="32" customHeight="1">
      <c r="B2" s="1" t="inlineStr">
        <is>
          <t>Key Insights &amp; Recommendations</t>
        </is>
      </c>
    </row>
    <row r="3" ht="8" customHeight="1"/>
    <row r="5" ht="28" customHeight="1">
      <c r="B5" s="6" t="inlineStr">
        <is>
          <t>#</t>
        </is>
      </c>
      <c r="C5" s="6" t="inlineStr">
        <is>
          <t>Insight</t>
        </is>
      </c>
      <c r="D5" s="6" t="inlineStr">
        <is>
          <t>Priority</t>
        </is>
      </c>
    </row>
    <row r="6" ht="22" customHeight="1">
      <c r="B6" s="21" t="n">
        <v>1</v>
      </c>
      <c r="C6" s="7" t="inlineStr">
        <is>
          <t>Water inventory is at critical level (2 days supply). Immediate reorder needed.</t>
        </is>
      </c>
      <c r="D6" s="21" t="inlineStr">
        <is>
          <t>High</t>
        </is>
      </c>
    </row>
    <row r="7" ht="22" customHeight="1">
      <c r="B7" s="23" t="n">
        <v>2</v>
      </c>
      <c r="C7" s="10" t="inlineStr">
        <is>
          <t>Fresh bread and chicken are below reorder levels. Daily deliveries need adjustment.</t>
        </is>
      </c>
      <c r="D7" s="23" t="inlineStr">
        <is>
          <t>High</t>
        </is>
      </c>
    </row>
    <row r="8" ht="22" customHeight="1">
      <c r="B8" s="21" t="n">
        <v>3</v>
      </c>
      <c r="C8" s="7" t="inlineStr">
        <is>
          <t>Dates have 35 days of supply — surplus. Reduce next order by 40%.</t>
        </is>
      </c>
      <c r="D8" s="21" t="inlineStr">
        <is>
          <t>Medium</t>
        </is>
      </c>
    </row>
    <row r="9" ht="22" customHeight="1">
      <c r="B9" s="23" t="n">
        <v>4</v>
      </c>
      <c r="C9" s="10" t="inlineStr">
        <is>
          <t>Spices have highest margin (55%) but only 4.4% of revenue. Consider promotional display.</t>
        </is>
      </c>
      <c r="D9" s="23" t="inlineStr">
        <is>
          <t>Medium</t>
        </is>
      </c>
    </row>
    <row r="10" ht="22" customHeight="1">
      <c r="B10" s="21" t="n">
        <v>5</v>
      </c>
      <c r="C10" s="7" t="inlineStr">
        <is>
          <t>December revenue spike (AED 342,100) was seasonal. Stock planning needed for Q4 2026.</t>
        </is>
      </c>
      <c r="D10" s="21" t="inlineStr">
        <is>
          <t>Low</t>
        </is>
      </c>
    </row>
    <row r="11"/>
    <row r="12" ht="20" customHeight="1">
      <c r="B12" s="2" t="inlineStr">
        <is>
          <t>Prepared by Ahmed Ali | Data Analysis Services | ahmed-ali-ops.vercel.app</t>
        </is>
      </c>
    </row>
  </sheetData>
  <mergeCells count="2">
    <mergeCell ref="B12:D12"/>
    <mergeCell ref="B2:E2"/>
  </mergeCells>
  <conditionalFormatting sqref="D6:D10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terms:created xmlns:dcterms="http://purl.org/dc/terms/" xmlns:xsi="http://www.w3.org/2001/XMLSchema-instance" xsi:type="dcterms:W3CDTF">2026-05-23T14:31:55Z</dcterms:created>
  <dcterms:modified xmlns:dcterms="http://purl.org/dc/terms/" xmlns:xsi="http://www.w3.org/2001/XMLSchema-instance" xsi:type="dcterms:W3CDTF">2026-05-23T14:31:55Z</dcterms:modified>
</cp:coreProperties>
</file>