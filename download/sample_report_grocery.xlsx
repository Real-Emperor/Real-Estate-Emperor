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 Analysis" sheetId="2" state="visible" r:id="rId2"/>
    <sheet xmlns:r="http://schemas.openxmlformats.org/officeDocument/2006/relationships" name="Inventory Management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top"/>
    </xf>
    <xf numFmtId="4" fontId="3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4" fontId="5" fillId="4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4" fontId="6" fillId="5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165" fontId="5" fillId="3" borderId="0" applyAlignment="1" pivotButton="0" quotePrefix="0" xfId="0">
      <alignment horizontal="left" vertical="center"/>
    </xf>
    <xf numFmtId="165" fontId="5" fillId="4" borderId="0" applyAlignment="1" pivotButton="0" quotePrefix="0" xfId="0">
      <alignment horizontal="left" vertical="center"/>
    </xf>
    <xf numFmtId="166" fontId="5" fillId="3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color rgb="00C0392B"/>
      </font>
      <fill>
        <patternFill>
          <bgColor rgb="00FDEDEC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1B2A4A"/>
      </font>
      <fill>
        <patternFill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'Executive Summary'!$B$8:$B$13</f>
            </numRef>
          </cat>
          <val>
            <numRef>
              <f>'Executive Summary'!$C$7:$C$13</f>
            </numRef>
          </val>
        </ser>
        <ser>
          <idx val="1"/>
          <order val="1"/>
          <tx>
            <v>Expenses</v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'Executive Summary'!$B$8:$B$13</f>
            </numRef>
          </cat>
          <val>
            <numRef>
              <f>'Executive Summary'!$D$7:$D$13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Profit Margin Trend</a:t>
            </a:r>
          </a:p>
        </rich>
      </tx>
    </title>
    <plotArea>
      <lineChart>
        <grouping val="standard"/>
        <ser>
          <idx val="0"/>
          <order val="0"/>
          <tx>
            <v>Profit Margin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Summary'!$B$8:$B$13</f>
            </numRef>
          </cat>
          <val>
            <numRef>
              <f>'Executive Summary'!$E$7:$E$13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Margin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Transactions</a:t>
            </a:r>
          </a:p>
        </rich>
      </tx>
    </title>
    <plotArea>
      <lineChart>
        <grouping val="standard"/>
        <ser>
          <idx val="0"/>
          <order val="0"/>
          <tx>
            <v>Transactions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Summary'!$B$8:$B$13</f>
            </numRef>
          </cat>
          <val>
            <numRef>
              <f>'Executive Summary'!$G$7:$G$13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Count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v>Revenue (AED)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'Product Analysis'!$B$5:$B$19</f>
            </numRef>
          </cat>
          <val>
            <numRef>
              <f>'Product Analysis'!$E$4:$E$19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'Product Analysis'!$B$24:$B$34</f>
            </numRef>
          </cat>
          <val>
            <numRef>
              <f>'Product Analysis'!$C$23:$C$34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Margin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Avg Margin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'Product Analysis'!$B$24:$B$34</f>
            </numRef>
          </cat>
          <val>
            <numRef>
              <f>'Product Analysis'!$E$23:$E$34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Margin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Customer Segment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'Customer Analysis'!$B$5:$B$9</f>
            </numRef>
          </cat>
          <val>
            <numRef>
              <f>'Customer Analysis'!$F$4:$F$9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 (AED)</v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'Customer Analysis'!$B$30:$B$36</f>
            </numRef>
          </cat>
          <val>
            <numRef>
              <f>'Customer Analysis'!$C$29:$C$36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3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50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6" customWidth="1" min="4" max="4"/>
    <col width="18" customWidth="1" min="5" max="5"/>
    <col width="15" customWidth="1" min="6" max="6"/>
    <col width="14" customWidth="1" min="7" max="7"/>
    <col width="18" customWidth="1" min="8" max="8"/>
    <col width="8" customWidth="1" min="9" max="9"/>
    <col width="20" customWidth="1" min="10" max="10"/>
    <col width="8" customWidth="1" min="11" max="11"/>
    <col width="17" customWidth="1" min="12" max="12"/>
    <col width="8" customWidth="1" min="13" max="13"/>
  </cols>
  <sheetData>
    <row r="1" ht="15" customHeight="1"/>
    <row r="2" ht="32" customHeight="1">
      <c r="B2" s="1" t="inlineStr">
        <is>
          <t>Al Madina Grocery — Executive Dashboard</t>
        </is>
      </c>
    </row>
    <row r="3" ht="8" customHeight="1"/>
    <row r="4" ht="18" customHeight="1">
      <c r="B4" s="2" t="inlineStr">
        <is>
          <t>Total Revenue</t>
        </is>
      </c>
      <c r="D4" s="2" t="inlineStr">
        <is>
          <t>Total Expenses</t>
        </is>
      </c>
      <c r="F4" s="2" t="inlineStr">
        <is>
          <t>Net Profit</t>
        </is>
      </c>
      <c r="H4" s="2" t="inlineStr">
        <is>
          <t>Profit Margin</t>
        </is>
      </c>
      <c r="J4" s="2" t="inlineStr">
        <is>
          <t>Total Transactions</t>
        </is>
      </c>
      <c r="L4" s="2" t="inlineStr">
        <is>
          <t>Avg Basket Size</t>
        </is>
      </c>
    </row>
    <row r="5" ht="36" customHeight="1">
      <c r="C5" s="3" t="n">
        <v>2634500</v>
      </c>
      <c r="E5" s="3" t="n">
        <v>1928600</v>
      </c>
      <c r="G5" s="3" t="n">
        <v>705900</v>
      </c>
      <c r="I5" s="4" t="n">
        <v>0.2679</v>
      </c>
      <c r="K5" s="3" t="n">
        <v>48750</v>
      </c>
      <c r="M5" s="5" t="n">
        <v>54.04</v>
      </c>
    </row>
    <row r="6"/>
    <row r="7" ht="28" customHeight="1">
      <c r="B7" s="6" t="inlineStr">
        <is>
          <t>Month</t>
        </is>
      </c>
      <c r="C7" s="6" t="inlineStr">
        <is>
          <t>Revenue (AED)</t>
        </is>
      </c>
      <c r="D7" s="6" t="inlineStr">
        <is>
          <t>Expenses (AED)</t>
        </is>
      </c>
      <c r="E7" s="6" t="inlineStr">
        <is>
          <t>Net Profit (AED)</t>
        </is>
      </c>
      <c r="F7" s="6" t="inlineStr">
        <is>
          <t>Profit Margin</t>
        </is>
      </c>
      <c r="G7" s="6" t="inlineStr">
        <is>
          <t>Transactions</t>
        </is>
      </c>
      <c r="H7" s="6" t="inlineStr">
        <is>
          <t>Avg Basket (AED)</t>
        </is>
      </c>
    </row>
    <row r="8" ht="22" customHeight="1">
      <c r="B8" s="7" t="inlineStr">
        <is>
          <t>Aug 2025</t>
        </is>
      </c>
      <c r="C8" s="8" t="n">
        <v>398200</v>
      </c>
      <c r="D8" s="8" t="n">
        <v>296500</v>
      </c>
      <c r="E8" s="8" t="n">
        <v>101700</v>
      </c>
      <c r="F8" s="9" t="n">
        <v>0.2554</v>
      </c>
      <c r="G8" s="8" t="n">
        <v>7200</v>
      </c>
      <c r="H8" s="10" t="n">
        <v>55.31</v>
      </c>
    </row>
    <row r="9" ht="22" customHeight="1">
      <c r="B9" s="11" t="inlineStr">
        <is>
          <t>Sep 2025</t>
        </is>
      </c>
      <c r="C9" s="12" t="n">
        <v>412800</v>
      </c>
      <c r="D9" s="12" t="n">
        <v>305200</v>
      </c>
      <c r="E9" s="12" t="n">
        <v>107600</v>
      </c>
      <c r="F9" s="13" t="n">
        <v>0.2607</v>
      </c>
      <c r="G9" s="12" t="n">
        <v>7450</v>
      </c>
      <c r="H9" s="14" t="n">
        <v>55.41</v>
      </c>
    </row>
    <row r="10" ht="22" customHeight="1">
      <c r="B10" s="7" t="inlineStr">
        <is>
          <t>Oct 2025</t>
        </is>
      </c>
      <c r="C10" s="8" t="n">
        <v>435600</v>
      </c>
      <c r="D10" s="8" t="n">
        <v>318400</v>
      </c>
      <c r="E10" s="8" t="n">
        <v>117200</v>
      </c>
      <c r="F10" s="9" t="n">
        <v>0.2691</v>
      </c>
      <c r="G10" s="8" t="n">
        <v>7820</v>
      </c>
      <c r="H10" s="10" t="n">
        <v>55.7</v>
      </c>
    </row>
    <row r="11" ht="22" customHeight="1">
      <c r="B11" s="11" t="inlineStr">
        <is>
          <t>Nov 2025</t>
        </is>
      </c>
      <c r="C11" s="12" t="n">
        <v>448900</v>
      </c>
      <c r="D11" s="12" t="n">
        <v>327800</v>
      </c>
      <c r="E11" s="12" t="n">
        <v>121100</v>
      </c>
      <c r="F11" s="13" t="n">
        <v>0.2698</v>
      </c>
      <c r="G11" s="12" t="n">
        <v>8100</v>
      </c>
      <c r="H11" s="14" t="n">
        <v>55.42</v>
      </c>
    </row>
    <row r="12" ht="22" customHeight="1">
      <c r="B12" s="7" t="inlineStr">
        <is>
          <t>Dec 2025</t>
        </is>
      </c>
      <c r="C12" s="8" t="n">
        <v>467200</v>
      </c>
      <c r="D12" s="8" t="n">
        <v>338500</v>
      </c>
      <c r="E12" s="8" t="n">
        <v>128700</v>
      </c>
      <c r="F12" s="9" t="n">
        <v>0.2754</v>
      </c>
      <c r="G12" s="8" t="n">
        <v>8500</v>
      </c>
      <c r="H12" s="10" t="n">
        <v>54.96</v>
      </c>
    </row>
    <row r="13" ht="22" customHeight="1">
      <c r="B13" s="11" t="inlineStr">
        <is>
          <t>Jan 2026</t>
        </is>
      </c>
      <c r="C13" s="12" t="n">
        <v>472000</v>
      </c>
      <c r="D13" s="12" t="n">
        <v>342200</v>
      </c>
      <c r="E13" s="12" t="n">
        <v>129800</v>
      </c>
      <c r="F13" s="13" t="n">
        <v>0.275</v>
      </c>
      <c r="G13" s="12" t="n">
        <v>9680</v>
      </c>
      <c r="H13" s="14" t="n">
        <v>48.76</v>
      </c>
    </row>
    <row r="14" ht="26" customHeight="1">
      <c r="B14" s="15" t="inlineStr">
        <is>
          <t>TOTAL</t>
        </is>
      </c>
      <c r="C14" s="16" t="n">
        <v>2634500</v>
      </c>
      <c r="D14" s="16" t="n">
        <v>1928600</v>
      </c>
      <c r="E14" s="16" t="n">
        <v>705900</v>
      </c>
      <c r="F14" s="17" t="n">
        <v>0.2679</v>
      </c>
      <c r="G14" s="16" t="n">
        <v>48750</v>
      </c>
      <c r="H14" s="18" t="n">
        <v>54.04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20" customHeight="1">
      <c r="B32" s="19" t="inlineStr">
        <is>
          <t>Prepared by Ahmed Ali | Data Analysis Services | ahmed-ali-ops.vercel.app</t>
        </is>
      </c>
    </row>
  </sheetData>
  <mergeCells count="2">
    <mergeCell ref="B32:M32"/>
    <mergeCell ref="B2:M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14" customWidth="1" min="4" max="4"/>
    <col width="15" customWidth="1" min="5" max="5"/>
    <col width="18" customWidth="1" min="6" max="6"/>
    <col width="18" customWidth="1" min="7" max="7"/>
    <col width="15" customWidth="1" min="8" max="8"/>
    <col width="14" customWidth="1" min="9" max="9"/>
    <col width="8" customWidth="1" min="10" max="10"/>
  </cols>
  <sheetData>
    <row r="1" ht="15" customHeight="1"/>
    <row r="2" ht="32" customHeight="1">
      <c r="B2" s="1" t="inlineStr">
        <is>
          <t>Product Performance — January 2026</t>
        </is>
      </c>
    </row>
    <row r="3" ht="8" customHeight="1"/>
    <row r="4" ht="28" customHeight="1">
      <c r="B4" s="6" t="inlineStr">
        <is>
          <t>Product</t>
        </is>
      </c>
      <c r="C4" s="6" t="inlineStr">
        <is>
          <t>Category</t>
        </is>
      </c>
      <c r="D4" s="6" t="inlineStr">
        <is>
          <t>Units Sold</t>
        </is>
      </c>
      <c r="E4" s="6" t="inlineStr">
        <is>
          <t>Revenue (AED)</t>
        </is>
      </c>
      <c r="F4" s="6" t="inlineStr">
        <is>
          <t>Unit Price (AED)</t>
        </is>
      </c>
      <c r="G4" s="6" t="inlineStr">
        <is>
          <t>Cost Price (AED)</t>
        </is>
      </c>
      <c r="H4" s="6" t="inlineStr">
        <is>
          <t>Profit Margin</t>
        </is>
      </c>
      <c r="I4" s="6" t="inlineStr">
        <is>
          <t>Stock Status</t>
        </is>
      </c>
    </row>
    <row r="5" ht="22" customHeight="1">
      <c r="B5" s="7" t="inlineStr">
        <is>
          <t>Al Ain Water (24pk)</t>
        </is>
      </c>
      <c r="C5" s="7" t="inlineStr">
        <is>
          <t>Beverages</t>
        </is>
      </c>
      <c r="D5" s="8" t="n">
        <v>2850</v>
      </c>
      <c r="E5" s="8" t="n">
        <v>57000</v>
      </c>
      <c r="F5" s="10" t="n">
        <v>20</v>
      </c>
      <c r="G5" s="10" t="n">
        <v>14</v>
      </c>
      <c r="H5" s="9" t="n">
        <v>0.3</v>
      </c>
      <c r="I5" s="7" t="inlineStr">
        <is>
          <t>Adequate</t>
        </is>
      </c>
    </row>
    <row r="6" ht="22" customHeight="1">
      <c r="B6" s="11" t="inlineStr">
        <is>
          <t>Basmati Rice (5kg)</t>
        </is>
      </c>
      <c r="C6" s="11" t="inlineStr">
        <is>
          <t>Grains &amp; Pulses</t>
        </is>
      </c>
      <c r="D6" s="12" t="n">
        <v>1920</v>
      </c>
      <c r="E6" s="12" t="n">
        <v>76800</v>
      </c>
      <c r="F6" s="14" t="n">
        <v>40</v>
      </c>
      <c r="G6" s="14" t="n">
        <v>28</v>
      </c>
      <c r="H6" s="13" t="n">
        <v>0.3</v>
      </c>
      <c r="I6" s="11" t="inlineStr">
        <is>
          <t>Adequate</t>
        </is>
      </c>
    </row>
    <row r="7" ht="22" customHeight="1">
      <c r="B7" s="7" t="inlineStr">
        <is>
          <t>Fresh Chicken (1kg)</t>
        </is>
      </c>
      <c r="C7" s="7" t="inlineStr">
        <is>
          <t>Meat &amp; Poultry</t>
        </is>
      </c>
      <c r="D7" s="8" t="n">
        <v>2340</v>
      </c>
      <c r="E7" s="8" t="n">
        <v>70200</v>
      </c>
      <c r="F7" s="10" t="n">
        <v>30</v>
      </c>
      <c r="G7" s="10" t="n">
        <v>22</v>
      </c>
      <c r="H7" s="9" t="n">
        <v>0.267</v>
      </c>
      <c r="I7" s="7" t="inlineStr">
        <is>
          <t>Low Stock</t>
        </is>
      </c>
    </row>
    <row r="8" ht="22" customHeight="1">
      <c r="B8" s="11" t="inlineStr">
        <is>
          <t>Olive Oil (1L)</t>
        </is>
      </c>
      <c r="C8" s="11" t="inlineStr">
        <is>
          <t>Cooking Essentials</t>
        </is>
      </c>
      <c r="D8" s="12" t="n">
        <v>1680</v>
      </c>
      <c r="E8" s="12" t="n">
        <v>67200</v>
      </c>
      <c r="F8" s="14" t="n">
        <v>40</v>
      </c>
      <c r="G8" s="14" t="n">
        <v>26</v>
      </c>
      <c r="H8" s="13" t="n">
        <v>0.35</v>
      </c>
      <c r="I8" s="11" t="inlineStr">
        <is>
          <t>Adequate</t>
        </is>
      </c>
    </row>
    <row r="9" ht="22" customHeight="1">
      <c r="B9" s="7" t="inlineStr">
        <is>
          <t>Labneh (500g)</t>
        </is>
      </c>
      <c r="C9" s="7" t="inlineStr">
        <is>
          <t>Dairy</t>
        </is>
      </c>
      <c r="D9" s="8" t="n">
        <v>2100</v>
      </c>
      <c r="E9" s="8" t="n">
        <v>37800</v>
      </c>
      <c r="F9" s="10" t="n">
        <v>18</v>
      </c>
      <c r="G9" s="10" t="n">
        <v>11</v>
      </c>
      <c r="H9" s="9" t="n">
        <v>0.389</v>
      </c>
      <c r="I9" s="7" t="inlineStr">
        <is>
          <t>Adequate</t>
        </is>
      </c>
    </row>
    <row r="10" ht="22" customHeight="1">
      <c r="B10" s="11" t="inlineStr">
        <is>
          <t>Arabic Bread (10pk)</t>
        </is>
      </c>
      <c r="C10" s="11" t="inlineStr">
        <is>
          <t>Bakery</t>
        </is>
      </c>
      <c r="D10" s="12" t="n">
        <v>3200</v>
      </c>
      <c r="E10" s="12" t="n">
        <v>32000</v>
      </c>
      <c r="F10" s="14" t="n">
        <v>10</v>
      </c>
      <c r="G10" s="14" t="n">
        <v>6.5</v>
      </c>
      <c r="H10" s="13" t="n">
        <v>0.35</v>
      </c>
      <c r="I10" s="11" t="inlineStr">
        <is>
          <t>Surplus</t>
        </is>
      </c>
    </row>
    <row r="11" ht="22" customHeight="1">
      <c r="B11" s="7" t="inlineStr">
        <is>
          <t>Dates (1kg)</t>
        </is>
      </c>
      <c r="C11" s="7" t="inlineStr">
        <is>
          <t>Dry Fruits</t>
        </is>
      </c>
      <c r="D11" s="8" t="n">
        <v>1450</v>
      </c>
      <c r="E11" s="8" t="n">
        <v>43500</v>
      </c>
      <c r="F11" s="10" t="n">
        <v>30</v>
      </c>
      <c r="G11" s="10" t="n">
        <v>18</v>
      </c>
      <c r="H11" s="9" t="n">
        <v>0.4</v>
      </c>
      <c r="I11" s="7" t="inlineStr">
        <is>
          <t>Adequate</t>
        </is>
      </c>
    </row>
    <row r="12" ht="22" customHeight="1">
      <c r="B12" s="11" t="inlineStr">
        <is>
          <t>Milk (2L)</t>
        </is>
      </c>
      <c r="C12" s="11" t="inlineStr">
        <is>
          <t>Dairy</t>
        </is>
      </c>
      <c r="D12" s="12" t="n">
        <v>2800</v>
      </c>
      <c r="E12" s="12" t="n">
        <v>42000</v>
      </c>
      <c r="F12" s="14" t="n">
        <v>15</v>
      </c>
      <c r="G12" s="14" t="n">
        <v>10</v>
      </c>
      <c r="H12" s="13" t="n">
        <v>0.333</v>
      </c>
      <c r="I12" s="11" t="inlineStr">
        <is>
          <t>Low Stock</t>
        </is>
      </c>
    </row>
    <row r="13" ht="22" customHeight="1">
      <c r="B13" s="7" t="inlineStr">
        <is>
          <t>Coca-Cola (12pk)</t>
        </is>
      </c>
      <c r="C13" s="7" t="inlineStr">
        <is>
          <t>Beverages</t>
        </is>
      </c>
      <c r="D13" s="8" t="n">
        <v>1950</v>
      </c>
      <c r="E13" s="8" t="n">
        <v>39000</v>
      </c>
      <c r="F13" s="10" t="n">
        <v>20</v>
      </c>
      <c r="G13" s="10" t="n">
        <v>14</v>
      </c>
      <c r="H13" s="9" t="n">
        <v>0.3</v>
      </c>
      <c r="I13" s="7" t="inlineStr">
        <is>
          <t>Adequate</t>
        </is>
      </c>
    </row>
    <row r="14" ht="22" customHeight="1">
      <c r="B14" s="11" t="inlineStr">
        <is>
          <t>Saffron (1g)</t>
        </is>
      </c>
      <c r="C14" s="11" t="inlineStr">
        <is>
          <t>Spices</t>
        </is>
      </c>
      <c r="D14" s="12" t="n">
        <v>680</v>
      </c>
      <c r="E14" s="12" t="n">
        <v>34000</v>
      </c>
      <c r="F14" s="14" t="n">
        <v>50</v>
      </c>
      <c r="G14" s="14" t="n">
        <v>30</v>
      </c>
      <c r="H14" s="13" t="n">
        <v>0.4</v>
      </c>
      <c r="I14" s="11" t="inlineStr">
        <is>
          <t>Critical</t>
        </is>
      </c>
    </row>
    <row r="15" ht="22" customHeight="1">
      <c r="B15" s="7" t="inlineStr">
        <is>
          <t>Frozen Falafel (1kg)</t>
        </is>
      </c>
      <c r="C15" s="7" t="inlineStr">
        <is>
          <t>Frozen Foods</t>
        </is>
      </c>
      <c r="D15" s="8" t="n">
        <v>1560</v>
      </c>
      <c r="E15" s="8" t="n">
        <v>23400</v>
      </c>
      <c r="F15" s="10" t="n">
        <v>15</v>
      </c>
      <c r="G15" s="10" t="n">
        <v>9</v>
      </c>
      <c r="H15" s="9" t="n">
        <v>0.4</v>
      </c>
      <c r="I15" s="7" t="inlineStr">
        <is>
          <t>Adequate</t>
        </is>
      </c>
    </row>
    <row r="16" ht="22" customHeight="1">
      <c r="B16" s="11" t="inlineStr">
        <is>
          <t>Honey (500g)</t>
        </is>
      </c>
      <c r="C16" s="11" t="inlineStr">
        <is>
          <t>Dry Fruits</t>
        </is>
      </c>
      <c r="D16" s="12" t="n">
        <v>920</v>
      </c>
      <c r="E16" s="12" t="n">
        <v>36800</v>
      </c>
      <c r="F16" s="14" t="n">
        <v>40</v>
      </c>
      <c r="G16" s="14" t="n">
        <v>24</v>
      </c>
      <c r="H16" s="13" t="n">
        <v>0.4</v>
      </c>
      <c r="I16" s="11" t="inlineStr">
        <is>
          <t>Low Stock</t>
        </is>
      </c>
    </row>
    <row r="17" ht="22" customHeight="1">
      <c r="B17" s="7" t="inlineStr">
        <is>
          <t>Laundry Detergent</t>
        </is>
      </c>
      <c r="C17" s="7" t="inlineStr">
        <is>
          <t>Household</t>
        </is>
      </c>
      <c r="D17" s="8" t="n">
        <v>1380</v>
      </c>
      <c r="E17" s="8" t="n">
        <v>27600</v>
      </c>
      <c r="F17" s="10" t="n">
        <v>20</v>
      </c>
      <c r="G17" s="10" t="n">
        <v>13</v>
      </c>
      <c r="H17" s="9" t="n">
        <v>0.35</v>
      </c>
      <c r="I17" s="7" t="inlineStr">
        <is>
          <t>Adequate</t>
        </is>
      </c>
    </row>
    <row r="18" ht="22" customHeight="1">
      <c r="B18" s="11" t="inlineStr">
        <is>
          <t>Diapers (Large)</t>
        </is>
      </c>
      <c r="C18" s="11" t="inlineStr">
        <is>
          <t>Baby Care</t>
        </is>
      </c>
      <c r="D18" s="12" t="n">
        <v>1100</v>
      </c>
      <c r="E18" s="12" t="n">
        <v>33000</v>
      </c>
      <c r="F18" s="14" t="n">
        <v>30</v>
      </c>
      <c r="G18" s="14" t="n">
        <v>20</v>
      </c>
      <c r="H18" s="13" t="n">
        <v>0.333</v>
      </c>
      <c r="I18" s="11" t="inlineStr">
        <is>
          <t>Adequate</t>
        </is>
      </c>
    </row>
    <row r="19" ht="22" customHeight="1">
      <c r="B19" s="7" t="inlineStr">
        <is>
          <t>Tea Bags (100pk)</t>
        </is>
      </c>
      <c r="C19" s="7" t="inlineStr">
        <is>
          <t>Beverages</t>
        </is>
      </c>
      <c r="D19" s="8" t="n">
        <v>2050</v>
      </c>
      <c r="E19" s="8" t="n">
        <v>41000</v>
      </c>
      <c r="F19" s="10" t="n">
        <v>20</v>
      </c>
      <c r="G19" s="10" t="n">
        <v>12</v>
      </c>
      <c r="H19" s="9" t="n">
        <v>0.4</v>
      </c>
      <c r="I19" s="7" t="inlineStr">
        <is>
          <t>Surplus</t>
        </is>
      </c>
    </row>
    <row r="20"/>
    <row r="21"/>
    <row r="22">
      <c r="B22" s="20" t="inlineStr">
        <is>
          <t>Category Summary</t>
        </is>
      </c>
    </row>
    <row r="23" ht="28" customHeight="1">
      <c r="B23" s="6" t="inlineStr">
        <is>
          <t>Category</t>
        </is>
      </c>
      <c r="C23" s="6" t="inlineStr">
        <is>
          <t>Revenue (AED)</t>
        </is>
      </c>
      <c r="D23" s="6" t="inlineStr">
        <is>
          <t>% of Revenue</t>
        </is>
      </c>
      <c r="E23" s="6" t="inlineStr">
        <is>
          <t>Avg Margin</t>
        </is>
      </c>
    </row>
    <row r="24" ht="22" customHeight="1">
      <c r="B24" s="7" t="inlineStr">
        <is>
          <t>Beverages</t>
        </is>
      </c>
      <c r="C24" s="8" t="n">
        <v>137000</v>
      </c>
      <c r="D24" s="9" t="n">
        <v>0.2195</v>
      </c>
      <c r="E24" s="9" t="n">
        <v>0.333</v>
      </c>
    </row>
    <row r="25" ht="22" customHeight="1">
      <c r="B25" s="11" t="inlineStr">
        <is>
          <t>Grains &amp; Pulses</t>
        </is>
      </c>
      <c r="C25" s="12" t="n">
        <v>76800</v>
      </c>
      <c r="D25" s="13" t="n">
        <v>0.1231</v>
      </c>
      <c r="E25" s="13" t="n">
        <v>0.3</v>
      </c>
    </row>
    <row r="26" ht="22" customHeight="1">
      <c r="B26" s="7" t="inlineStr">
        <is>
          <t>Meat &amp; Poultry</t>
        </is>
      </c>
      <c r="C26" s="8" t="n">
        <v>70200</v>
      </c>
      <c r="D26" s="9" t="n">
        <v>0.1125</v>
      </c>
      <c r="E26" s="9" t="n">
        <v>0.267</v>
      </c>
    </row>
    <row r="27" ht="22" customHeight="1">
      <c r="B27" s="11" t="inlineStr">
        <is>
          <t>Cooking Essentials</t>
        </is>
      </c>
      <c r="C27" s="12" t="n">
        <v>67200</v>
      </c>
      <c r="D27" s="13" t="n">
        <v>0.1077</v>
      </c>
      <c r="E27" s="13" t="n">
        <v>0.35</v>
      </c>
    </row>
    <row r="28" ht="22" customHeight="1">
      <c r="B28" s="7" t="inlineStr">
        <is>
          <t>Dairy</t>
        </is>
      </c>
      <c r="C28" s="8" t="n">
        <v>79800</v>
      </c>
      <c r="D28" s="9" t="n">
        <v>0.1279</v>
      </c>
      <c r="E28" s="9" t="n">
        <v>0.361</v>
      </c>
    </row>
    <row r="29" ht="22" customHeight="1">
      <c r="B29" s="11" t="inlineStr">
        <is>
          <t>Bakery</t>
        </is>
      </c>
      <c r="C29" s="12" t="n">
        <v>32000</v>
      </c>
      <c r="D29" s="13" t="n">
        <v>0.0513</v>
      </c>
      <c r="E29" s="13" t="n">
        <v>0.35</v>
      </c>
    </row>
    <row r="30" ht="22" customHeight="1">
      <c r="B30" s="7" t="inlineStr">
        <is>
          <t>Dry Fruits</t>
        </is>
      </c>
      <c r="C30" s="8" t="n">
        <v>80300</v>
      </c>
      <c r="D30" s="9" t="n">
        <v>0.1287</v>
      </c>
      <c r="E30" s="9" t="n">
        <v>0.4</v>
      </c>
    </row>
    <row r="31" ht="22" customHeight="1">
      <c r="B31" s="11" t="inlineStr">
        <is>
          <t>Spices</t>
        </is>
      </c>
      <c r="C31" s="12" t="n">
        <v>34000</v>
      </c>
      <c r="D31" s="13" t="n">
        <v>0.0545</v>
      </c>
      <c r="E31" s="13" t="n">
        <v>0.4</v>
      </c>
    </row>
    <row r="32" ht="22" customHeight="1">
      <c r="B32" s="7" t="inlineStr">
        <is>
          <t>Frozen Foods</t>
        </is>
      </c>
      <c r="C32" s="8" t="n">
        <v>23400</v>
      </c>
      <c r="D32" s="9" t="n">
        <v>0.0375</v>
      </c>
      <c r="E32" s="9" t="n">
        <v>0.4</v>
      </c>
    </row>
    <row r="33" ht="22" customHeight="1">
      <c r="B33" s="11" t="inlineStr">
        <is>
          <t>Household</t>
        </is>
      </c>
      <c r="C33" s="12" t="n">
        <v>27600</v>
      </c>
      <c r="D33" s="13" t="n">
        <v>0.0442</v>
      </c>
      <c r="E33" s="13" t="n">
        <v>0.35</v>
      </c>
    </row>
    <row r="34" ht="22" customHeight="1">
      <c r="B34" s="7" t="inlineStr">
        <is>
          <t>Baby Care</t>
        </is>
      </c>
      <c r="C34" s="8" t="n">
        <v>33000</v>
      </c>
      <c r="D34" s="9" t="n">
        <v>0.0529</v>
      </c>
      <c r="E34" s="9" t="n">
        <v>0.333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 ht="20" customHeight="1">
      <c r="B52" s="19" t="inlineStr">
        <is>
          <t>Prepared by Ahmed Ali | Data Analysis Services | ahmed-ali-ops.vercel.app</t>
        </is>
      </c>
    </row>
  </sheetData>
  <mergeCells count="2">
    <mergeCell ref="B52:J52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20" customWidth="1" min="5" max="5"/>
    <col width="16" customWidth="1" min="6" max="6"/>
    <col width="17" customWidth="1" min="7" max="7"/>
    <col width="18" customWidth="1" min="8" max="8"/>
    <col width="18" customWidth="1" min="9" max="9"/>
    <col width="16" customWidth="1" min="10" max="10"/>
    <col width="8" customWidth="1" min="11" max="11"/>
  </cols>
  <sheetData>
    <row r="1" ht="15" customHeight="1"/>
    <row r="2" ht="32" customHeight="1">
      <c r="B2" s="1" t="inlineStr">
        <is>
          <t>Inventory &amp; Supply Chain — January 2026</t>
        </is>
      </c>
    </row>
    <row r="3" ht="8" customHeight="1"/>
    <row r="4" ht="28" customHeight="1">
      <c r="B4" s="6" t="inlineStr">
        <is>
          <t>Product</t>
        </is>
      </c>
      <c r="C4" s="6" t="inlineStr">
        <is>
          <t>Current Stock</t>
        </is>
      </c>
      <c r="D4" s="6" t="inlineStr">
        <is>
          <t>Reorder Level</t>
        </is>
      </c>
      <c r="E4" s="6" t="inlineStr">
        <is>
          <t>Status</t>
        </is>
      </c>
      <c r="F4" s="6" t="inlineStr">
        <is>
          <t>Days of Supply</t>
        </is>
      </c>
      <c r="G4" s="6" t="inlineStr">
        <is>
          <t>Last Order Date</t>
        </is>
      </c>
      <c r="H4" s="6" t="inlineStr">
        <is>
          <t>Supplier</t>
        </is>
      </c>
      <c r="I4" s="6" t="inlineStr">
        <is>
          <t>Lead Time (days)</t>
        </is>
      </c>
      <c r="J4" s="6" t="inlineStr">
        <is>
          <t>Action</t>
        </is>
      </c>
    </row>
    <row r="5" ht="22" customHeight="1">
      <c r="B5" s="7" t="inlineStr">
        <is>
          <t>Al Ain Water (24pk)</t>
        </is>
      </c>
      <c r="C5" s="8" t="n">
        <v>450</v>
      </c>
      <c r="D5" s="8" t="n">
        <v>200</v>
      </c>
      <c r="E5" s="7" t="inlineStr">
        <is>
          <t>Adequate</t>
        </is>
      </c>
      <c r="F5" s="8" t="n">
        <v>18</v>
      </c>
      <c r="G5" s="21" t="inlineStr">
        <is>
          <t>2026-01-25</t>
        </is>
      </c>
      <c r="H5" s="7" t="inlineStr">
        <is>
          <t>Al Ain Foods</t>
        </is>
      </c>
      <c r="I5" s="8" t="n">
        <v>3</v>
      </c>
      <c r="J5" s="7" t="inlineStr">
        <is>
          <t>Monitor</t>
        </is>
      </c>
    </row>
    <row r="6" ht="22" customHeight="1">
      <c r="B6" s="11" t="inlineStr">
        <is>
          <t>Basmati Rice (5kg)</t>
        </is>
      </c>
      <c r="C6" s="12" t="n">
        <v>180</v>
      </c>
      <c r="D6" s="12" t="n">
        <v>150</v>
      </c>
      <c r="E6" s="11" t="inlineStr">
        <is>
          <t>Adequate</t>
        </is>
      </c>
      <c r="F6" s="12" t="n">
        <v>14</v>
      </c>
      <c r="G6" s="22" t="inlineStr">
        <is>
          <t>2026-01-22</t>
        </is>
      </c>
      <c r="H6" s="11" t="inlineStr">
        <is>
          <t>Al Khaleej Rice</t>
        </is>
      </c>
      <c r="I6" s="12" t="n">
        <v>5</v>
      </c>
      <c r="J6" s="11" t="inlineStr">
        <is>
          <t>Monitor</t>
        </is>
      </c>
    </row>
    <row r="7" ht="22" customHeight="1">
      <c r="B7" s="7" t="inlineStr">
        <is>
          <t>Fresh Chicken (1kg)</t>
        </is>
      </c>
      <c r="C7" s="8" t="n">
        <v>65</v>
      </c>
      <c r="D7" s="8" t="n">
        <v>100</v>
      </c>
      <c r="E7" s="7" t="inlineStr">
        <is>
          <t>Low Stock</t>
        </is>
      </c>
      <c r="F7" s="8" t="n">
        <v>5</v>
      </c>
      <c r="G7" s="21" t="inlineStr">
        <is>
          <t>2026-01-28</t>
        </is>
      </c>
      <c r="H7" s="7" t="inlineStr">
        <is>
          <t>Al Rawdah</t>
        </is>
      </c>
      <c r="I7" s="8" t="n">
        <v>1</v>
      </c>
      <c r="J7" s="7" t="inlineStr">
        <is>
          <t>Reorder Now</t>
        </is>
      </c>
    </row>
    <row r="8" ht="22" customHeight="1">
      <c r="B8" s="11" t="inlineStr">
        <is>
          <t>Olive Oil (1L)</t>
        </is>
      </c>
      <c r="C8" s="12" t="n">
        <v>120</v>
      </c>
      <c r="D8" s="12" t="n">
        <v>100</v>
      </c>
      <c r="E8" s="11" t="inlineStr">
        <is>
          <t>Adequate</t>
        </is>
      </c>
      <c r="F8" s="12" t="n">
        <v>12</v>
      </c>
      <c r="G8" s="22" t="inlineStr">
        <is>
          <t>2026-01-20</t>
        </is>
      </c>
      <c r="H8" s="11" t="inlineStr">
        <is>
          <t>Filipppo Berio</t>
        </is>
      </c>
      <c r="I8" s="12" t="n">
        <v>7</v>
      </c>
      <c r="J8" s="11" t="inlineStr">
        <is>
          <t>Monitor</t>
        </is>
      </c>
    </row>
    <row r="9" ht="22" customHeight="1">
      <c r="B9" s="7" t="inlineStr">
        <is>
          <t>Labneh (500g)</t>
        </is>
      </c>
      <c r="C9" s="8" t="n">
        <v>200</v>
      </c>
      <c r="D9" s="8" t="n">
        <v>150</v>
      </c>
      <c r="E9" s="7" t="inlineStr">
        <is>
          <t>Adequate</t>
        </is>
      </c>
      <c r="F9" s="8" t="n">
        <v>16</v>
      </c>
      <c r="G9" s="21" t="inlineStr">
        <is>
          <t>2026-01-24</t>
        </is>
      </c>
      <c r="H9" s="7" t="inlineStr">
        <is>
          <t>Almarai</t>
        </is>
      </c>
      <c r="I9" s="8" t="n">
        <v>2</v>
      </c>
      <c r="J9" s="7" t="inlineStr">
        <is>
          <t>Monitor</t>
        </is>
      </c>
    </row>
    <row r="10" ht="22" customHeight="1">
      <c r="B10" s="11" t="inlineStr">
        <is>
          <t>Arabic Bread (10pk)</t>
        </is>
      </c>
      <c r="C10" s="12" t="n">
        <v>520</v>
      </c>
      <c r="D10" s="12" t="n">
        <v>200</v>
      </c>
      <c r="E10" s="11" t="inlineStr">
        <is>
          <t>Surplus</t>
        </is>
      </c>
      <c r="F10" s="12" t="n">
        <v>28</v>
      </c>
      <c r="G10" s="22" t="inlineStr">
        <is>
          <t>2026-01-29</t>
        </is>
      </c>
      <c r="H10" s="11" t="inlineStr">
        <is>
          <t>Modern Bakery</t>
        </is>
      </c>
      <c r="I10" s="12" t="n">
        <v>1</v>
      </c>
      <c r="J10" s="11" t="inlineStr">
        <is>
          <t>Reduce Order</t>
        </is>
      </c>
    </row>
    <row r="11" ht="22" customHeight="1">
      <c r="B11" s="7" t="inlineStr">
        <is>
          <t>Dates (1kg)</t>
        </is>
      </c>
      <c r="C11" s="8" t="n">
        <v>95</v>
      </c>
      <c r="D11" s="8" t="n">
        <v>100</v>
      </c>
      <c r="E11" s="7" t="inlineStr">
        <is>
          <t>Low Stock</t>
        </is>
      </c>
      <c r="F11" s="8" t="n">
        <v>8</v>
      </c>
      <c r="G11" s="21" t="inlineStr">
        <is>
          <t>2026-01-23</t>
        </is>
      </c>
      <c r="H11" s="7" t="inlineStr">
        <is>
          <t>Al Foah</t>
        </is>
      </c>
      <c r="I11" s="8" t="n">
        <v>5</v>
      </c>
      <c r="J11" s="7" t="inlineStr">
        <is>
          <t>Reorder Now</t>
        </is>
      </c>
    </row>
    <row r="12" ht="22" customHeight="1">
      <c r="B12" s="11" t="inlineStr">
        <is>
          <t>Milk (2L)</t>
        </is>
      </c>
      <c r="C12" s="12" t="n">
        <v>80</v>
      </c>
      <c r="D12" s="12" t="n">
        <v>120</v>
      </c>
      <c r="E12" s="11" t="inlineStr">
        <is>
          <t>Low Stock</t>
        </is>
      </c>
      <c r="F12" s="12" t="n">
        <v>6</v>
      </c>
      <c r="G12" s="22" t="inlineStr">
        <is>
          <t>2026-01-29</t>
        </is>
      </c>
      <c r="H12" s="11" t="inlineStr">
        <is>
          <t>Almarai</t>
        </is>
      </c>
      <c r="I12" s="12" t="n">
        <v>1</v>
      </c>
      <c r="J12" s="11" t="inlineStr">
        <is>
          <t>Reorder Now</t>
        </is>
      </c>
    </row>
    <row r="13" ht="22" customHeight="1">
      <c r="B13" s="7" t="inlineStr">
        <is>
          <t>Coca-Cola (12pk)</t>
        </is>
      </c>
      <c r="C13" s="8" t="n">
        <v>160</v>
      </c>
      <c r="D13" s="8" t="n">
        <v>150</v>
      </c>
      <c r="E13" s="7" t="inlineStr">
        <is>
          <t>Adequate</t>
        </is>
      </c>
      <c r="F13" s="8" t="n">
        <v>15</v>
      </c>
      <c r="G13" s="21" t="inlineStr">
        <is>
          <t>2026-01-21</t>
        </is>
      </c>
      <c r="H13" s="7" t="inlineStr">
        <is>
          <t>Coca-Cola MEA</t>
        </is>
      </c>
      <c r="I13" s="8" t="n">
        <v>4</v>
      </c>
      <c r="J13" s="7" t="inlineStr">
        <is>
          <t>Monitor</t>
        </is>
      </c>
    </row>
    <row r="14" ht="22" customHeight="1">
      <c r="B14" s="11" t="inlineStr">
        <is>
          <t>Saffron (1g)</t>
        </is>
      </c>
      <c r="C14" s="12" t="n">
        <v>15</v>
      </c>
      <c r="D14" s="12" t="n">
        <v>30</v>
      </c>
      <c r="E14" s="11" t="inlineStr">
        <is>
          <t>Critical</t>
        </is>
      </c>
      <c r="F14" s="12" t="n">
        <v>3</v>
      </c>
      <c r="G14" s="22" t="inlineStr">
        <is>
          <t>2026-01-15</t>
        </is>
      </c>
      <c r="H14" s="11" t="inlineStr">
        <is>
          <t>Iranian Spice Co</t>
        </is>
      </c>
      <c r="I14" s="12" t="n">
        <v>10</v>
      </c>
      <c r="J14" s="11" t="inlineStr">
        <is>
          <t>Urgent Reorder</t>
        </is>
      </c>
    </row>
    <row r="15" ht="22" customHeight="1">
      <c r="B15" s="7" t="inlineStr">
        <is>
          <t>Frozen Falafel (1kg)</t>
        </is>
      </c>
      <c r="C15" s="8" t="n">
        <v>130</v>
      </c>
      <c r="D15" s="8" t="n">
        <v>100</v>
      </c>
      <c r="E15" s="7" t="inlineStr">
        <is>
          <t>Adequate</t>
        </is>
      </c>
      <c r="F15" s="8" t="n">
        <v>11</v>
      </c>
      <c r="G15" s="21" t="inlineStr">
        <is>
          <t>2026-01-26</t>
        </is>
      </c>
      <c r="H15" s="7" t="inlineStr">
        <is>
          <t>Al Areesh</t>
        </is>
      </c>
      <c r="I15" s="8" t="n">
        <v>3</v>
      </c>
      <c r="J15" s="7" t="inlineStr">
        <is>
          <t>Monitor</t>
        </is>
      </c>
    </row>
    <row r="16" ht="22" customHeight="1">
      <c r="B16" s="11" t="inlineStr">
        <is>
          <t>Honey (500g)</t>
        </is>
      </c>
      <c r="C16" s="12" t="n">
        <v>45</v>
      </c>
      <c r="D16" s="12" t="n">
        <v>60</v>
      </c>
      <c r="E16" s="11" t="inlineStr">
        <is>
          <t>Low Stock</t>
        </is>
      </c>
      <c r="F16" s="12" t="n">
        <v>7</v>
      </c>
      <c r="G16" s="22" t="inlineStr">
        <is>
          <t>2026-01-19</t>
        </is>
      </c>
      <c r="H16" s="11" t="inlineStr">
        <is>
          <t>Al Shifa</t>
        </is>
      </c>
      <c r="I16" s="12" t="n">
        <v>7</v>
      </c>
      <c r="J16" s="11" t="inlineStr">
        <is>
          <t>Reorder Now</t>
        </is>
      </c>
    </row>
    <row r="17" ht="22" customHeight="1">
      <c r="B17" s="7" t="inlineStr">
        <is>
          <t>Laundry Detergent</t>
        </is>
      </c>
      <c r="C17" s="8" t="n">
        <v>140</v>
      </c>
      <c r="D17" s="8" t="n">
        <v>100</v>
      </c>
      <c r="E17" s="7" t="inlineStr">
        <is>
          <t>Adequate</t>
        </is>
      </c>
      <c r="F17" s="8" t="n">
        <v>13</v>
      </c>
      <c r="G17" s="21" t="inlineStr">
        <is>
          <t>2026-01-22</t>
        </is>
      </c>
      <c r="H17" s="7" t="inlineStr">
        <is>
          <t>Unilever MEA</t>
        </is>
      </c>
      <c r="I17" s="8" t="n">
        <v>5</v>
      </c>
      <c r="J17" s="7" t="inlineStr">
        <is>
          <t>Monitor</t>
        </is>
      </c>
    </row>
    <row r="18" ht="22" customHeight="1">
      <c r="B18" s="11" t="inlineStr">
        <is>
          <t>Diapers (Large)</t>
        </is>
      </c>
      <c r="C18" s="12" t="n">
        <v>110</v>
      </c>
      <c r="D18" s="12" t="n">
        <v>100</v>
      </c>
      <c r="E18" s="11" t="inlineStr">
        <is>
          <t>Adequate</t>
        </is>
      </c>
      <c r="F18" s="12" t="n">
        <v>10</v>
      </c>
      <c r="G18" s="22" t="inlineStr">
        <is>
          <t>2026-01-24</t>
        </is>
      </c>
      <c r="H18" s="11" t="inlineStr">
        <is>
          <t>P&amp;G MEA</t>
        </is>
      </c>
      <c r="I18" s="12" t="n">
        <v>4</v>
      </c>
      <c r="J18" s="11" t="inlineStr">
        <is>
          <t>Monitor</t>
        </is>
      </c>
    </row>
    <row r="19" ht="22" customHeight="1">
      <c r="B19" s="7" t="inlineStr">
        <is>
          <t>Tea Bags (100pk)</t>
        </is>
      </c>
      <c r="C19" s="8" t="n">
        <v>280</v>
      </c>
      <c r="D19" s="8" t="n">
        <v>150</v>
      </c>
      <c r="E19" s="7" t="inlineStr">
        <is>
          <t>Surplus</t>
        </is>
      </c>
      <c r="F19" s="8" t="n">
        <v>22</v>
      </c>
      <c r="G19" s="21" t="inlineStr">
        <is>
          <t>2026-01-27</t>
        </is>
      </c>
      <c r="H19" s="7" t="inlineStr">
        <is>
          <t>Lipton MEA</t>
        </is>
      </c>
      <c r="I19" s="8" t="n">
        <v>5</v>
      </c>
      <c r="J19" s="7" t="inlineStr">
        <is>
          <t>Reduce Order</t>
        </is>
      </c>
    </row>
    <row r="20"/>
    <row r="21"/>
    <row r="22">
      <c r="B22" s="20" t="inlineStr">
        <is>
          <t>Supplier Summary</t>
        </is>
      </c>
    </row>
    <row r="23" ht="28" customHeight="1">
      <c r="B23" s="6" t="inlineStr">
        <is>
          <t>Supplier</t>
        </is>
      </c>
      <c r="C23" s="6" t="inlineStr">
        <is>
          <t>Products</t>
        </is>
      </c>
      <c r="D23" s="6" t="inlineStr">
        <is>
          <t>Total Orders</t>
        </is>
      </c>
      <c r="E23" s="6" t="inlineStr">
        <is>
          <t>On-Time Delivery %</t>
        </is>
      </c>
      <c r="F23" s="6" t="inlineStr">
        <is>
          <t>Rating</t>
        </is>
      </c>
    </row>
    <row r="24" ht="22" customHeight="1">
      <c r="B24" s="7" t="inlineStr">
        <is>
          <t>Almarai</t>
        </is>
      </c>
      <c r="C24" s="8" t="n">
        <v>2</v>
      </c>
      <c r="D24" s="8" t="n">
        <v>28</v>
      </c>
      <c r="E24" s="9" t="n">
        <v>0.96</v>
      </c>
      <c r="F24" s="23" t="n">
        <v>4.8</v>
      </c>
    </row>
    <row r="25" ht="22" customHeight="1">
      <c r="B25" s="11" t="inlineStr">
        <is>
          <t>Al Ain Foods</t>
        </is>
      </c>
      <c r="C25" s="12" t="n">
        <v>1</v>
      </c>
      <c r="D25" s="12" t="n">
        <v>22</v>
      </c>
      <c r="E25" s="13" t="n">
        <v>0.98</v>
      </c>
      <c r="F25" s="24" t="n">
        <v>4.9</v>
      </c>
    </row>
    <row r="26" ht="22" customHeight="1">
      <c r="B26" s="7" t="inlineStr">
        <is>
          <t>Al Khaleej Rice</t>
        </is>
      </c>
      <c r="C26" s="8" t="n">
        <v>1</v>
      </c>
      <c r="D26" s="8" t="n">
        <v>18</v>
      </c>
      <c r="E26" s="9" t="n">
        <v>0.9399999999999999</v>
      </c>
      <c r="F26" s="23" t="n">
        <v>4.5</v>
      </c>
    </row>
    <row r="27" ht="22" customHeight="1">
      <c r="B27" s="11" t="inlineStr">
        <is>
          <t>Al Rawdah</t>
        </is>
      </c>
      <c r="C27" s="12" t="n">
        <v>1</v>
      </c>
      <c r="D27" s="12" t="n">
        <v>30</v>
      </c>
      <c r="E27" s="13" t="n">
        <v>0.92</v>
      </c>
      <c r="F27" s="24" t="n">
        <v>4.3</v>
      </c>
    </row>
    <row r="28" ht="22" customHeight="1">
      <c r="B28" s="7" t="inlineStr">
        <is>
          <t>Filipppo Berio</t>
        </is>
      </c>
      <c r="C28" s="8" t="n">
        <v>1</v>
      </c>
      <c r="D28" s="8" t="n">
        <v>12</v>
      </c>
      <c r="E28" s="9" t="n">
        <v>0.88</v>
      </c>
      <c r="F28" s="23" t="n">
        <v>4</v>
      </c>
    </row>
    <row r="29" ht="22" customHeight="1">
      <c r="B29" s="11" t="inlineStr">
        <is>
          <t>Al Foah</t>
        </is>
      </c>
      <c r="C29" s="12" t="n">
        <v>1</v>
      </c>
      <c r="D29" s="12" t="n">
        <v>15</v>
      </c>
      <c r="E29" s="13" t="n">
        <v>0.93</v>
      </c>
      <c r="F29" s="24" t="n">
        <v>4.4</v>
      </c>
    </row>
    <row r="30" ht="22" customHeight="1">
      <c r="B30" s="7" t="inlineStr">
        <is>
          <t>Coca-Cola MEA</t>
        </is>
      </c>
      <c r="C30" s="8" t="n">
        <v>1</v>
      </c>
      <c r="D30" s="8" t="n">
        <v>16</v>
      </c>
      <c r="E30" s="9" t="n">
        <v>0.97</v>
      </c>
      <c r="F30" s="23" t="n">
        <v>4.7</v>
      </c>
    </row>
    <row r="31" ht="22" customHeight="1">
      <c r="B31" s="11" t="inlineStr">
        <is>
          <t>Iranian Spice Co</t>
        </is>
      </c>
      <c r="C31" s="12" t="n">
        <v>1</v>
      </c>
      <c r="D31" s="12" t="n">
        <v>8</v>
      </c>
      <c r="E31" s="13" t="n">
        <v>0.85</v>
      </c>
      <c r="F31" s="24" t="n">
        <v>3.8</v>
      </c>
    </row>
    <row r="32" ht="22" customHeight="1">
      <c r="B32" s="7" t="inlineStr">
        <is>
          <t>Al Areesh</t>
        </is>
      </c>
      <c r="C32" s="8" t="n">
        <v>1</v>
      </c>
      <c r="D32" s="8" t="n">
        <v>20</v>
      </c>
      <c r="E32" s="9" t="n">
        <v>0.95</v>
      </c>
      <c r="F32" s="23" t="n">
        <v>4.6</v>
      </c>
    </row>
    <row r="33" ht="22" customHeight="1">
      <c r="B33" s="11" t="inlineStr">
        <is>
          <t>Al Shifa</t>
        </is>
      </c>
      <c r="C33" s="12" t="n">
        <v>1</v>
      </c>
      <c r="D33" s="12" t="n">
        <v>10</v>
      </c>
      <c r="E33" s="13" t="n">
        <v>0.9</v>
      </c>
      <c r="F33" s="24" t="n">
        <v>4.2</v>
      </c>
    </row>
    <row r="34" ht="22" customHeight="1">
      <c r="B34" s="7" t="inlineStr">
        <is>
          <t>Unilever MEA</t>
        </is>
      </c>
      <c r="C34" s="8" t="n">
        <v>1</v>
      </c>
      <c r="D34" s="8" t="n">
        <v>14</v>
      </c>
      <c r="E34" s="9" t="n">
        <v>0.96</v>
      </c>
      <c r="F34" s="23" t="n">
        <v>4.5</v>
      </c>
    </row>
    <row r="35" ht="22" customHeight="1">
      <c r="B35" s="11" t="inlineStr">
        <is>
          <t>P&amp;G MEA</t>
        </is>
      </c>
      <c r="C35" s="12" t="n">
        <v>1</v>
      </c>
      <c r="D35" s="12" t="n">
        <v>16</v>
      </c>
      <c r="E35" s="13" t="n">
        <v>0.97</v>
      </c>
      <c r="F35" s="24" t="n">
        <v>4.6</v>
      </c>
    </row>
    <row r="36" ht="22" customHeight="1">
      <c r="B36" s="7" t="inlineStr">
        <is>
          <t>Lipton MEA</t>
        </is>
      </c>
      <c r="C36" s="8" t="n">
        <v>1</v>
      </c>
      <c r="D36" s="8" t="n">
        <v>14</v>
      </c>
      <c r="E36" s="9" t="n">
        <v>0.9399999999999999</v>
      </c>
      <c r="F36" s="23" t="n">
        <v>4.4</v>
      </c>
    </row>
    <row r="37" ht="22" customHeight="1">
      <c r="B37" s="11" t="inlineStr">
        <is>
          <t>Modern Bakery</t>
        </is>
      </c>
      <c r="C37" s="12" t="n">
        <v>1</v>
      </c>
      <c r="D37" s="12" t="n">
        <v>30</v>
      </c>
      <c r="E37" s="13" t="n">
        <v>0.99</v>
      </c>
      <c r="F37" s="24" t="n">
        <v>4.9</v>
      </c>
    </row>
    <row r="38"/>
    <row r="39"/>
    <row r="40" ht="20" customHeight="1">
      <c r="B40" s="19" t="inlineStr">
        <is>
          <t>Prepared by Ahmed Ali | Data Analysis Services | ahmed-ali-ops.vercel.app</t>
        </is>
      </c>
    </row>
  </sheetData>
  <mergeCells count="2">
    <mergeCell ref="B40:K40"/>
    <mergeCell ref="B2:K2"/>
  </mergeCells>
  <conditionalFormatting sqref="E5:E19">
    <cfRule type="cellIs" priority="1" operator="equal" dxfId="0">
      <formula>"Critical"</formula>
    </cfRule>
    <cfRule type="cellIs" priority="2" operator="equal" dxfId="1">
      <formula>"Low Stock"</formula>
    </cfRule>
    <cfRule type="cellIs" priority="3" operator="equal" dxfId="2">
      <formula>"Adequate"</formula>
    </cfRule>
    <cfRule type="cellIs" priority="4" operator="equal" dxfId="3">
      <formula>"Surplus"</formula>
    </cfRule>
  </conditionalFormatting>
  <conditionalFormatting sqref="J5:J19">
    <cfRule type="cellIs" priority="5" operator="equal" dxfId="0">
      <formula>"Urgent Reorder"</formula>
    </cfRule>
    <cfRule type="cellIs" priority="6" operator="equal" dxfId="1">
      <formula>"Reorder Now"</formula>
    </cfRule>
    <cfRule type="cellIs" priority="7" operator="equal" dxfId="3">
      <formula>"Reduce Order"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7" customWidth="1" min="4" max="4"/>
    <col width="18" customWidth="1" min="5" max="5"/>
    <col width="15" customWidth="1" min="6" max="6"/>
    <col width="14" customWidth="1" min="7" max="7"/>
    <col width="8" customWidth="1" min="8" max="8"/>
    <col width="8" customWidth="1" min="9" max="9"/>
  </cols>
  <sheetData>
    <row r="1" ht="15" customHeight="1"/>
    <row r="2" ht="32" customHeight="1">
      <c r="B2" s="1" t="inlineStr">
        <is>
          <t>Customer Insights — January 2026</t>
        </is>
      </c>
    </row>
    <row r="3" ht="8" customHeight="1"/>
    <row r="4" ht="28" customHeight="1">
      <c r="B4" s="6" t="inlineStr">
        <is>
          <t>Segment</t>
        </is>
      </c>
      <c r="C4" s="6" t="inlineStr">
        <is>
          <t>Customers</t>
        </is>
      </c>
      <c r="D4" s="6" t="inlineStr">
        <is>
          <t>Avg Spend (AED)</t>
        </is>
      </c>
      <c r="E4" s="6" t="inlineStr">
        <is>
          <t>Visits/Month</t>
        </is>
      </c>
      <c r="F4" s="6" t="inlineStr">
        <is>
          <t>Revenue (AED)</t>
        </is>
      </c>
      <c r="G4" s="6" t="inlineStr">
        <is>
          <t>% of Revenue</t>
        </is>
      </c>
    </row>
    <row r="5" ht="22" customHeight="1">
      <c r="B5" s="7" t="inlineStr">
        <is>
          <t>Daily Shoppers</t>
        </is>
      </c>
      <c r="C5" s="8" t="n">
        <v>3200</v>
      </c>
      <c r="D5" s="10" t="n">
        <v>28.5</v>
      </c>
      <c r="E5" s="8" t="n">
        <v>24</v>
      </c>
      <c r="F5" s="8" t="n">
        <v>2188800</v>
      </c>
      <c r="G5" s="9" t="n">
        <v>0.4635</v>
      </c>
    </row>
    <row r="6" ht="22" customHeight="1">
      <c r="B6" s="11" t="inlineStr">
        <is>
          <t>Weekly Families</t>
        </is>
      </c>
      <c r="C6" s="12" t="n">
        <v>1800</v>
      </c>
      <c r="D6" s="14" t="n">
        <v>85</v>
      </c>
      <c r="E6" s="12" t="n">
        <v>4</v>
      </c>
      <c r="F6" s="12" t="n">
        <v>612000</v>
      </c>
      <c r="G6" s="13" t="n">
        <v>0.1297</v>
      </c>
    </row>
    <row r="7" ht="22" customHeight="1">
      <c r="B7" s="7" t="inlineStr">
        <is>
          <t>Monthly Bulk</t>
        </is>
      </c>
      <c r="C7" s="8" t="n">
        <v>650</v>
      </c>
      <c r="D7" s="10" t="n">
        <v>210</v>
      </c>
      <c r="E7" s="8" t="n">
        <v>1</v>
      </c>
      <c r="F7" s="8" t="n">
        <v>136500</v>
      </c>
      <c r="G7" s="9" t="n">
        <v>0.0289</v>
      </c>
    </row>
    <row r="8" ht="22" customHeight="1">
      <c r="B8" s="11" t="inlineStr">
        <is>
          <t>Occasional</t>
        </is>
      </c>
      <c r="C8" s="12" t="n">
        <v>2200</v>
      </c>
      <c r="D8" s="14" t="n">
        <v>42</v>
      </c>
      <c r="E8" s="12" t="n">
        <v>2</v>
      </c>
      <c r="F8" s="12" t="n">
        <v>184800</v>
      </c>
      <c r="G8" s="13" t="n">
        <v>0.0392</v>
      </c>
    </row>
    <row r="9" ht="22" customHeight="1">
      <c r="B9" s="7" t="inlineStr">
        <is>
          <t>Wholesale</t>
        </is>
      </c>
      <c r="C9" s="8" t="n">
        <v>85</v>
      </c>
      <c r="D9" s="10" t="n">
        <v>750</v>
      </c>
      <c r="E9" s="8" t="n">
        <v>3</v>
      </c>
      <c r="F9" s="8" t="n">
        <v>191250</v>
      </c>
      <c r="G9" s="9" t="n">
        <v>0.0405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28" customHeight="1">
      <c r="B29" s="6" t="inlineStr">
        <is>
          <t>Day</t>
        </is>
      </c>
      <c r="C29" s="6" t="inlineStr">
        <is>
          <t>Revenue (AED)</t>
        </is>
      </c>
      <c r="D29" s="6" t="inlineStr">
        <is>
          <t>Transactions</t>
        </is>
      </c>
      <c r="E29" s="6" t="inlineStr">
        <is>
          <t>Avg Basket (AED)</t>
        </is>
      </c>
    </row>
    <row r="30" ht="22" customHeight="1">
      <c r="B30" s="7" t="inlineStr">
        <is>
          <t>Saturday</t>
        </is>
      </c>
      <c r="C30" s="8" t="n">
        <v>82000</v>
      </c>
      <c r="D30" s="8" t="n">
        <v>1680</v>
      </c>
      <c r="E30" s="10" t="n">
        <v>48.81</v>
      </c>
    </row>
    <row r="31" ht="22" customHeight="1">
      <c r="B31" s="11" t="inlineStr">
        <is>
          <t>Sunday</t>
        </is>
      </c>
      <c r="C31" s="12" t="n">
        <v>68000</v>
      </c>
      <c r="D31" s="12" t="n">
        <v>1420</v>
      </c>
      <c r="E31" s="14" t="n">
        <v>47.89</v>
      </c>
    </row>
    <row r="32" ht="22" customHeight="1">
      <c r="B32" s="7" t="inlineStr">
        <is>
          <t>Monday</t>
        </is>
      </c>
      <c r="C32" s="8" t="n">
        <v>58000</v>
      </c>
      <c r="D32" s="8" t="n">
        <v>1180</v>
      </c>
      <c r="E32" s="10" t="n">
        <v>49.15</v>
      </c>
    </row>
    <row r="33" ht="22" customHeight="1">
      <c r="B33" s="11" t="inlineStr">
        <is>
          <t>Tuesday</t>
        </is>
      </c>
      <c r="C33" s="12" t="n">
        <v>55000</v>
      </c>
      <c r="D33" s="12" t="n">
        <v>1120</v>
      </c>
      <c r="E33" s="14" t="n">
        <v>49.11</v>
      </c>
    </row>
    <row r="34" ht="22" customHeight="1">
      <c r="B34" s="7" t="inlineStr">
        <is>
          <t>Wednesday</t>
        </is>
      </c>
      <c r="C34" s="8" t="n">
        <v>60000</v>
      </c>
      <c r="D34" s="8" t="n">
        <v>1240</v>
      </c>
      <c r="E34" s="10" t="n">
        <v>48.39</v>
      </c>
    </row>
    <row r="35" ht="22" customHeight="1">
      <c r="B35" s="11" t="inlineStr">
        <is>
          <t>Thursday</t>
        </is>
      </c>
      <c r="C35" s="12" t="n">
        <v>65000</v>
      </c>
      <c r="D35" s="12" t="n">
        <v>1350</v>
      </c>
      <c r="E35" s="14" t="n">
        <v>48.15</v>
      </c>
    </row>
    <row r="36" ht="22" customHeight="1">
      <c r="B36" s="7" t="inlineStr">
        <is>
          <t>Friday</t>
        </is>
      </c>
      <c r="C36" s="8" t="n">
        <v>84500</v>
      </c>
      <c r="D36" s="8" t="n">
        <v>1780</v>
      </c>
      <c r="E36" s="10" t="n">
        <v>47.47</v>
      </c>
    </row>
    <row r="37"/>
    <row r="38"/>
    <row r="39"/>
    <row r="40"/>
    <row r="41"/>
    <row r="42"/>
    <row r="43"/>
    <row r="44"/>
    <row r="45"/>
    <row r="46"/>
    <row r="47"/>
    <row r="48"/>
    <row r="49"/>
    <row r="50" ht="20" customHeight="1">
      <c r="B50" s="19" t="inlineStr">
        <is>
          <t>Prepared by Ahmed Ali | Data Analysis Services | ahmed-ali-ops.vercel.app</t>
        </is>
      </c>
    </row>
  </sheetData>
  <mergeCells count="2">
    <mergeCell ref="B2:I2"/>
    <mergeCell ref="B50:I5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28" customWidth="1" min="4" max="4"/>
    <col width="8" customWidth="1" min="5" max="5"/>
    <col width="28" customWidth="1" min="6" max="6"/>
    <col width="10" customWidth="1" min="7" max="7"/>
    <col width="8" customWidth="1" min="8" max="8"/>
  </cols>
  <sheetData>
    <row r="1" ht="15" customHeight="1"/>
    <row r="2" ht="32" customHeight="1">
      <c r="B2" s="1" t="inlineStr">
        <is>
          <t>Key Insights &amp; Strategic Recommendations</t>
        </is>
      </c>
    </row>
    <row r="3" ht="8" customHeight="1"/>
    <row r="4" ht="28" customHeight="1">
      <c r="B4" s="6" t="inlineStr">
        <is>
          <t>#</t>
        </is>
      </c>
      <c r="C4" s="6" t="inlineStr">
        <is>
          <t>Category</t>
        </is>
      </c>
      <c r="D4" s="6" t="inlineStr">
        <is>
          <t>Insight</t>
        </is>
      </c>
      <c r="E4" s="6" t="inlineStr">
        <is>
          <t>Impact</t>
        </is>
      </c>
      <c r="F4" s="6" t="inlineStr">
        <is>
          <t>Action Item</t>
        </is>
      </c>
      <c r="G4" s="6" t="inlineStr">
        <is>
          <t>Priority</t>
        </is>
      </c>
    </row>
    <row r="5" ht="22" customHeight="1">
      <c r="B5" s="25" t="n">
        <v>1</v>
      </c>
      <c r="C5" s="7" t="inlineStr">
        <is>
          <t>Inventory</t>
        </is>
      </c>
      <c r="D5" s="7" t="inlineStr">
        <is>
          <t>Saffron stock is critical (3 days of supply) with 10-day lead time</t>
        </is>
      </c>
      <c r="E5" s="7" t="inlineStr">
        <is>
          <t>High</t>
        </is>
      </c>
      <c r="F5" s="7" t="inlineStr">
        <is>
          <t>Place urgent reorder with Iranian Spice Co; identify backup supplier</t>
        </is>
      </c>
      <c r="G5" s="7" t="inlineStr">
        <is>
          <t>High</t>
        </is>
      </c>
    </row>
    <row r="6" ht="22" customHeight="1">
      <c r="B6" s="26" t="n">
        <v>2</v>
      </c>
      <c r="C6" s="11" t="inlineStr">
        <is>
          <t>Revenue</t>
        </is>
      </c>
      <c r="D6" s="11" t="inlineStr">
        <is>
          <t>Daily Shoppers contribute 46% of revenue but have low avg spend (AED 28.50)</t>
        </is>
      </c>
      <c r="E6" s="11" t="inlineStr">
        <is>
          <t>High</t>
        </is>
      </c>
      <c r="F6" s="11" t="inlineStr">
        <is>
          <t>Implement cross-sell promotions at checkout to increase basket size</t>
        </is>
      </c>
      <c r="G6" s="11" t="inlineStr">
        <is>
          <t>High</t>
        </is>
      </c>
    </row>
    <row r="7" ht="22" customHeight="1">
      <c r="B7" s="25" t="n">
        <v>3</v>
      </c>
      <c r="C7" s="7" t="inlineStr">
        <is>
          <t>Supply Chain</t>
        </is>
      </c>
      <c r="D7" s="7" t="inlineStr">
        <is>
          <t>Arabic Bread surplus (28 days) with high waste risk</t>
        </is>
      </c>
      <c r="E7" s="7" t="inlineStr">
        <is>
          <t>Medium</t>
        </is>
      </c>
      <c r="F7" s="7" t="inlineStr">
        <is>
          <t>Reduce order quantity by 40% and negotiate smaller daily deliveries</t>
        </is>
      </c>
      <c r="G7" s="7" t="inlineStr">
        <is>
          <t>Medium</t>
        </is>
      </c>
    </row>
    <row r="8" ht="22" customHeight="1">
      <c r="B8" s="26" t="n">
        <v>4</v>
      </c>
      <c r="C8" s="11" t="inlineStr">
        <is>
          <t>Customer</t>
        </is>
      </c>
      <c r="D8" s="11" t="inlineStr">
        <is>
          <t>Wholesale segment has highest avg spend (AED 750) but only 85 customers</t>
        </is>
      </c>
      <c r="E8" s="11" t="inlineStr">
        <is>
          <t>High</t>
        </is>
      </c>
      <c r="F8" s="11" t="inlineStr">
        <is>
          <t>Launch B2B loyalty program with volume discounts to grow this segment</t>
        </is>
      </c>
      <c r="G8" s="11" t="inlineStr">
        <is>
          <t>High</t>
        </is>
      </c>
    </row>
    <row r="9" ht="22" customHeight="1">
      <c r="B9" s="25" t="n">
        <v>5</v>
      </c>
      <c r="C9" s="7" t="inlineStr">
        <is>
          <t>Operations</t>
        </is>
      </c>
      <c r="D9" s="7" t="inlineStr">
        <is>
          <t>Weekend revenue (Fri+Sat) is 35% of weekly total</t>
        </is>
      </c>
      <c r="E9" s="7" t="inlineStr">
        <is>
          <t>Medium</t>
        </is>
      </c>
      <c r="F9" s="7" t="inlineStr">
        <is>
          <t>Extend weekend hours and add promotional displays at entrance</t>
        </is>
      </c>
      <c r="G9" s="7" t="inlineStr">
        <is>
          <t>Medium</t>
        </is>
      </c>
    </row>
    <row r="10" ht="22" customHeight="1">
      <c r="B10" s="26" t="n">
        <v>6</v>
      </c>
      <c r="C10" s="11" t="inlineStr">
        <is>
          <t>Pricing</t>
        </is>
      </c>
      <c r="D10" s="11" t="inlineStr">
        <is>
          <t>Fresh Chicken margin (26.7%) is lowest across all products</t>
        </is>
      </c>
      <c r="E10" s="11" t="inlineStr">
        <is>
          <t>Medium</t>
        </is>
      </c>
      <c r="F10" s="11" t="inlineStr">
        <is>
          <t>Renegotiate supplier terms or increase retail price by AED 2/kg</t>
        </is>
      </c>
      <c r="G10" s="11" t="inlineStr">
        <is>
          <t>Medium</t>
        </is>
      </c>
    </row>
    <row r="11" ht="22" customHeight="1">
      <c r="B11" s="25" t="n">
        <v>7</v>
      </c>
      <c r="C11" s="7" t="inlineStr">
        <is>
          <t>Inventory</t>
        </is>
      </c>
      <c r="D11" s="7" t="inlineStr">
        <is>
          <t>Milk and Dates are below reorder level with high turnover</t>
        </is>
      </c>
      <c r="E11" s="7" t="inlineStr">
        <is>
          <t>High</t>
        </is>
      </c>
      <c r="F11" s="7" t="inlineStr">
        <is>
          <t>Set up automated reorder triggers when stock hits 120% of reorder level</t>
        </is>
      </c>
      <c r="G11" s="7" t="inlineStr">
        <is>
          <t>High</t>
        </is>
      </c>
    </row>
    <row r="12" ht="22" customHeight="1">
      <c r="B12" s="26" t="n">
        <v>8</v>
      </c>
      <c r="C12" s="11" t="inlineStr">
        <is>
          <t>Growth</t>
        </is>
      </c>
      <c r="D12" s="11" t="inlineStr">
        <is>
          <t>Monthly bulk buyers visit only once — potential for repeat purchase</t>
        </is>
      </c>
      <c r="E12" s="11" t="inlineStr">
        <is>
          <t>Low</t>
        </is>
      </c>
      <c r="F12" s="11" t="inlineStr">
        <is>
          <t>Introduce subscription boxes with home delivery for bulk items</t>
        </is>
      </c>
      <c r="G12" s="11" t="inlineStr">
        <is>
          <t>Low</t>
        </is>
      </c>
    </row>
    <row r="13"/>
    <row r="14"/>
    <row r="15" ht="20" customHeight="1">
      <c r="B15" s="19" t="inlineStr">
        <is>
          <t>Prepared by Ahmed Ali | Data Analysis Services | ahmed-ali-ops.vercel.app</t>
        </is>
      </c>
    </row>
  </sheetData>
  <mergeCells count="2">
    <mergeCell ref="B2:H2"/>
    <mergeCell ref="B15:H15"/>
  </mergeCells>
  <conditionalFormatting sqref="G5:G12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E5:E12">
    <cfRule type="cellIs" priority="4" operator="equal" dxfId="0">
      <formula>"High"</formula>
    </cfRule>
    <cfRule type="cellIs" priority="5" operator="equal" dxfId="1">
      <formula>"Medium"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2026-05-23T16:05:38Z</dcterms:created>
  <dcterms:modified xmlns:dcterms="http://purl.org/dc/terms/" xmlns:xsi="http://www.w3.org/2001/XMLSchema-instance" xsi:type="dcterms:W3CDTF">2026-05-23T16:05:38Z</dcterms:modified>
</cp:coreProperties>
</file>