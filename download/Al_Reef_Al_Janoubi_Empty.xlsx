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anc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perty Registry" sheetId="3" state="visible" r:id="rId3"/>
    <sheet xmlns:r="http://schemas.openxmlformats.org/officeDocument/2006/relationships" name="Tenants" sheetId="4" state="visible" r:id="rId4"/>
    <sheet xmlns:r="http://schemas.openxmlformats.org/officeDocument/2006/relationships" name="Rent Collection" sheetId="5" state="visible" r:id="rId5"/>
    <sheet xmlns:r="http://schemas.openxmlformats.org/officeDocument/2006/relationships" name="Payment Alerts" sheetId="6" state="visible" r:id="rId6"/>
    <sheet xmlns:r="http://schemas.openxmlformats.org/officeDocument/2006/relationships" name="Maintenance" sheetId="7" state="visible" r:id="rId7"/>
    <sheet xmlns:r="http://schemas.openxmlformats.org/officeDocument/2006/relationships" name="Expenses" sheetId="8" state="visible" r:id="rId8"/>
    <sheet xmlns:r="http://schemas.openxmlformats.org/officeDocument/2006/relationships" name="Revenue Analysis" sheetId="9" state="visible" r:id="rId9"/>
    <sheet xmlns:r="http://schemas.openxmlformats.org/officeDocument/2006/relationships" name="Profit &amp; Loss" sheetId="10" state="visible" r:id="rId10"/>
    <sheet xmlns:r="http://schemas.openxmlformats.org/officeDocument/2006/relationships" name="Contract Tracker" sheetId="11" state="visible" r:id="rId11"/>
  </sheets>
  <definedNames>
    <definedName name="_xlnm.Print_Titles" localSheetId="0">'Guidance'!$2:$3</definedName>
    <definedName name="_xlnm.Print_Area" localSheetId="0">'Guidance'!$A$1:$J$67</definedName>
    <definedName name="_xlnm.Print_Titles" localSheetId="1">'Dashboard'!$2:$3</definedName>
    <definedName name="_xlnm.Print_Area" localSheetId="1">'Dashboard'!$A$1:$N$104</definedName>
    <definedName name="_xlnm.Print_Titles" localSheetId="2">'Property Registry'!$2:$4</definedName>
    <definedName name="_xlnm.Print_Area" localSheetId="2">'Property Registry'!$A$1:$M$155</definedName>
    <definedName name="_xlnm.Print_Titles" localSheetId="3">'Tenants'!$2:$4</definedName>
    <definedName name="_xlnm.Print_Area" localSheetId="3">'Tenants'!$A$1:$P$155</definedName>
    <definedName name="_xlnm.Print_Titles" localSheetId="4">'Rent Collection'!$2:$4</definedName>
    <definedName name="_xlnm.Print_Area" localSheetId="4">'Rent Collection'!$A$1:$M$165</definedName>
    <definedName name="_xlnm.Print_Titles" localSheetId="5">'Payment Alerts'!$2:$4</definedName>
    <definedName name="_xlnm.Print_Area" localSheetId="5">'Payment Alerts'!$A$1:$J$55</definedName>
    <definedName name="_xlnm.Print_Titles" localSheetId="6">'Maintenance'!$2:$4</definedName>
    <definedName name="_xlnm.Print_Area" localSheetId="6">'Maintenance'!$A$1:$M$205</definedName>
    <definedName name="_xlnm.Print_Titles" localSheetId="7">'Expenses'!$2:$4</definedName>
    <definedName name="_xlnm.Print_Area" localSheetId="7">'Expenses'!$A$1:$K$322</definedName>
    <definedName name="_xlnm.Print_Titles" localSheetId="8">'Revenue Analysis'!$2:$4</definedName>
    <definedName name="_xlnm.Print_Area" localSheetId="8">'Revenue Analysis'!$A$1:$O$37</definedName>
    <definedName name="_xlnm.Print_Titles" localSheetId="9">'Profit &amp; Loss'!$2:$4</definedName>
    <definedName name="_xlnm.Print_Area" localSheetId="9">'Profit &amp; Loss'!$A$1:$D$42</definedName>
    <definedName name="_xlnm.Print_Titles" localSheetId="10">'Contract Tracker'!$2:$4</definedName>
    <definedName name="_xlnm.Print_Area" localSheetId="10">'Contract Tracker'!$A$1:$L$164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4">
    <font>
      <name val="Calibri"/>
      <family val="2"/>
      <color theme="1"/>
      <sz val="11"/>
      <scheme val="minor"/>
    </font>
    <font>
      <name val="Noto Sans CJK SC"/>
      <color rgb="002D4A3E"/>
      <sz val="16"/>
    </font>
    <font>
      <name val="Calibri"/>
      <b val="1"/>
      <color rgb="00FFFFFF"/>
      <sz val="13"/>
    </font>
    <font>
      <name val="Calibri"/>
      <color rgb="003B5249"/>
      <sz val="10"/>
    </font>
    <font>
      <name val="Calibri"/>
      <b val="1"/>
      <color rgb="005FA67A"/>
      <sz val="11"/>
    </font>
    <font>
      <name val="Calibri"/>
      <color rgb="007A9B8C"/>
      <sz val="10"/>
    </font>
    <font>
      <name val="Noto Sans CJK SC"/>
      <color rgb="002D4A3E"/>
      <sz val="22"/>
    </font>
    <font>
      <name val="Noto Sans CJK SC"/>
      <color rgb="007A9B8C"/>
      <sz val="9"/>
    </font>
    <font>
      <name val="Noto Sans CJK SC"/>
      <color rgb="00FFFFFF"/>
      <sz val="11"/>
    </font>
    <font>
      <name val="Noto Sans CJK SC"/>
      <color rgb="003B5249"/>
      <sz val="11"/>
    </font>
    <font>
      <name val="Noto Sans CJK SC"/>
      <color rgb="002D4A3E"/>
      <sz val="11"/>
    </font>
    <font>
      <name val="Calibri"/>
      <b val="1"/>
      <color rgb="00C2694B"/>
      <sz val="10"/>
    </font>
    <font>
      <name val="Calibri"/>
      <b val="1"/>
      <color rgb="00FFFFFF"/>
      <sz val="11"/>
    </font>
    <font>
      <name val="Calibri"/>
      <b val="1"/>
      <color rgb="00C2694B"/>
      <sz val="11"/>
    </font>
  </fonts>
  <fills count="8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E8F0EB"/>
      </patternFill>
    </fill>
    <fill>
      <patternFill patternType="solid">
        <fgColor rgb="00C2694B"/>
      </patternFill>
    </fill>
    <fill>
      <patternFill patternType="solid">
        <fgColor rgb="00F0FAF4"/>
      </patternFill>
    </fill>
    <fill>
      <patternFill patternType="solid">
        <fgColor rgb="00FFFFFF"/>
      </patternFill>
    </fill>
    <fill>
      <patternFill patternType="solid">
        <fgColor rgb="00F6FAF8"/>
      </patternFill>
    </fill>
  </fills>
  <borders count="3">
    <border>
      <left/>
      <right/>
      <top/>
      <bottom/>
      <diagonal/>
    </border>
    <border>
      <bottom style="thin">
        <color rgb="00D4E3DB"/>
      </bottom>
    </border>
    <border>
      <top style="medium">
        <color rgb="00D4E3D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bottom"/>
    </xf>
    <xf numFmtId="164" fontId="6" fillId="3" borderId="0" applyAlignment="1" pivotButton="0" quotePrefix="0" xfId="0">
      <alignment horizontal="center" vertical="bottom"/>
    </xf>
    <xf numFmtId="4" fontId="6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top"/>
    </xf>
    <xf numFmtId="0" fontId="7" fillId="0" borderId="0" pivotButton="0" quotePrefix="0" xfId="0"/>
    <xf numFmtId="164" fontId="7" fillId="0" borderId="0" pivotButton="0" quotePrefix="0" xfId="0"/>
    <xf numFmtId="4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6" borderId="0" pivotButton="0" quotePrefix="0" xfId="0"/>
    <xf numFmtId="3" fontId="9" fillId="6" borderId="0" pivotButton="0" quotePrefix="0" xfId="0"/>
    <xf numFmtId="4" fontId="9" fillId="6" borderId="0" pivotButton="0" quotePrefix="0" xfId="0"/>
    <xf numFmtId="165" fontId="9" fillId="6" borderId="0" pivotButton="0" quotePrefix="0" xfId="0"/>
    <xf numFmtId="0" fontId="9" fillId="7" borderId="0" pivotButton="0" quotePrefix="0" xfId="0"/>
    <xf numFmtId="3" fontId="9" fillId="7" borderId="0" pivotButton="0" quotePrefix="0" xfId="0"/>
    <xf numFmtId="4" fontId="9" fillId="7" borderId="0" pivotButton="0" quotePrefix="0" xfId="0"/>
    <xf numFmtId="165" fontId="9" fillId="7" borderId="0" pivotButton="0" quotePrefix="0" xfId="0"/>
    <xf numFmtId="0" fontId="10" fillId="3" borderId="2" pivotButton="0" quotePrefix="0" xfId="0"/>
    <xf numFmtId="3" fontId="10" fillId="3" borderId="2" pivotButton="0" quotePrefix="0" xfId="0"/>
    <xf numFmtId="4" fontId="10" fillId="3" borderId="2" pivotButton="0" quotePrefix="0" xfId="0"/>
    <xf numFmtId="0" fontId="10" fillId="0" borderId="0" pivotButton="0" quotePrefix="0" xfId="0"/>
    <xf numFmtId="0" fontId="9" fillId="3" borderId="0" applyAlignment="1" pivotButton="0" quotePrefix="0" xfId="0">
      <alignment horizontal="left" vertical="center"/>
    </xf>
    <xf numFmtId="4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0" fontId="11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/>
    </xf>
    <xf numFmtId="4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4" fontId="9" fillId="7" borderId="0" applyAlignment="1" pivotButton="0" quotePrefix="0" xfId="0">
      <alignment horizontal="right" vertical="center"/>
    </xf>
    <xf numFmtId="0" fontId="9" fillId="0" borderId="0" pivotButton="0" quotePrefix="0" xfId="0"/>
    <xf numFmtId="4" fontId="0" fillId="0" borderId="0" applyAlignment="1" pivotButton="0" quotePrefix="0" xfId="0">
      <alignment horizontal="right" vertical="center"/>
    </xf>
    <xf numFmtId="0" fontId="10" fillId="3" borderId="0" pivotButton="0" quotePrefix="0" xfId="0"/>
    <xf numFmtId="4" fontId="0" fillId="3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indent="2"/>
    </xf>
    <xf numFmtId="4" fontId="9" fillId="0" borderId="0" applyAlignment="1" pivotButton="0" quotePrefix="0" xfId="0">
      <alignment horizontal="right" vertical="center"/>
    </xf>
    <xf numFmtId="4" fontId="10" fillId="3" borderId="2" applyAlignment="1" pivotButton="0" quotePrefix="0" xfId="0">
      <alignment horizontal="right" vertical="center"/>
    </xf>
    <xf numFmtId="0" fontId="0" fillId="3" borderId="2" pivotButton="0" quotePrefix="0" xfId="0"/>
    <xf numFmtId="164" fontId="7" fillId="0" borderId="0" applyAlignment="1" pivotButton="0" quotePrefix="0" xfId="0">
      <alignment horizontal="right" vertical="center"/>
    </xf>
    <xf numFmtId="4" fontId="10" fillId="0" borderId="0" applyAlignment="1" pivotButton="0" quotePrefix="0" xfId="0">
      <alignment horizontal="right" vertical="center"/>
    </xf>
    <xf numFmtId="4" fontId="13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color rgb="005FA67A"/>
      </font>
      <fill>
        <patternFill>
          <bgColor rgb="00E8F5E9"/>
        </patternFill>
      </fill>
    </dxf>
    <dxf>
      <font>
        <color rgb="00C2694B"/>
      </font>
      <fill>
        <patternFill>
          <bgColor rgb="00FDEDEC"/>
        </patternFill>
      </fill>
    </dxf>
    <dxf>
      <font>
        <color rgb="00B89B4A"/>
      </font>
      <fill>
        <patternFill>
          <bgColor rgb="00FEF9E7"/>
        </patternFill>
      </fill>
    </dxf>
    <dxf>
      <font>
        <color rgb="001B2A4A"/>
      </font>
      <fill>
        <patternFill patternType="solid">
          <fgColor rgb="00D6E4F0"/>
        </patternFill>
      </fill>
    </dxf>
    <dxf>
      <font>
        <color rgb="002D4A3E"/>
      </font>
      <fill>
        <patternFill patternType="solid">
          <fgColor rgb="00E8F0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Occupancy Rate by Building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'Dashboard'!C8</f>
            </strRef>
          </tx>
          <spPr>
            <a:solidFill xmlns:a="http://schemas.openxmlformats.org/drawingml/2006/main">
              <a:srgbClr val="2D4A3E"/>
            </a:solidFill>
            <a:ln xmlns:a="http://schemas.openxmlformats.org/drawingml/2006/main">
              <a:solidFill>
                <a:srgbClr val="2D4A3E"/>
              </a:solidFill>
              <a:prstDash val="solid"/>
            </a:ln>
          </spPr>
          <cat>
            <numRef>
              <f>'Dashboard'!$B$9:$B$12</f>
            </numRef>
          </cat>
          <val>
            <numRef>
              <f>'Dashboard'!$C$9:$C$12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Building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Rate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'Dashboard'!C15</f>
            </strRef>
          </tx>
          <spPr>
            <a:solidFill xmlns:a="http://schemas.openxmlformats.org/drawingml/2006/main">
              <a:srgbClr val="2D4A3E"/>
            </a:solidFill>
            <a:ln xmlns:a="http://schemas.openxmlformats.org/drawingml/2006/main">
              <a:solidFill>
                <a:srgbClr val="2D4A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'Dashboard'!$B$16:$B$27</f>
            </numRef>
          </cat>
          <val>
            <numRef>
              <f>'Dashboard'!$C$16:$C$27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Revenue 
(AED)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'Dashboard'!C29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4A3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FA67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89B4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2694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A9B8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D4A3E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5FA67A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89B4A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2694B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7A9B8C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2D4A3E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5FA67A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B89B4A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'Dashboard'!$B$30:$B$42</f>
            </numRef>
          </cat>
          <val>
            <numRef>
              <f>'Dashboard'!$C$30:$C$42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Unit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'Dashboard'!C44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4A3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FA67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89B4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2694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A9B8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D4A3E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'Dashboard'!$B$45:$B$50</f>
            </numRef>
          </cat>
          <val>
            <numRef>
              <f>'Dashboard'!$C$45:$C$50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vs Vacancy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Analysis'!C14</f>
            </strRef>
          </tx>
          <spPr>
            <a:solidFill xmlns:a="http://schemas.openxmlformats.org/drawingml/2006/main">
              <a:srgbClr val="2D4A3E"/>
            </a:solidFill>
            <a:ln xmlns:a="http://schemas.openxmlformats.org/drawingml/2006/main">
              <a:solidFill>
                <a:srgbClr val="2D4A3E"/>
              </a:solidFill>
              <a:prstDash val="solid"/>
            </a:ln>
          </spPr>
          <cat>
            <numRef>
              <f>'Revenue Analysis'!$B$15:$B$18</f>
            </numRef>
          </cat>
          <val>
            <numRef>
              <f>'Revenue Analysis'!$C$15:$C$18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Amount 
(AED)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69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86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86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J6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90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</cols>
  <sheetData>
    <row r="1" ht="15" customHeight="1"/>
    <row r="2" ht="32" customHeight="1">
      <c r="B2" s="1" t="inlineStr">
        <is>
          <t>Al Reef Al Janoubi — System Usage Guide</t>
        </is>
      </c>
    </row>
    <row r="3" ht="8" customHeight="1"/>
    <row r="4" ht="28" customHeight="1">
      <c r="B4" s="2" t="inlineStr">
        <is>
          <t>STEP</t>
        </is>
      </c>
      <c r="C4" s="3" t="inlineStr">
        <is>
          <t>Register Your Properties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B5" s="5" t="inlineStr"/>
      <c r="C5" s="6" t="inlineStr">
        <is>
          <t xml:space="preserve">   •  Go to the "Property Registry" tab</t>
        </is>
      </c>
      <c r="D5" s="5" t="n"/>
      <c r="E5" s="5" t="n"/>
      <c r="F5" s="5" t="n"/>
      <c r="G5" s="5" t="n"/>
      <c r="H5" s="5" t="n"/>
      <c r="I5" s="5" t="n"/>
      <c r="J5" s="5" t="n"/>
    </row>
    <row r="6" ht="20" customHeight="1">
      <c r="B6" s="5" t="inlineStr"/>
      <c r="C6" s="6" t="inlineStr">
        <is>
          <t xml:space="preserve">   •  Enter each unit: Unit ID, Building, Floor, Unit Type, Size, Monthly Rent</t>
        </is>
      </c>
      <c r="D6" s="5" t="n"/>
      <c r="E6" s="5" t="n"/>
      <c r="F6" s="5" t="n"/>
      <c r="G6" s="5" t="n"/>
      <c r="H6" s="5" t="n"/>
      <c r="I6" s="5" t="n"/>
      <c r="J6" s="5" t="n"/>
    </row>
    <row r="7" ht="20" customHeight="1">
      <c r="B7" s="5" t="inlineStr"/>
      <c r="C7" s="6" t="inlineStr">
        <is>
          <t xml:space="preserve">   •  Municipality Fee auto-calculates at 5% of Monthly Rent</t>
        </is>
      </c>
      <c r="D7" s="5" t="n"/>
      <c r="E7" s="5" t="n"/>
      <c r="F7" s="5" t="n"/>
      <c r="G7" s="5" t="n"/>
      <c r="H7" s="5" t="n"/>
      <c r="I7" s="5" t="n"/>
      <c r="J7" s="5" t="n"/>
    </row>
    <row r="8" ht="20" customHeight="1">
      <c r="B8" s="5" t="inlineStr"/>
      <c r="C8" s="6" t="inlineStr">
        <is>
          <t xml:space="preserve">   •  Set Status: Rented, Vacant, Under Maintenance, or Reserved</t>
        </is>
      </c>
      <c r="D8" s="5" t="n"/>
      <c r="E8" s="5" t="n"/>
      <c r="F8" s="5" t="n"/>
      <c r="G8" s="5" t="n"/>
      <c r="H8" s="5" t="n"/>
      <c r="I8" s="5" t="n"/>
      <c r="J8" s="5" t="n"/>
    </row>
    <row r="9" ht="20" customHeight="1">
      <c r="B9" s="5" t="inlineStr"/>
      <c r="C9" s="6" t="inlineStr">
        <is>
          <t xml:space="preserve">   •  For rented units, fill Current Tenant, Contract Start, and Contract End</t>
        </is>
      </c>
      <c r="D9" s="5" t="n"/>
      <c r="E9" s="5" t="n"/>
      <c r="F9" s="5" t="n"/>
      <c r="G9" s="5" t="n"/>
      <c r="H9" s="5" t="n"/>
      <c r="I9" s="5" t="n"/>
      <c r="J9" s="5" t="n"/>
    </row>
    <row r="11" ht="28" customHeight="1">
      <c r="B11" s="2" t="inlineStr">
        <is>
          <t>STEP</t>
        </is>
      </c>
      <c r="C11" s="3" t="inlineStr">
        <is>
          <t>Set Up Tenant Profiles</t>
        </is>
      </c>
      <c r="D11" s="4" t="n"/>
      <c r="E11" s="4" t="n"/>
      <c r="F11" s="4" t="n"/>
      <c r="G11" s="4" t="n"/>
      <c r="H11" s="4" t="n"/>
      <c r="I11" s="4" t="n"/>
      <c r="J11" s="4" t="n"/>
    </row>
    <row r="12" ht="20" customHeight="1">
      <c r="B12" s="5" t="inlineStr"/>
      <c r="C12" s="6" t="inlineStr">
        <is>
          <t xml:space="preserve">   •  Go to the "Tenants" tab</t>
        </is>
      </c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B13" s="5" t="inlineStr"/>
      <c r="C13" s="6" t="inlineStr">
        <is>
          <t xml:space="preserve">   •  Enter tenant details: Name, Phone, Email, Unit ID</t>
        </is>
      </c>
      <c r="D13" s="5" t="n"/>
      <c r="E13" s="5" t="n"/>
      <c r="F13" s="5" t="n"/>
      <c r="G13" s="5" t="n"/>
      <c r="H13" s="5" t="n"/>
      <c r="I13" s="5" t="n"/>
      <c r="J13" s="5" t="n"/>
    </row>
    <row r="14" ht="20" customHeight="1">
      <c r="B14" s="5" t="inlineStr"/>
      <c r="C14" s="6" t="inlineStr">
        <is>
          <t xml:space="preserve">   •  Monthly Rent auto-fills from Property Registry via VLOOKUP</t>
        </is>
      </c>
      <c r="D14" s="5" t="n"/>
      <c r="E14" s="5" t="n"/>
      <c r="F14" s="5" t="n"/>
      <c r="G14" s="5" t="n"/>
      <c r="H14" s="5" t="n"/>
      <c r="I14" s="5" t="n"/>
      <c r="J14" s="5" t="n"/>
    </row>
    <row r="15" ht="20" customHeight="1">
      <c r="B15" s="5" t="inlineStr"/>
      <c r="C15" s="6" t="inlineStr">
        <is>
          <t xml:space="preserve">   •  Fill in Lease Start, Lease End, Security Deposit, Payment Method</t>
        </is>
      </c>
      <c r="D15" s="5" t="n"/>
      <c r="E15" s="5" t="n"/>
      <c r="F15" s="5" t="n"/>
      <c r="G15" s="5" t="n"/>
      <c r="H15" s="5" t="n"/>
      <c r="I15" s="5" t="n"/>
      <c r="J15" s="5" t="n"/>
    </row>
    <row r="16" ht="20" customHeight="1">
      <c r="B16" s="5" t="inlineStr"/>
      <c r="C16" s="6" t="inlineStr">
        <is>
          <t xml:space="preserve">   •  Contract Duration auto-calculates</t>
        </is>
      </c>
      <c r="D16" s="5" t="n"/>
      <c r="E16" s="5" t="n"/>
      <c r="F16" s="5" t="n"/>
      <c r="G16" s="5" t="n"/>
      <c r="H16" s="5" t="n"/>
      <c r="I16" s="5" t="n"/>
      <c r="J16" s="5" t="n"/>
    </row>
    <row r="17" ht="20" customHeight="1">
      <c r="B17" s="5" t="inlineStr"/>
      <c r="C17" s="6" t="inlineStr">
        <is>
          <t xml:space="preserve">   •  LEASE END ALERTS: Cells turn RED if lease expired, AMBER if within 30 days of expiry</t>
        </is>
      </c>
      <c r="D17" s="5" t="n"/>
      <c r="E17" s="5" t="n"/>
      <c r="F17" s="5" t="n"/>
      <c r="G17" s="5" t="n"/>
      <c r="H17" s="5" t="n"/>
      <c r="I17" s="5" t="n"/>
      <c r="J17" s="5" t="n"/>
    </row>
    <row r="19" ht="28" customHeight="1">
      <c r="B19" s="2" t="inlineStr">
        <is>
          <t>STEP</t>
        </is>
      </c>
      <c r="C19" s="3" t="inlineStr">
        <is>
          <t>Track Monthly Rent Collection</t>
        </is>
      </c>
      <c r="D19" s="4" t="n"/>
      <c r="E19" s="4" t="n"/>
      <c r="F19" s="4" t="n"/>
      <c r="G19" s="4" t="n"/>
      <c r="H19" s="4" t="n"/>
      <c r="I19" s="4" t="n"/>
      <c r="J19" s="4" t="n"/>
    </row>
    <row r="20" ht="20" customHeight="1">
      <c r="B20" s="5" t="inlineStr"/>
      <c r="C20" s="6" t="inlineStr">
        <is>
          <t xml:space="preserve">   •  Go to "Rent Collection" at the start of each month</t>
        </is>
      </c>
      <c r="D20" s="5" t="n"/>
      <c r="E20" s="5" t="n"/>
      <c r="F20" s="5" t="n"/>
      <c r="G20" s="5" t="n"/>
      <c r="H20" s="5" t="n"/>
      <c r="I20" s="5" t="n"/>
      <c r="J20" s="5" t="n"/>
    </row>
    <row r="21" ht="20" customHeight="1">
      <c r="B21" s="5" t="inlineStr"/>
      <c r="C21" s="6" t="inlineStr">
        <is>
          <t xml:space="preserve">   •  Enter each rented unit's payment details</t>
        </is>
      </c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B22" s="5" t="inlineStr"/>
      <c r="C22" s="6" t="inlineStr">
        <is>
          <t xml:space="preserve">   •  Outstanding and Payment Status auto-calculate</t>
        </is>
      </c>
      <c r="D22" s="5" t="n"/>
      <c r="E22" s="5" t="n"/>
      <c r="F22" s="5" t="n"/>
      <c r="G22" s="5" t="n"/>
      <c r="H22" s="5" t="n"/>
      <c r="I22" s="5" t="n"/>
      <c r="J22" s="5" t="n"/>
    </row>
    <row r="23" ht="20" customHeight="1">
      <c r="B23" s="5" t="inlineStr"/>
      <c r="C23" s="6" t="inlineStr">
        <is>
          <t xml:space="preserve">   •  DAYS LATE auto-calculates for unpaid/partial payments</t>
        </is>
      </c>
      <c r="D23" s="5" t="n"/>
      <c r="E23" s="5" t="n"/>
      <c r="F23" s="5" t="n"/>
      <c r="G23" s="5" t="n"/>
      <c r="H23" s="5" t="n"/>
      <c r="I23" s="5" t="n"/>
      <c r="J23" s="5" t="n"/>
    </row>
    <row r="24" ht="20" customHeight="1">
      <c r="B24" s="5" t="inlineStr"/>
      <c r="C24" s="6" t="inlineStr">
        <is>
          <t xml:space="preserve">   •  Use the Collection Summary at the bottom to track overall performance</t>
        </is>
      </c>
      <c r="D24" s="5" t="n"/>
      <c r="E24" s="5" t="n"/>
      <c r="F24" s="5" t="n"/>
      <c r="G24" s="5" t="n"/>
      <c r="H24" s="5" t="n"/>
      <c r="I24" s="5" t="n"/>
      <c r="J24" s="5" t="n"/>
    </row>
    <row r="26" ht="28" customHeight="1">
      <c r="B26" s="7" t="inlineStr">
        <is>
          <t>STEP</t>
        </is>
      </c>
      <c r="C26" s="8" t="inlineStr">
        <is>
          <t>Monitor Payment Alerts (By the 5th of Each Month)  ★ CRITICAL</t>
        </is>
      </c>
      <c r="D26" s="9" t="n"/>
      <c r="E26" s="9" t="n"/>
      <c r="F26" s="9" t="n"/>
      <c r="G26" s="9" t="n"/>
      <c r="H26" s="9" t="n"/>
      <c r="I26" s="9" t="n"/>
      <c r="J26" s="9" t="n"/>
    </row>
    <row r="27" ht="20" customHeight="1">
      <c r="B27" s="5" t="inlineStr"/>
      <c r="C27" s="6" t="inlineStr">
        <is>
          <t xml:space="preserve">   •  This is the CRITICAL step for cash flow management</t>
        </is>
      </c>
      <c r="D27" s="5" t="n"/>
      <c r="E27" s="5" t="n"/>
      <c r="F27" s="5" t="n"/>
      <c r="G27" s="5" t="n"/>
      <c r="H27" s="5" t="n"/>
      <c r="I27" s="5" t="n"/>
      <c r="J27" s="5" t="n"/>
    </row>
    <row r="28" ht="20" customHeight="1">
      <c r="B28" s="5" t="inlineStr"/>
      <c r="C28" s="6" t="inlineStr">
        <is>
          <t xml:space="preserve">   •  On or before the 5th of each month, review "Rent Collection" tab</t>
        </is>
      </c>
      <c r="D28" s="5" t="n"/>
      <c r="E28" s="5" t="n"/>
      <c r="F28" s="5" t="n"/>
      <c r="G28" s="5" t="n"/>
      <c r="H28" s="5" t="n"/>
      <c r="I28" s="5" t="n"/>
      <c r="J28" s="5" t="n"/>
    </row>
    <row r="29" ht="20" customHeight="1">
      <c r="B29" s="5" t="inlineStr"/>
      <c r="C29" s="6" t="inlineStr">
        <is>
          <t xml:space="preserve">   •  Any tenant showing "Unpaid" or "Partial" status should be listed in "Payment Alerts"</t>
        </is>
      </c>
      <c r="D29" s="5" t="n"/>
      <c r="E29" s="5" t="n"/>
      <c r="F29" s="5" t="n"/>
      <c r="G29" s="5" t="n"/>
      <c r="H29" s="5" t="n"/>
      <c r="I29" s="5" t="n"/>
      <c r="J29" s="5" t="n"/>
    </row>
    <row r="30" ht="20" customHeight="1">
      <c r="B30" s="5" t="inlineStr"/>
      <c r="C30" s="6" t="inlineStr">
        <is>
          <t xml:space="preserve">   •  Copy their Unit ID, Name, Phone, Rent, and Due Date to the Payment Alerts tab</t>
        </is>
      </c>
      <c r="D30" s="5" t="n"/>
      <c r="E30" s="5" t="n"/>
      <c r="F30" s="5" t="n"/>
      <c r="G30" s="5" t="n"/>
      <c r="H30" s="5" t="n"/>
      <c r="I30" s="5" t="n"/>
      <c r="J30" s="5" t="n"/>
    </row>
    <row r="31" ht="20" customHeight="1">
      <c r="B31" s="5" t="inlineStr"/>
      <c r="C31" s="6" t="inlineStr">
        <is>
          <t xml:space="preserve">   •  Then MANUALLY send SMS, WhatsApp, or call each tenant</t>
        </is>
      </c>
      <c r="D31" s="5" t="n"/>
      <c r="E31" s="5" t="n"/>
      <c r="F31" s="5" t="n"/>
      <c r="G31" s="5" t="n"/>
      <c r="H31" s="5" t="n"/>
      <c r="I31" s="5" t="n"/>
      <c r="J31" s="5" t="n"/>
    </row>
    <row r="32" ht="20" customHeight="1">
      <c r="B32" s="5" t="inlineStr"/>
      <c r="C32" s="6" t="inlineStr">
        <is>
          <t xml:space="preserve">   •  Mark "Contacted?" as "Yes" after reaching out</t>
        </is>
      </c>
      <c r="D32" s="5" t="n"/>
      <c r="E32" s="5" t="n"/>
      <c r="F32" s="5" t="n"/>
      <c r="G32" s="5" t="n"/>
      <c r="H32" s="5" t="n"/>
      <c r="I32" s="5" t="n"/>
      <c r="J32" s="5" t="n"/>
    </row>
    <row r="33" ht="20" customHeight="1">
      <c r="B33" s="5" t="inlineStr"/>
      <c r="C33" s="6" t="inlineStr">
        <is>
          <t xml:space="preserve">   •  Set a Follow-up Date for a second check</t>
        </is>
      </c>
      <c r="D33" s="5" t="n"/>
      <c r="E33" s="5" t="n"/>
      <c r="F33" s="5" t="n"/>
      <c r="G33" s="5" t="n"/>
      <c r="H33" s="5" t="n"/>
      <c r="I33" s="5" t="n"/>
      <c r="J33" s="5" t="n"/>
    </row>
    <row r="34" ht="20" customHeight="1">
      <c r="B34" s="5" t="inlineStr"/>
      <c r="C34" s="6" t="inlineStr">
        <is>
          <t xml:space="preserve">   •  IMPORTANT: This system does NOT send SMS automatically. It is a tracking tool that tells you WHO to contact and WHEN. You must manually reach out to tenants using their phone numbers listed here.</t>
        </is>
      </c>
      <c r="D34" s="5" t="n"/>
      <c r="E34" s="5" t="n"/>
      <c r="F34" s="5" t="n"/>
      <c r="G34" s="5" t="n"/>
      <c r="H34" s="5" t="n"/>
      <c r="I34" s="5" t="n"/>
      <c r="J34" s="5" t="n"/>
    </row>
    <row r="36" ht="28" customHeight="1">
      <c r="B36" s="2" t="inlineStr">
        <is>
          <t>STEP</t>
        </is>
      </c>
      <c r="C36" s="3" t="inlineStr">
        <is>
          <t>Log Maintenance Requests</t>
        </is>
      </c>
      <c r="D36" s="4" t="n"/>
      <c r="E36" s="4" t="n"/>
      <c r="F36" s="4" t="n"/>
      <c r="G36" s="4" t="n"/>
      <c r="H36" s="4" t="n"/>
      <c r="I36" s="4" t="n"/>
      <c r="J36" s="4" t="n"/>
    </row>
    <row r="37" ht="20" customHeight="1">
      <c r="B37" s="5" t="inlineStr"/>
      <c r="C37" s="6" t="inlineStr">
        <is>
          <t xml:space="preserve">   •  Go to "Maintenance" tab whenever a repair is needed</t>
        </is>
      </c>
      <c r="D37" s="5" t="n"/>
      <c r="E37" s="5" t="n"/>
      <c r="F37" s="5" t="n"/>
      <c r="G37" s="5" t="n"/>
      <c r="H37" s="5" t="n"/>
      <c r="I37" s="5" t="n"/>
      <c r="J37" s="5" t="n"/>
    </row>
    <row r="38" ht="20" customHeight="1">
      <c r="B38" s="5" t="inlineStr"/>
      <c r="C38" s="6" t="inlineStr">
        <is>
          <t xml:space="preserve">   •  Log the request with Unit ID, Category, Description, Priority</t>
        </is>
      </c>
      <c r="D38" s="5" t="n"/>
      <c r="E38" s="5" t="n"/>
      <c r="F38" s="5" t="n"/>
      <c r="G38" s="5" t="n"/>
      <c r="H38" s="5" t="n"/>
      <c r="I38" s="5" t="n"/>
      <c r="J38" s="5" t="n"/>
    </row>
    <row r="39" ht="20" customHeight="1">
      <c r="B39" s="5" t="inlineStr"/>
      <c r="C39" s="6" t="inlineStr">
        <is>
          <t xml:space="preserve">   •  Track Estimated vs Actual Cost</t>
        </is>
      </c>
      <c r="D39" s="5" t="n"/>
      <c r="E39" s="5" t="n"/>
      <c r="F39" s="5" t="n"/>
      <c r="G39" s="5" t="n"/>
      <c r="H39" s="5" t="n"/>
      <c r="I39" s="5" t="n"/>
      <c r="J39" s="5" t="n"/>
    </row>
    <row r="40" ht="20" customHeight="1">
      <c r="B40" s="5" t="inlineStr"/>
      <c r="C40" s="6" t="inlineStr">
        <is>
          <t xml:space="preserve">   •  Status options: Open, In Progress, Completed, Cancelled</t>
        </is>
      </c>
      <c r="D40" s="5" t="n"/>
      <c r="E40" s="5" t="n"/>
      <c r="F40" s="5" t="n"/>
      <c r="G40" s="5" t="n"/>
      <c r="H40" s="5" t="n"/>
      <c r="I40" s="5" t="n"/>
      <c r="J40" s="5" t="n"/>
    </row>
    <row r="42" ht="28" customHeight="1">
      <c r="B42" s="2" t="inlineStr">
        <is>
          <t>STEP</t>
        </is>
      </c>
      <c r="C42" s="3" t="inlineStr">
        <is>
          <t>Record Operating Expenses</t>
        </is>
      </c>
      <c r="D42" s="4" t="n"/>
      <c r="E42" s="4" t="n"/>
      <c r="F42" s="4" t="n"/>
      <c r="G42" s="4" t="n"/>
      <c r="H42" s="4" t="n"/>
      <c r="I42" s="4" t="n"/>
      <c r="J42" s="4" t="n"/>
    </row>
    <row r="43" ht="20" customHeight="1">
      <c r="B43" s="5" t="inlineStr"/>
      <c r="C43" s="6" t="inlineStr">
        <is>
          <t xml:space="preserve">   •  Go to "Expenses" tab regularly</t>
        </is>
      </c>
      <c r="D43" s="5" t="n"/>
      <c r="E43" s="5" t="n"/>
      <c r="F43" s="5" t="n"/>
      <c r="G43" s="5" t="n"/>
      <c r="H43" s="5" t="n"/>
      <c r="I43" s="5" t="n"/>
      <c r="J43" s="5" t="n"/>
    </row>
    <row r="44" ht="20" customHeight="1">
      <c r="B44" s="5" t="inlineStr"/>
      <c r="C44" s="6" t="inlineStr">
        <is>
          <t xml:space="preserve">   •  Log ALL expenses: Manpower, Municipality Fees, Maintenance, Leasing, Insurance, Utilities, etc.</t>
        </is>
      </c>
      <c r="D44" s="5" t="n"/>
      <c r="E44" s="5" t="n"/>
      <c r="F44" s="5" t="n"/>
      <c r="G44" s="5" t="n"/>
      <c r="H44" s="5" t="n"/>
      <c r="I44" s="5" t="n"/>
      <c r="J44" s="5" t="n"/>
    </row>
    <row r="45" ht="20" customHeight="1">
      <c r="B45" s="5" t="inlineStr"/>
      <c r="C45" s="6" t="inlineStr">
        <is>
          <t xml:space="preserve">   •  Mark recurring expenses for easy identification</t>
        </is>
      </c>
      <c r="D45" s="5" t="n"/>
      <c r="E45" s="5" t="n"/>
      <c r="F45" s="5" t="n"/>
      <c r="G45" s="5" t="n"/>
      <c r="H45" s="5" t="n"/>
      <c r="I45" s="5" t="n"/>
      <c r="J45" s="5" t="n"/>
    </row>
    <row r="46" ht="20" customHeight="1">
      <c r="B46" s="5" t="inlineStr"/>
      <c r="C46" s="6" t="inlineStr">
        <is>
          <t xml:space="preserve">   •  The Expense Summary at the bottom auto-calculates totals by category</t>
        </is>
      </c>
      <c r="D46" s="5" t="n"/>
      <c r="E46" s="5" t="n"/>
      <c r="F46" s="5" t="n"/>
      <c r="G46" s="5" t="n"/>
      <c r="H46" s="5" t="n"/>
      <c r="I46" s="5" t="n"/>
      <c r="J46" s="5" t="n"/>
    </row>
    <row r="48" ht="28" customHeight="1">
      <c r="B48" s="2" t="inlineStr">
        <is>
          <t>STEP</t>
        </is>
      </c>
      <c r="C48" s="3" t="inlineStr">
        <is>
          <t>Review Revenue &amp; Profit</t>
        </is>
      </c>
      <c r="D48" s="4" t="n"/>
      <c r="E48" s="4" t="n"/>
      <c r="F48" s="4" t="n"/>
      <c r="G48" s="4" t="n"/>
      <c r="H48" s="4" t="n"/>
      <c r="I48" s="4" t="n"/>
      <c r="J48" s="4" t="n"/>
    </row>
    <row r="49" ht="20" customHeight="1">
      <c r="B49" s="5" t="inlineStr"/>
      <c r="C49" s="6" t="inlineStr">
        <is>
          <t xml:space="preserve">   •  Check "Revenue Analysis" for monthly and annual revenue breakdown</t>
        </is>
      </c>
      <c r="D49" s="5" t="n"/>
      <c r="E49" s="5" t="n"/>
      <c r="F49" s="5" t="n"/>
      <c r="G49" s="5" t="n"/>
      <c r="H49" s="5" t="n"/>
      <c r="I49" s="5" t="n"/>
      <c r="J49" s="5" t="n"/>
    </row>
    <row r="50" ht="20" customHeight="1">
      <c r="B50" s="5" t="inlineStr"/>
      <c r="C50" s="6" t="inlineStr">
        <is>
          <t xml:space="preserve">   •  Check "Profit &amp; Loss" for the complete financial picture</t>
        </is>
      </c>
      <c r="D50" s="5" t="n"/>
      <c r="E50" s="5" t="n"/>
      <c r="F50" s="5" t="n"/>
      <c r="G50" s="5" t="n"/>
      <c r="H50" s="5" t="n"/>
      <c r="I50" s="5" t="n"/>
      <c r="J50" s="5" t="n"/>
    </row>
    <row r="51" ht="20" customHeight="1">
      <c r="B51" s="5" t="inlineStr"/>
      <c r="C51" s="6" t="inlineStr">
        <is>
          <t xml:space="preserve">   •  Dashboard shows KPIs: Total Units, Occupied, Vacant, Occupancy Rate, Revenue, Net Profit</t>
        </is>
      </c>
      <c r="D51" s="5" t="n"/>
      <c r="E51" s="5" t="n"/>
      <c r="F51" s="5" t="n"/>
      <c r="G51" s="5" t="n"/>
      <c r="H51" s="5" t="n"/>
      <c r="I51" s="5" t="n"/>
      <c r="J51" s="5" t="n"/>
    </row>
    <row r="52" ht="20" customHeight="1">
      <c r="B52" s="5" t="inlineStr"/>
      <c r="C52" s="6" t="inlineStr">
        <is>
          <t xml:space="preserve">   •  Charts visualize occupancy trends, revenue trends, expense breakdown, unit distribution</t>
        </is>
      </c>
      <c r="D52" s="5" t="n"/>
      <c r="E52" s="5" t="n"/>
      <c r="F52" s="5" t="n"/>
      <c r="G52" s="5" t="n"/>
      <c r="H52" s="5" t="n"/>
      <c r="I52" s="5" t="n"/>
      <c r="J52" s="5" t="n"/>
    </row>
    <row r="54" ht="28" customHeight="1">
      <c r="B54" s="2" t="inlineStr">
        <is>
          <t>STEP</t>
        </is>
      </c>
      <c r="C54" s="3" t="inlineStr">
        <is>
          <t>Monitor Contract Renewals</t>
        </is>
      </c>
      <c r="D54" s="4" t="n"/>
      <c r="E54" s="4" t="n"/>
      <c r="F54" s="4" t="n"/>
      <c r="G54" s="4" t="n"/>
      <c r="H54" s="4" t="n"/>
      <c r="I54" s="4" t="n"/>
      <c r="J54" s="4" t="n"/>
    </row>
    <row r="55" ht="20" customHeight="1">
      <c r="B55" s="5" t="inlineStr"/>
      <c r="C55" s="6" t="inlineStr">
        <is>
          <t xml:space="preserve">   •  Go to "Contract Tracker" to see which contracts are expiring soon</t>
        </is>
      </c>
      <c r="D55" s="5" t="n"/>
      <c r="E55" s="5" t="n"/>
      <c r="F55" s="5" t="n"/>
      <c r="G55" s="5" t="n"/>
      <c r="H55" s="5" t="n"/>
      <c r="I55" s="5" t="n"/>
      <c r="J55" s="5" t="n"/>
    </row>
    <row r="56" ht="20" customHeight="1">
      <c r="B56" s="5" t="inlineStr"/>
      <c r="C56" s="6" t="inlineStr">
        <is>
          <t xml:space="preserve">   •  Contact tenants 60 days before contract expiry for renewal discussions</t>
        </is>
      </c>
      <c r="D56" s="5" t="n"/>
      <c r="E56" s="5" t="n"/>
      <c r="F56" s="5" t="n"/>
      <c r="G56" s="5" t="n"/>
      <c r="H56" s="5" t="n"/>
      <c r="I56" s="5" t="n"/>
      <c r="J56" s="5" t="n"/>
    </row>
    <row r="57" ht="20" customHeight="1">
      <c r="B57" s="5" t="inlineStr"/>
      <c r="C57" s="6" t="inlineStr">
        <is>
          <t xml:space="preserve">   •  Plan ahead for units that may become vacant</t>
        </is>
      </c>
      <c r="D57" s="5" t="n"/>
      <c r="E57" s="5" t="n"/>
      <c r="F57" s="5" t="n"/>
      <c r="G57" s="5" t="n"/>
      <c r="H57" s="5" t="n"/>
      <c r="I57" s="5" t="n"/>
      <c r="J57" s="5" t="n"/>
    </row>
    <row r="60" ht="24" customHeight="1">
      <c r="B60" s="10" t="inlineStr"/>
      <c r="C60" s="11" t="inlineStr">
        <is>
          <t>Tips for Optimal Use:</t>
        </is>
      </c>
      <c r="D60" s="10" t="n"/>
      <c r="E60" s="10" t="n"/>
      <c r="F60" s="10" t="n"/>
      <c r="G60" s="10" t="n"/>
      <c r="H60" s="10" t="n"/>
      <c r="I60" s="10" t="n"/>
      <c r="J60" s="10" t="n"/>
    </row>
    <row r="61" ht="20" customHeight="1">
      <c r="B61" s="10" t="inlineStr"/>
      <c r="C61" s="12" t="inlineStr">
        <is>
          <t xml:space="preserve">   ✓  Update Rent Collection DAILY as payments come in</t>
        </is>
      </c>
      <c r="D61" s="10" t="n"/>
      <c r="E61" s="10" t="n"/>
      <c r="F61" s="10" t="n"/>
      <c r="G61" s="10" t="n"/>
      <c r="H61" s="10" t="n"/>
      <c r="I61" s="10" t="n"/>
      <c r="J61" s="10" t="n"/>
    </row>
    <row r="62" ht="20" customHeight="1">
      <c r="B62" s="10" t="inlineStr"/>
      <c r="C62" s="12" t="inlineStr">
        <is>
          <t xml:space="preserve">   ✓  Review Payment Alerts by the 5th — late payments damage cash flow</t>
        </is>
      </c>
      <c r="D62" s="10" t="n"/>
      <c r="E62" s="10" t="n"/>
      <c r="F62" s="10" t="n"/>
      <c r="G62" s="10" t="n"/>
      <c r="H62" s="10" t="n"/>
      <c r="I62" s="10" t="n"/>
      <c r="J62" s="10" t="n"/>
    </row>
    <row r="63" ht="20" customHeight="1">
      <c r="B63" s="10" t="inlineStr"/>
      <c r="C63" s="12" t="inlineStr">
        <is>
          <t xml:space="preserve">   ✓  Log expenses immediately — don't wait until month-end</t>
        </is>
      </c>
      <c r="D63" s="10" t="n"/>
      <c r="E63" s="10" t="n"/>
      <c r="F63" s="10" t="n"/>
      <c r="G63" s="10" t="n"/>
      <c r="H63" s="10" t="n"/>
      <c r="I63" s="10" t="n"/>
      <c r="J63" s="10" t="n"/>
    </row>
    <row r="64" ht="20" customHeight="1">
      <c r="B64" s="10" t="inlineStr"/>
      <c r="C64" s="12" t="inlineStr">
        <is>
          <t xml:space="preserve">   ✓  Check Dashboard weekly for a quick business health check</t>
        </is>
      </c>
      <c r="D64" s="10" t="n"/>
      <c r="E64" s="10" t="n"/>
      <c r="F64" s="10" t="n"/>
      <c r="G64" s="10" t="n"/>
      <c r="H64" s="10" t="n"/>
      <c r="I64" s="10" t="n"/>
      <c r="J64" s="10" t="n"/>
    </row>
    <row r="65" ht="20" customHeight="1">
      <c r="B65" s="10" t="inlineStr"/>
      <c r="C65" s="12" t="inlineStr">
        <is>
          <t xml:space="preserve">   ✓  Back up this file regularly</t>
        </is>
      </c>
      <c r="D65" s="10" t="n"/>
      <c r="E65" s="10" t="n"/>
      <c r="F65" s="10" t="n"/>
      <c r="G65" s="10" t="n"/>
      <c r="H65" s="10" t="n"/>
      <c r="I65" s="10" t="n"/>
      <c r="J65" s="10" t="n"/>
    </row>
    <row r="66" ht="20" customHeight="1">
      <c r="B66" s="10" t="inlineStr"/>
      <c r="C66" s="12" t="inlineStr">
        <is>
          <t xml:space="preserve">   ✓  Print any sheet using File &gt; Print (all sheets are print-ready)</t>
        </is>
      </c>
      <c r="D66" s="10" t="n"/>
      <c r="E66" s="10" t="n"/>
      <c r="F66" s="10" t="n"/>
      <c r="G66" s="10" t="n"/>
      <c r="H66" s="10" t="n"/>
      <c r="I66" s="10" t="n"/>
      <c r="J66" s="10" t="n"/>
    </row>
  </sheetData>
  <mergeCells count="1">
    <mergeCell ref="B2:J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N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5" customHeight="1"/>
    <row r="2" ht="32" customHeight="1">
      <c r="B2" s="1" t="inlineStr">
        <is>
          <t>Al Reef Al Janoubi — Real Estate Dashboard</t>
        </is>
      </c>
    </row>
    <row r="3" ht="8" customHeight="1"/>
    <row r="4" ht="8" customHeight="1"/>
    <row r="5" ht="38" customHeight="1">
      <c r="B5" s="13">
        <f>IFERROR(COUNTA('Property Registry'!B5:B154)-COUNTBLANK('Property Registry'!B5:B154),0)</f>
        <v/>
      </c>
      <c r="C5" s="5" t="n"/>
      <c r="D5" s="13">
        <f>IFERROR(COUNTIF('Property Registry'!I5:I154,"Rented"),0)</f>
        <v/>
      </c>
      <c r="E5" s="5" t="n"/>
      <c r="F5" s="13">
        <f>IFERROR(COUNTIF('Property Registry'!I5:I154,"Vacant"),0)</f>
        <v/>
      </c>
      <c r="G5" s="5" t="n"/>
      <c r="H5" s="14">
        <f>IFERROR(COUNTIF('Property Registry'!I5:I154,"Rented")/COUNTA('Property Registry'!B5:B154),0)</f>
        <v/>
      </c>
      <c r="I5" s="5" t="n"/>
      <c r="J5" s="15">
        <f>IFERROR(SUM('Property Registry'!G5:G154),0)</f>
        <v/>
      </c>
      <c r="K5" s="5" t="n"/>
      <c r="L5" s="15">
        <f>IFERROR('Profit &amp; Loss'!C32,0)</f>
        <v/>
      </c>
      <c r="M5" s="5" t="n"/>
    </row>
    <row r="6" ht="20" customHeight="1">
      <c r="B6" s="16" t="inlineStr">
        <is>
          <t>Total Units</t>
        </is>
      </c>
      <c r="D6" s="16" t="inlineStr">
        <is>
          <t>Occupied Units</t>
        </is>
      </c>
      <c r="F6" s="16" t="inlineStr">
        <is>
          <t>Vacant Units</t>
        </is>
      </c>
      <c r="H6" s="16" t="inlineStr">
        <is>
          <t>Occupancy Rate</t>
        </is>
      </c>
      <c r="J6" s="16" t="inlineStr">
        <is>
          <t>Monthly Revenue</t>
        </is>
      </c>
      <c r="L6" s="16" t="inlineStr">
        <is>
          <t>Net Profit</t>
        </is>
      </c>
    </row>
    <row r="8">
      <c r="B8" s="17" t="inlineStr">
        <is>
          <t>Building</t>
        </is>
      </c>
      <c r="C8" s="17" t="inlineStr">
        <is>
          <t>Occupancy Rate</t>
        </is>
      </c>
    </row>
    <row r="9">
      <c r="B9" s="17" t="inlineStr">
        <is>
          <t>Building A</t>
        </is>
      </c>
      <c r="C9" s="18">
        <f>IFERROR(COUNTIF('Property Registry'!C5:C154,"Building A")/COUNTIF('Property Registry'!C5:C154,"Building A"),0)</f>
        <v/>
      </c>
    </row>
    <row r="10">
      <c r="B10" s="17" t="inlineStr">
        <is>
          <t>Building B</t>
        </is>
      </c>
      <c r="C10" s="18">
        <f>IFERROR(COUNTIF('Property Registry'!C5:C154,"Building B")/COUNTIF('Property Registry'!C5:C154,"Building B"),0)</f>
        <v/>
      </c>
    </row>
    <row r="11">
      <c r="B11" s="17" t="inlineStr">
        <is>
          <t>Building C</t>
        </is>
      </c>
      <c r="C11" s="18">
        <f>IFERROR(COUNTIF('Property Registry'!C5:C154,"Building C")/COUNTIF('Property Registry'!C5:C154,"Building C"),0)</f>
        <v/>
      </c>
    </row>
    <row r="12">
      <c r="B12" s="17" t="inlineStr">
        <is>
          <t>Building D</t>
        </is>
      </c>
      <c r="C12" s="18">
        <f>IFERROR(COUNTIF('Property Registry'!C5:C154,"Building D")/COUNTIF('Property Registry'!C5:C154,"Building D"),0)</f>
        <v/>
      </c>
    </row>
    <row r="15">
      <c r="B15" s="17" t="inlineStr">
        <is>
          <t>Month</t>
        </is>
      </c>
      <c r="C15" s="17" t="inlineStr">
        <is>
          <t>Revenue</t>
        </is>
      </c>
    </row>
    <row r="16">
      <c r="B16" s="17" t="inlineStr">
        <is>
          <t>Jan</t>
        </is>
      </c>
      <c r="C16" s="19">
        <f>IFERROR('Revenue Analysis'!C5,0)</f>
        <v/>
      </c>
    </row>
    <row r="17">
      <c r="B17" s="17" t="inlineStr">
        <is>
          <t>Feb</t>
        </is>
      </c>
      <c r="C17" s="19">
        <f>IFERROR('Revenue Analysis'!C6,0)</f>
        <v/>
      </c>
    </row>
    <row r="18">
      <c r="B18" s="17" t="inlineStr">
        <is>
          <t>Mar</t>
        </is>
      </c>
      <c r="C18" s="19">
        <f>IFERROR('Revenue Analysis'!C7,0)</f>
        <v/>
      </c>
    </row>
    <row r="19">
      <c r="B19" s="17" t="inlineStr">
        <is>
          <t>Apr</t>
        </is>
      </c>
      <c r="C19" s="19">
        <f>IFERROR('Revenue Analysis'!C8,0)</f>
        <v/>
      </c>
    </row>
    <row r="20">
      <c r="B20" s="17" t="inlineStr">
        <is>
          <t>May</t>
        </is>
      </c>
      <c r="C20" s="19">
        <f>IFERROR('Revenue Analysis'!C9,0)</f>
        <v/>
      </c>
    </row>
    <row r="21">
      <c r="B21" s="17" t="inlineStr">
        <is>
          <t>Jun</t>
        </is>
      </c>
      <c r="C21" s="19">
        <f>IFERROR('Revenue Analysis'!C10,0)</f>
        <v/>
      </c>
    </row>
    <row r="22">
      <c r="B22" s="17" t="inlineStr">
        <is>
          <t>Jul</t>
        </is>
      </c>
      <c r="C22" s="19">
        <f>IFERROR('Revenue Analysis'!C11,0)</f>
        <v/>
      </c>
    </row>
    <row r="23">
      <c r="B23" s="17" t="inlineStr">
        <is>
          <t>Aug</t>
        </is>
      </c>
      <c r="C23" s="19">
        <f>IFERROR('Revenue Analysis'!C12,0)</f>
        <v/>
      </c>
    </row>
    <row r="24">
      <c r="B24" s="17" t="inlineStr">
        <is>
          <t>Sep</t>
        </is>
      </c>
      <c r="C24" s="19">
        <f>IFERROR('Revenue Analysis'!C13,0)</f>
        <v/>
      </c>
    </row>
    <row r="25">
      <c r="B25" s="17" t="inlineStr">
        <is>
          <t>Oct</t>
        </is>
      </c>
      <c r="C25" s="19">
        <f>IFERROR('Revenue Analysis'!C14,0)</f>
        <v/>
      </c>
    </row>
    <row r="26">
      <c r="B26" s="17" t="inlineStr">
        <is>
          <t>Nov</t>
        </is>
      </c>
      <c r="C26" s="19">
        <f>IFERROR('Revenue Analysis'!C15,0)</f>
        <v/>
      </c>
    </row>
    <row r="27">
      <c r="B27" s="17" t="inlineStr">
        <is>
          <t>Dec</t>
        </is>
      </c>
      <c r="C27" s="19">
        <f>IFERROR('Revenue Analysis'!C16,0)</f>
        <v/>
      </c>
    </row>
    <row r="29">
      <c r="B29" s="17" t="inlineStr">
        <is>
          <t>Category</t>
        </is>
      </c>
      <c r="C29" s="17" t="inlineStr">
        <is>
          <t>Amount</t>
        </is>
      </c>
    </row>
    <row r="30">
      <c r="B30" s="17" t="inlineStr">
        <is>
          <t>Manpower/Staff</t>
        </is>
      </c>
      <c r="C30" s="19">
        <f>IFERROR(SUMPRODUCT(('Expenses'!C5:C304="Manpower/Staff")*('Expenses'!E5:E304)),0)</f>
        <v/>
      </c>
    </row>
    <row r="31">
      <c r="B31" s="17" t="inlineStr">
        <is>
          <t>Municipality Fees</t>
        </is>
      </c>
      <c r="C31" s="19">
        <f>IFERROR(SUMPRODUCT(('Expenses'!C5:C304="Municipality Fees")*('Expenses'!E5:E304)),0)</f>
        <v/>
      </c>
    </row>
    <row r="32">
      <c r="B32" s="17" t="inlineStr">
        <is>
          <t>Maintenance</t>
        </is>
      </c>
      <c r="C32" s="19">
        <f>IFERROR(SUMPRODUCT(('Expenses'!C5:C304="Maintenance")*('Expenses'!E5:E304)),0)</f>
        <v/>
      </c>
    </row>
    <row r="33">
      <c r="B33" s="17" t="inlineStr">
        <is>
          <t>Leasing Commission</t>
        </is>
      </c>
      <c r="C33" s="19">
        <f>IFERROR(SUMPRODUCT(('Expenses'!C5:C304="Leasing Commission")*('Expenses'!E5:E304)),0)</f>
        <v/>
      </c>
    </row>
    <row r="34">
      <c r="B34" s="17" t="inlineStr">
        <is>
          <t>Insurance</t>
        </is>
      </c>
      <c r="C34" s="19">
        <f>IFERROR(SUMPRODUCT(('Expenses'!C5:C304="Insurance")*('Expenses'!E5:E304)),0)</f>
        <v/>
      </c>
    </row>
    <row r="35">
      <c r="B35" s="17" t="inlineStr">
        <is>
          <t>Utilities</t>
        </is>
      </c>
      <c r="C35" s="19">
        <f>IFERROR(SUMPRODUCT(('Expenses'!C5:C304="Utilities")*('Expenses'!E5:E304)),0)</f>
        <v/>
      </c>
    </row>
    <row r="36">
      <c r="B36" s="17" t="inlineStr">
        <is>
          <t>Marketing</t>
        </is>
      </c>
      <c r="C36" s="19">
        <f>IFERROR(SUMPRODUCT(('Expenses'!C5:C304="Marketing")*('Expenses'!E5:E304)),0)</f>
        <v/>
      </c>
    </row>
    <row r="37">
      <c r="B37" s="17" t="inlineStr">
        <is>
          <t>Legal</t>
        </is>
      </c>
      <c r="C37" s="19">
        <f>IFERROR(SUMPRODUCT(('Expenses'!C5:C304="Legal")*('Expenses'!E5:E304)),0)</f>
        <v/>
      </c>
    </row>
    <row r="38">
      <c r="B38" s="17" t="inlineStr">
        <is>
          <t>Cleaning</t>
        </is>
      </c>
      <c r="C38" s="19">
        <f>IFERROR(SUMPRODUCT(('Expenses'!C5:C304="Cleaning")*('Expenses'!E5:E304)),0)</f>
        <v/>
      </c>
    </row>
    <row r="39">
      <c r="B39" s="17" t="inlineStr">
        <is>
          <t>Security</t>
        </is>
      </c>
      <c r="C39" s="19">
        <f>IFERROR(SUMPRODUCT(('Expenses'!C5:C304="Security")*('Expenses'!E5:E304)),0)</f>
        <v/>
      </c>
    </row>
    <row r="40">
      <c r="B40" s="17" t="inlineStr">
        <is>
          <t>Pest Control</t>
        </is>
      </c>
      <c r="C40" s="19">
        <f>IFERROR(SUMPRODUCT(('Expenses'!C5:C304="Pest Control")*('Expenses'!E5:E304)),0)</f>
        <v/>
      </c>
    </row>
    <row r="41">
      <c r="B41" s="17" t="inlineStr">
        <is>
          <t>Elevator Service</t>
        </is>
      </c>
      <c r="C41" s="19">
        <f>IFERROR(SUMPRODUCT(('Expenses'!C5:C304="Elevator Service")*('Expenses'!E5:E304)),0)</f>
        <v/>
      </c>
    </row>
    <row r="42">
      <c r="B42" s="17" t="inlineStr">
        <is>
          <t>Other</t>
        </is>
      </c>
      <c r="C42" s="19">
        <f>IFERROR(SUMPRODUCT(('Expenses'!C5:C304="Other")*('Expenses'!E5:E304)),0)</f>
        <v/>
      </c>
    </row>
    <row r="44">
      <c r="B44" s="17" t="inlineStr">
        <is>
          <t>Unit Type</t>
        </is>
      </c>
      <c r="C44" s="17" t="inlineStr">
        <is>
          <t>Count</t>
        </is>
      </c>
    </row>
    <row r="45">
      <c r="B45" s="17" t="inlineStr">
        <is>
          <t>Studio</t>
        </is>
      </c>
      <c r="C45" s="17">
        <f>IFERROR(COUNTIF('Property Registry'!E5:E154,"Studio"),0)</f>
        <v/>
      </c>
    </row>
    <row r="46">
      <c r="B46" s="17" t="inlineStr">
        <is>
          <t>1 Bedroom</t>
        </is>
      </c>
      <c r="C46" s="17">
        <f>IFERROR(COUNTIF('Property Registry'!E5:E154,"1 Bedroom"),0)</f>
        <v/>
      </c>
    </row>
    <row r="47">
      <c r="B47" s="17" t="inlineStr">
        <is>
          <t>2 Bedroom</t>
        </is>
      </c>
      <c r="C47" s="17">
        <f>IFERROR(COUNTIF('Property Registry'!E5:E154,"2 Bedroom"),0)</f>
        <v/>
      </c>
    </row>
    <row r="48">
      <c r="B48" s="17" t="inlineStr">
        <is>
          <t>3 Bedroom</t>
        </is>
      </c>
      <c r="C48" s="17">
        <f>IFERROR(COUNTIF('Property Registry'!E5:E154,"3 Bedroom"),0)</f>
        <v/>
      </c>
    </row>
    <row r="49">
      <c r="B49" s="17" t="inlineStr">
        <is>
          <t>Shop</t>
        </is>
      </c>
      <c r="C49" s="17">
        <f>IFERROR(COUNTIF('Property Registry'!E5:E154,"Shop"),0)</f>
        <v/>
      </c>
    </row>
    <row r="50">
      <c r="B50" s="17" t="inlineStr">
        <is>
          <t>Office</t>
        </is>
      </c>
      <c r="C50" s="17">
        <f>IFERROR(COUNTIF('Property Registry'!E5:E154,"Office"),0)</f>
        <v/>
      </c>
    </row>
  </sheetData>
  <mergeCells count="13">
    <mergeCell ref="D6:E6"/>
    <mergeCell ref="B6:C6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N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M1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8" customWidth="1" min="4" max="4"/>
    <col width="14" customWidth="1" min="5" max="5"/>
    <col width="12" customWidth="1" min="6" max="6"/>
    <col width="18" customWidth="1" min="7" max="7"/>
    <col width="20" customWidth="1" min="8" max="8"/>
    <col width="16" customWidth="1" min="9" max="9"/>
    <col width="18" customWidth="1" min="10" max="10"/>
    <col width="14" customWidth="1" min="11" max="11"/>
    <col width="14" customWidth="1" min="12" max="12"/>
    <col width="24" customWidth="1" min="13" max="13"/>
  </cols>
  <sheetData>
    <row r="1" ht="15" customHeight="1"/>
    <row r="2" ht="32" customHeight="1">
      <c r="B2" s="1" t="inlineStr">
        <is>
          <t>Property Registry — Unit Master List</t>
        </is>
      </c>
    </row>
    <row r="3" ht="8" customHeight="1"/>
    <row r="4" ht="28" customHeight="1">
      <c r="B4" s="20" t="inlineStr">
        <is>
          <t>Unit ID</t>
        </is>
      </c>
      <c r="C4" s="20" t="inlineStr">
        <is>
          <t>Building</t>
        </is>
      </c>
      <c r="D4" s="20" t="inlineStr">
        <is>
          <t>Floor</t>
        </is>
      </c>
      <c r="E4" s="20" t="inlineStr">
        <is>
          <t>Unit Type</t>
        </is>
      </c>
      <c r="F4" s="20" t="inlineStr">
        <is>
          <t>Size (sqft)</t>
        </is>
      </c>
      <c r="G4" s="20" t="inlineStr">
        <is>
          <t>Monthly Rent (AED)</t>
        </is>
      </c>
      <c r="H4" s="20" t="inlineStr">
        <is>
          <t>Municipality Fee (AED)</t>
        </is>
      </c>
      <c r="I4" s="20" t="inlineStr">
        <is>
          <t>Status</t>
        </is>
      </c>
      <c r="J4" s="20" t="inlineStr">
        <is>
          <t>Current Tenant</t>
        </is>
      </c>
      <c r="K4" s="20" t="inlineStr">
        <is>
          <t>Contract Start</t>
        </is>
      </c>
      <c r="L4" s="20" t="inlineStr">
        <is>
          <t>Contract End</t>
        </is>
      </c>
      <c r="M4" s="20" t="inlineStr">
        <is>
          <t>Notes</t>
        </is>
      </c>
    </row>
    <row r="5" ht="22" customHeight="1">
      <c r="B5" s="21" t="n"/>
      <c r="C5" s="21" t="n"/>
      <c r="D5" s="21" t="n"/>
      <c r="E5" s="21" t="n"/>
      <c r="F5" s="22" t="n"/>
      <c r="G5" s="23" t="n"/>
      <c r="H5" s="23">
        <f>IFERROR(G5*0.05,0)</f>
        <v/>
      </c>
      <c r="I5" s="21" t="n"/>
      <c r="J5" s="24" t="n"/>
      <c r="K5" s="24" t="n"/>
      <c r="L5" s="21" t="n"/>
      <c r="M5" s="21" t="n"/>
    </row>
    <row r="6" ht="22" customHeight="1">
      <c r="B6" s="25" t="n"/>
      <c r="C6" s="25" t="n"/>
      <c r="D6" s="25" t="n"/>
      <c r="E6" s="25" t="n"/>
      <c r="F6" s="26" t="n"/>
      <c r="G6" s="27" t="n"/>
      <c r="H6" s="27">
        <f>IFERROR(G6*0.05,0)</f>
        <v/>
      </c>
      <c r="I6" s="25" t="n"/>
      <c r="J6" s="28" t="n"/>
      <c r="K6" s="28" t="n"/>
      <c r="L6" s="25" t="n"/>
      <c r="M6" s="25" t="n"/>
    </row>
    <row r="7" ht="22" customHeight="1">
      <c r="B7" s="21" t="n"/>
      <c r="C7" s="21" t="n"/>
      <c r="D7" s="21" t="n"/>
      <c r="E7" s="21" t="n"/>
      <c r="F7" s="22" t="n"/>
      <c r="G7" s="23" t="n"/>
      <c r="H7" s="23">
        <f>IFERROR(G7*0.05,0)</f>
        <v/>
      </c>
      <c r="I7" s="21" t="n"/>
      <c r="J7" s="24" t="n"/>
      <c r="K7" s="24" t="n"/>
      <c r="L7" s="21" t="n"/>
      <c r="M7" s="21" t="n"/>
    </row>
    <row r="8" ht="22" customHeight="1">
      <c r="B8" s="25" t="n"/>
      <c r="C8" s="25" t="n"/>
      <c r="D8" s="25" t="n"/>
      <c r="E8" s="25" t="n"/>
      <c r="F8" s="26" t="n"/>
      <c r="G8" s="27" t="n"/>
      <c r="H8" s="27">
        <f>IFERROR(G8*0.05,0)</f>
        <v/>
      </c>
      <c r="I8" s="25" t="n"/>
      <c r="J8" s="28" t="n"/>
      <c r="K8" s="28" t="n"/>
      <c r="L8" s="25" t="n"/>
      <c r="M8" s="25" t="n"/>
    </row>
    <row r="9" ht="22" customHeight="1">
      <c r="B9" s="21" t="n"/>
      <c r="C9" s="21" t="n"/>
      <c r="D9" s="21" t="n"/>
      <c r="E9" s="21" t="n"/>
      <c r="F9" s="22" t="n"/>
      <c r="G9" s="23" t="n"/>
      <c r="H9" s="23">
        <f>IFERROR(G9*0.05,0)</f>
        <v/>
      </c>
      <c r="I9" s="21" t="n"/>
      <c r="J9" s="24" t="n"/>
      <c r="K9" s="24" t="n"/>
      <c r="L9" s="21" t="n"/>
      <c r="M9" s="21" t="n"/>
    </row>
    <row r="10" ht="22" customHeight="1">
      <c r="B10" s="25" t="n"/>
      <c r="C10" s="25" t="n"/>
      <c r="D10" s="25" t="n"/>
      <c r="E10" s="25" t="n"/>
      <c r="F10" s="26" t="n"/>
      <c r="G10" s="27" t="n"/>
      <c r="H10" s="27">
        <f>IFERROR(G10*0.05,0)</f>
        <v/>
      </c>
      <c r="I10" s="25" t="n"/>
      <c r="J10" s="28" t="n"/>
      <c r="K10" s="28" t="n"/>
      <c r="L10" s="25" t="n"/>
      <c r="M10" s="25" t="n"/>
    </row>
    <row r="11" ht="22" customHeight="1">
      <c r="B11" s="21" t="n"/>
      <c r="C11" s="21" t="n"/>
      <c r="D11" s="21" t="n"/>
      <c r="E11" s="21" t="n"/>
      <c r="F11" s="22" t="n"/>
      <c r="G11" s="23" t="n"/>
      <c r="H11" s="23">
        <f>IFERROR(G11*0.05,0)</f>
        <v/>
      </c>
      <c r="I11" s="21" t="n"/>
      <c r="J11" s="24" t="n"/>
      <c r="K11" s="24" t="n"/>
      <c r="L11" s="21" t="n"/>
      <c r="M11" s="21" t="n"/>
    </row>
    <row r="12" ht="22" customHeight="1">
      <c r="B12" s="25" t="n"/>
      <c r="C12" s="25" t="n"/>
      <c r="D12" s="25" t="n"/>
      <c r="E12" s="25" t="n"/>
      <c r="F12" s="26" t="n"/>
      <c r="G12" s="27" t="n"/>
      <c r="H12" s="27">
        <f>IFERROR(G12*0.05,0)</f>
        <v/>
      </c>
      <c r="I12" s="25" t="n"/>
      <c r="J12" s="28" t="n"/>
      <c r="K12" s="28" t="n"/>
      <c r="L12" s="25" t="n"/>
      <c r="M12" s="25" t="n"/>
    </row>
    <row r="13" ht="22" customHeight="1">
      <c r="B13" s="21" t="n"/>
      <c r="C13" s="21" t="n"/>
      <c r="D13" s="21" t="n"/>
      <c r="E13" s="21" t="n"/>
      <c r="F13" s="22" t="n"/>
      <c r="G13" s="23" t="n"/>
      <c r="H13" s="23">
        <f>IFERROR(G13*0.05,0)</f>
        <v/>
      </c>
      <c r="I13" s="21" t="n"/>
      <c r="J13" s="24" t="n"/>
      <c r="K13" s="24" t="n"/>
      <c r="L13" s="21" t="n"/>
      <c r="M13" s="21" t="n"/>
    </row>
    <row r="14" ht="22" customHeight="1">
      <c r="B14" s="25" t="n"/>
      <c r="C14" s="25" t="n"/>
      <c r="D14" s="25" t="n"/>
      <c r="E14" s="25" t="n"/>
      <c r="F14" s="26" t="n"/>
      <c r="G14" s="27" t="n"/>
      <c r="H14" s="27">
        <f>IFERROR(G14*0.05,0)</f>
        <v/>
      </c>
      <c r="I14" s="25" t="n"/>
      <c r="J14" s="28" t="n"/>
      <c r="K14" s="28" t="n"/>
      <c r="L14" s="25" t="n"/>
      <c r="M14" s="25" t="n"/>
    </row>
    <row r="15" ht="22" customHeight="1">
      <c r="B15" s="21" t="n"/>
      <c r="C15" s="21" t="n"/>
      <c r="D15" s="21" t="n"/>
      <c r="E15" s="21" t="n"/>
      <c r="F15" s="22" t="n"/>
      <c r="G15" s="23" t="n"/>
      <c r="H15" s="23">
        <f>IFERROR(G15*0.05,0)</f>
        <v/>
      </c>
      <c r="I15" s="21" t="n"/>
      <c r="J15" s="24" t="n"/>
      <c r="K15" s="24" t="n"/>
      <c r="L15" s="21" t="n"/>
      <c r="M15" s="21" t="n"/>
    </row>
    <row r="16" ht="22" customHeight="1">
      <c r="B16" s="25" t="n"/>
      <c r="C16" s="25" t="n"/>
      <c r="D16" s="25" t="n"/>
      <c r="E16" s="25" t="n"/>
      <c r="F16" s="26" t="n"/>
      <c r="G16" s="27" t="n"/>
      <c r="H16" s="27">
        <f>IFERROR(G16*0.05,0)</f>
        <v/>
      </c>
      <c r="I16" s="25" t="n"/>
      <c r="J16" s="28" t="n"/>
      <c r="K16" s="28" t="n"/>
      <c r="L16" s="25" t="n"/>
      <c r="M16" s="25" t="n"/>
    </row>
    <row r="17" ht="22" customHeight="1">
      <c r="B17" s="21" t="n"/>
      <c r="C17" s="21" t="n"/>
      <c r="D17" s="21" t="n"/>
      <c r="E17" s="21" t="n"/>
      <c r="F17" s="22" t="n"/>
      <c r="G17" s="23" t="n"/>
      <c r="H17" s="23">
        <f>IFERROR(G17*0.05,0)</f>
        <v/>
      </c>
      <c r="I17" s="21" t="n"/>
      <c r="J17" s="24" t="n"/>
      <c r="K17" s="24" t="n"/>
      <c r="L17" s="21" t="n"/>
      <c r="M17" s="21" t="n"/>
    </row>
    <row r="18" ht="22" customHeight="1">
      <c r="B18" s="25" t="n"/>
      <c r="C18" s="25" t="n"/>
      <c r="D18" s="25" t="n"/>
      <c r="E18" s="25" t="n"/>
      <c r="F18" s="26" t="n"/>
      <c r="G18" s="27" t="n"/>
      <c r="H18" s="27">
        <f>IFERROR(G18*0.05,0)</f>
        <v/>
      </c>
      <c r="I18" s="25" t="n"/>
      <c r="J18" s="28" t="n"/>
      <c r="K18" s="28" t="n"/>
      <c r="L18" s="25" t="n"/>
      <c r="M18" s="25" t="n"/>
    </row>
    <row r="19" ht="22" customHeight="1">
      <c r="B19" s="21" t="n"/>
      <c r="C19" s="21" t="n"/>
      <c r="D19" s="21" t="n"/>
      <c r="E19" s="21" t="n"/>
      <c r="F19" s="22" t="n"/>
      <c r="G19" s="23" t="n"/>
      <c r="H19" s="23">
        <f>IFERROR(G19*0.05,0)</f>
        <v/>
      </c>
      <c r="I19" s="21" t="n"/>
      <c r="J19" s="24" t="n"/>
      <c r="K19" s="24" t="n"/>
      <c r="L19" s="21" t="n"/>
      <c r="M19" s="21" t="n"/>
    </row>
    <row r="20" ht="22" customHeight="1">
      <c r="B20" s="25" t="n"/>
      <c r="C20" s="25" t="n"/>
      <c r="D20" s="25" t="n"/>
      <c r="E20" s="25" t="n"/>
      <c r="F20" s="26" t="n"/>
      <c r="G20" s="27" t="n"/>
      <c r="H20" s="27">
        <f>IFERROR(G20*0.05,0)</f>
        <v/>
      </c>
      <c r="I20" s="25" t="n"/>
      <c r="J20" s="28" t="n"/>
      <c r="K20" s="28" t="n"/>
      <c r="L20" s="25" t="n"/>
      <c r="M20" s="25" t="n"/>
    </row>
    <row r="21" ht="22" customHeight="1">
      <c r="B21" s="21" t="n"/>
      <c r="C21" s="21" t="n"/>
      <c r="D21" s="21" t="n"/>
      <c r="E21" s="21" t="n"/>
      <c r="F21" s="22" t="n"/>
      <c r="G21" s="23" t="n"/>
      <c r="H21" s="23">
        <f>IFERROR(G21*0.05,0)</f>
        <v/>
      </c>
      <c r="I21" s="21" t="n"/>
      <c r="J21" s="24" t="n"/>
      <c r="K21" s="24" t="n"/>
      <c r="L21" s="21" t="n"/>
      <c r="M21" s="21" t="n"/>
    </row>
    <row r="22" ht="22" customHeight="1">
      <c r="B22" s="25" t="n"/>
      <c r="C22" s="25" t="n"/>
      <c r="D22" s="25" t="n"/>
      <c r="E22" s="25" t="n"/>
      <c r="F22" s="26" t="n"/>
      <c r="G22" s="27" t="n"/>
      <c r="H22" s="27">
        <f>IFERROR(G22*0.05,0)</f>
        <v/>
      </c>
      <c r="I22" s="25" t="n"/>
      <c r="J22" s="28" t="n"/>
      <c r="K22" s="28" t="n"/>
      <c r="L22" s="25" t="n"/>
      <c r="M22" s="25" t="n"/>
    </row>
    <row r="23" ht="22" customHeight="1">
      <c r="B23" s="21" t="n"/>
      <c r="C23" s="21" t="n"/>
      <c r="D23" s="21" t="n"/>
      <c r="E23" s="21" t="n"/>
      <c r="F23" s="22" t="n"/>
      <c r="G23" s="23" t="n"/>
      <c r="H23" s="23">
        <f>IFERROR(G23*0.05,0)</f>
        <v/>
      </c>
      <c r="I23" s="21" t="n"/>
      <c r="J23" s="24" t="n"/>
      <c r="K23" s="24" t="n"/>
      <c r="L23" s="21" t="n"/>
      <c r="M23" s="21" t="n"/>
    </row>
    <row r="24" ht="22" customHeight="1">
      <c r="B24" s="25" t="n"/>
      <c r="C24" s="25" t="n"/>
      <c r="D24" s="25" t="n"/>
      <c r="E24" s="25" t="n"/>
      <c r="F24" s="26" t="n"/>
      <c r="G24" s="27" t="n"/>
      <c r="H24" s="27">
        <f>IFERROR(G24*0.05,0)</f>
        <v/>
      </c>
      <c r="I24" s="25" t="n"/>
      <c r="J24" s="28" t="n"/>
      <c r="K24" s="28" t="n"/>
      <c r="L24" s="25" t="n"/>
      <c r="M24" s="25" t="n"/>
    </row>
    <row r="25" ht="22" customHeight="1">
      <c r="B25" s="21" t="n"/>
      <c r="C25" s="21" t="n"/>
      <c r="D25" s="21" t="n"/>
      <c r="E25" s="21" t="n"/>
      <c r="F25" s="22" t="n"/>
      <c r="G25" s="23" t="n"/>
      <c r="H25" s="23">
        <f>IFERROR(G25*0.05,0)</f>
        <v/>
      </c>
      <c r="I25" s="21" t="n"/>
      <c r="J25" s="24" t="n"/>
      <c r="K25" s="24" t="n"/>
      <c r="L25" s="21" t="n"/>
      <c r="M25" s="21" t="n"/>
    </row>
    <row r="26" ht="22" customHeight="1">
      <c r="B26" s="25" t="n"/>
      <c r="C26" s="25" t="n"/>
      <c r="D26" s="25" t="n"/>
      <c r="E26" s="25" t="n"/>
      <c r="F26" s="26" t="n"/>
      <c r="G26" s="27" t="n"/>
      <c r="H26" s="27">
        <f>IFERROR(G26*0.05,0)</f>
        <v/>
      </c>
      <c r="I26" s="25" t="n"/>
      <c r="J26" s="28" t="n"/>
      <c r="K26" s="28" t="n"/>
      <c r="L26" s="25" t="n"/>
      <c r="M26" s="25" t="n"/>
    </row>
    <row r="27" ht="22" customHeight="1">
      <c r="B27" s="21" t="n"/>
      <c r="C27" s="21" t="n"/>
      <c r="D27" s="21" t="n"/>
      <c r="E27" s="21" t="n"/>
      <c r="F27" s="22" t="n"/>
      <c r="G27" s="23" t="n"/>
      <c r="H27" s="23">
        <f>IFERROR(G27*0.05,0)</f>
        <v/>
      </c>
      <c r="I27" s="21" t="n"/>
      <c r="J27" s="24" t="n"/>
      <c r="K27" s="24" t="n"/>
      <c r="L27" s="21" t="n"/>
      <c r="M27" s="21" t="n"/>
    </row>
    <row r="28" ht="22" customHeight="1">
      <c r="B28" s="25" t="n"/>
      <c r="C28" s="25" t="n"/>
      <c r="D28" s="25" t="n"/>
      <c r="E28" s="25" t="n"/>
      <c r="F28" s="26" t="n"/>
      <c r="G28" s="27" t="n"/>
      <c r="H28" s="27">
        <f>IFERROR(G28*0.05,0)</f>
        <v/>
      </c>
      <c r="I28" s="25" t="n"/>
      <c r="J28" s="28" t="n"/>
      <c r="K28" s="28" t="n"/>
      <c r="L28" s="25" t="n"/>
      <c r="M28" s="25" t="n"/>
    </row>
    <row r="29" ht="22" customHeight="1">
      <c r="B29" s="21" t="n"/>
      <c r="C29" s="21" t="n"/>
      <c r="D29" s="21" t="n"/>
      <c r="E29" s="21" t="n"/>
      <c r="F29" s="22" t="n"/>
      <c r="G29" s="23" t="n"/>
      <c r="H29" s="23">
        <f>IFERROR(G29*0.05,0)</f>
        <v/>
      </c>
      <c r="I29" s="21" t="n"/>
      <c r="J29" s="24" t="n"/>
      <c r="K29" s="24" t="n"/>
      <c r="L29" s="21" t="n"/>
      <c r="M29" s="21" t="n"/>
    </row>
    <row r="30" ht="22" customHeight="1">
      <c r="B30" s="25" t="n"/>
      <c r="C30" s="25" t="n"/>
      <c r="D30" s="25" t="n"/>
      <c r="E30" s="25" t="n"/>
      <c r="F30" s="26" t="n"/>
      <c r="G30" s="27" t="n"/>
      <c r="H30" s="27">
        <f>IFERROR(G30*0.05,0)</f>
        <v/>
      </c>
      <c r="I30" s="25" t="n"/>
      <c r="J30" s="28" t="n"/>
      <c r="K30" s="28" t="n"/>
      <c r="L30" s="25" t="n"/>
      <c r="M30" s="25" t="n"/>
    </row>
    <row r="31" ht="22" customHeight="1">
      <c r="B31" s="21" t="n"/>
      <c r="C31" s="21" t="n"/>
      <c r="D31" s="21" t="n"/>
      <c r="E31" s="21" t="n"/>
      <c r="F31" s="22" t="n"/>
      <c r="G31" s="23" t="n"/>
      <c r="H31" s="23">
        <f>IFERROR(G31*0.05,0)</f>
        <v/>
      </c>
      <c r="I31" s="21" t="n"/>
      <c r="J31" s="24" t="n"/>
      <c r="K31" s="24" t="n"/>
      <c r="L31" s="21" t="n"/>
      <c r="M31" s="21" t="n"/>
    </row>
    <row r="32" ht="22" customHeight="1">
      <c r="B32" s="25" t="n"/>
      <c r="C32" s="25" t="n"/>
      <c r="D32" s="25" t="n"/>
      <c r="E32" s="25" t="n"/>
      <c r="F32" s="26" t="n"/>
      <c r="G32" s="27" t="n"/>
      <c r="H32" s="27">
        <f>IFERROR(G32*0.05,0)</f>
        <v/>
      </c>
      <c r="I32" s="25" t="n"/>
      <c r="J32" s="28" t="n"/>
      <c r="K32" s="28" t="n"/>
      <c r="L32" s="25" t="n"/>
      <c r="M32" s="25" t="n"/>
    </row>
    <row r="33" ht="22" customHeight="1">
      <c r="B33" s="21" t="n"/>
      <c r="C33" s="21" t="n"/>
      <c r="D33" s="21" t="n"/>
      <c r="E33" s="21" t="n"/>
      <c r="F33" s="22" t="n"/>
      <c r="G33" s="23" t="n"/>
      <c r="H33" s="23">
        <f>IFERROR(G33*0.05,0)</f>
        <v/>
      </c>
      <c r="I33" s="21" t="n"/>
      <c r="J33" s="24" t="n"/>
      <c r="K33" s="24" t="n"/>
      <c r="L33" s="21" t="n"/>
      <c r="M33" s="21" t="n"/>
    </row>
    <row r="34" ht="22" customHeight="1">
      <c r="B34" s="25" t="n"/>
      <c r="C34" s="25" t="n"/>
      <c r="D34" s="25" t="n"/>
      <c r="E34" s="25" t="n"/>
      <c r="F34" s="26" t="n"/>
      <c r="G34" s="27" t="n"/>
      <c r="H34" s="27">
        <f>IFERROR(G34*0.05,0)</f>
        <v/>
      </c>
      <c r="I34" s="25" t="n"/>
      <c r="J34" s="28" t="n"/>
      <c r="K34" s="28" t="n"/>
      <c r="L34" s="25" t="n"/>
      <c r="M34" s="25" t="n"/>
    </row>
    <row r="35" ht="22" customHeight="1">
      <c r="B35" s="21" t="n"/>
      <c r="C35" s="21" t="n"/>
      <c r="D35" s="21" t="n"/>
      <c r="E35" s="21" t="n"/>
      <c r="F35" s="22" t="n"/>
      <c r="G35" s="23" t="n"/>
      <c r="H35" s="23">
        <f>IFERROR(G35*0.05,0)</f>
        <v/>
      </c>
      <c r="I35" s="21" t="n"/>
      <c r="J35" s="24" t="n"/>
      <c r="K35" s="24" t="n"/>
      <c r="L35" s="21" t="n"/>
      <c r="M35" s="21" t="n"/>
    </row>
    <row r="36" ht="22" customHeight="1">
      <c r="B36" s="25" t="n"/>
      <c r="C36" s="25" t="n"/>
      <c r="D36" s="25" t="n"/>
      <c r="E36" s="25" t="n"/>
      <c r="F36" s="26" t="n"/>
      <c r="G36" s="27" t="n"/>
      <c r="H36" s="27">
        <f>IFERROR(G36*0.05,0)</f>
        <v/>
      </c>
      <c r="I36" s="25" t="n"/>
      <c r="J36" s="28" t="n"/>
      <c r="K36" s="28" t="n"/>
      <c r="L36" s="25" t="n"/>
      <c r="M36" s="25" t="n"/>
    </row>
    <row r="37" ht="22" customHeight="1">
      <c r="B37" s="21" t="n"/>
      <c r="C37" s="21" t="n"/>
      <c r="D37" s="21" t="n"/>
      <c r="E37" s="21" t="n"/>
      <c r="F37" s="22" t="n"/>
      <c r="G37" s="23" t="n"/>
      <c r="H37" s="23">
        <f>IFERROR(G37*0.05,0)</f>
        <v/>
      </c>
      <c r="I37" s="21" t="n"/>
      <c r="J37" s="24" t="n"/>
      <c r="K37" s="24" t="n"/>
      <c r="L37" s="21" t="n"/>
      <c r="M37" s="21" t="n"/>
    </row>
    <row r="38" ht="22" customHeight="1">
      <c r="B38" s="25" t="n"/>
      <c r="C38" s="25" t="n"/>
      <c r="D38" s="25" t="n"/>
      <c r="E38" s="25" t="n"/>
      <c r="F38" s="26" t="n"/>
      <c r="G38" s="27" t="n"/>
      <c r="H38" s="27">
        <f>IFERROR(G38*0.05,0)</f>
        <v/>
      </c>
      <c r="I38" s="25" t="n"/>
      <c r="J38" s="28" t="n"/>
      <c r="K38" s="28" t="n"/>
      <c r="L38" s="25" t="n"/>
      <c r="M38" s="25" t="n"/>
    </row>
    <row r="39" ht="22" customHeight="1">
      <c r="B39" s="21" t="n"/>
      <c r="C39" s="21" t="n"/>
      <c r="D39" s="21" t="n"/>
      <c r="E39" s="21" t="n"/>
      <c r="F39" s="22" t="n"/>
      <c r="G39" s="23" t="n"/>
      <c r="H39" s="23">
        <f>IFERROR(G39*0.05,0)</f>
        <v/>
      </c>
      <c r="I39" s="21" t="n"/>
      <c r="J39" s="24" t="n"/>
      <c r="K39" s="24" t="n"/>
      <c r="L39" s="21" t="n"/>
      <c r="M39" s="21" t="n"/>
    </row>
    <row r="40" ht="22" customHeight="1">
      <c r="B40" s="25" t="n"/>
      <c r="C40" s="25" t="n"/>
      <c r="D40" s="25" t="n"/>
      <c r="E40" s="25" t="n"/>
      <c r="F40" s="26" t="n"/>
      <c r="G40" s="27" t="n"/>
      <c r="H40" s="27">
        <f>IFERROR(G40*0.05,0)</f>
        <v/>
      </c>
      <c r="I40" s="25" t="n"/>
      <c r="J40" s="28" t="n"/>
      <c r="K40" s="28" t="n"/>
      <c r="L40" s="25" t="n"/>
      <c r="M40" s="25" t="n"/>
    </row>
    <row r="41" ht="22" customHeight="1">
      <c r="B41" s="21" t="n"/>
      <c r="C41" s="21" t="n"/>
      <c r="D41" s="21" t="n"/>
      <c r="E41" s="21" t="n"/>
      <c r="F41" s="22" t="n"/>
      <c r="G41" s="23" t="n"/>
      <c r="H41" s="23">
        <f>IFERROR(G41*0.05,0)</f>
        <v/>
      </c>
      <c r="I41" s="21" t="n"/>
      <c r="J41" s="24" t="n"/>
      <c r="K41" s="24" t="n"/>
      <c r="L41" s="21" t="n"/>
      <c r="M41" s="21" t="n"/>
    </row>
    <row r="42" ht="22" customHeight="1">
      <c r="B42" s="25" t="n"/>
      <c r="C42" s="25" t="n"/>
      <c r="D42" s="25" t="n"/>
      <c r="E42" s="25" t="n"/>
      <c r="F42" s="26" t="n"/>
      <c r="G42" s="27" t="n"/>
      <c r="H42" s="27">
        <f>IFERROR(G42*0.05,0)</f>
        <v/>
      </c>
      <c r="I42" s="25" t="n"/>
      <c r="J42" s="28" t="n"/>
      <c r="K42" s="28" t="n"/>
      <c r="L42" s="25" t="n"/>
      <c r="M42" s="25" t="n"/>
    </row>
    <row r="43" ht="22" customHeight="1">
      <c r="B43" s="21" t="n"/>
      <c r="C43" s="21" t="n"/>
      <c r="D43" s="21" t="n"/>
      <c r="E43" s="21" t="n"/>
      <c r="F43" s="22" t="n"/>
      <c r="G43" s="23" t="n"/>
      <c r="H43" s="23">
        <f>IFERROR(G43*0.05,0)</f>
        <v/>
      </c>
      <c r="I43" s="21" t="n"/>
      <c r="J43" s="24" t="n"/>
      <c r="K43" s="24" t="n"/>
      <c r="L43" s="21" t="n"/>
      <c r="M43" s="21" t="n"/>
    </row>
    <row r="44" ht="22" customHeight="1">
      <c r="B44" s="25" t="n"/>
      <c r="C44" s="25" t="n"/>
      <c r="D44" s="25" t="n"/>
      <c r="E44" s="25" t="n"/>
      <c r="F44" s="26" t="n"/>
      <c r="G44" s="27" t="n"/>
      <c r="H44" s="27">
        <f>IFERROR(G44*0.05,0)</f>
        <v/>
      </c>
      <c r="I44" s="25" t="n"/>
      <c r="J44" s="28" t="n"/>
      <c r="K44" s="28" t="n"/>
      <c r="L44" s="25" t="n"/>
      <c r="M44" s="25" t="n"/>
    </row>
    <row r="45" ht="22" customHeight="1">
      <c r="B45" s="21" t="n"/>
      <c r="C45" s="21" t="n"/>
      <c r="D45" s="21" t="n"/>
      <c r="E45" s="21" t="n"/>
      <c r="F45" s="22" t="n"/>
      <c r="G45" s="23" t="n"/>
      <c r="H45" s="23">
        <f>IFERROR(G45*0.05,0)</f>
        <v/>
      </c>
      <c r="I45" s="21" t="n"/>
      <c r="J45" s="24" t="n"/>
      <c r="K45" s="24" t="n"/>
      <c r="L45" s="21" t="n"/>
      <c r="M45" s="21" t="n"/>
    </row>
    <row r="46" ht="22" customHeight="1">
      <c r="B46" s="25" t="n"/>
      <c r="C46" s="25" t="n"/>
      <c r="D46" s="25" t="n"/>
      <c r="E46" s="25" t="n"/>
      <c r="F46" s="26" t="n"/>
      <c r="G46" s="27" t="n"/>
      <c r="H46" s="27">
        <f>IFERROR(G46*0.05,0)</f>
        <v/>
      </c>
      <c r="I46" s="25" t="n"/>
      <c r="J46" s="28" t="n"/>
      <c r="K46" s="28" t="n"/>
      <c r="L46" s="25" t="n"/>
      <c r="M46" s="25" t="n"/>
    </row>
    <row r="47" ht="22" customHeight="1">
      <c r="B47" s="21" t="n"/>
      <c r="C47" s="21" t="n"/>
      <c r="D47" s="21" t="n"/>
      <c r="E47" s="21" t="n"/>
      <c r="F47" s="22" t="n"/>
      <c r="G47" s="23" t="n"/>
      <c r="H47" s="23">
        <f>IFERROR(G47*0.05,0)</f>
        <v/>
      </c>
      <c r="I47" s="21" t="n"/>
      <c r="J47" s="24" t="n"/>
      <c r="K47" s="24" t="n"/>
      <c r="L47" s="21" t="n"/>
      <c r="M47" s="21" t="n"/>
    </row>
    <row r="48" ht="22" customHeight="1">
      <c r="B48" s="25" t="n"/>
      <c r="C48" s="25" t="n"/>
      <c r="D48" s="25" t="n"/>
      <c r="E48" s="25" t="n"/>
      <c r="F48" s="26" t="n"/>
      <c r="G48" s="27" t="n"/>
      <c r="H48" s="27">
        <f>IFERROR(G48*0.05,0)</f>
        <v/>
      </c>
      <c r="I48" s="25" t="n"/>
      <c r="J48" s="28" t="n"/>
      <c r="K48" s="28" t="n"/>
      <c r="L48" s="25" t="n"/>
      <c r="M48" s="25" t="n"/>
    </row>
    <row r="49" ht="22" customHeight="1">
      <c r="B49" s="21" t="n"/>
      <c r="C49" s="21" t="n"/>
      <c r="D49" s="21" t="n"/>
      <c r="E49" s="21" t="n"/>
      <c r="F49" s="22" t="n"/>
      <c r="G49" s="23" t="n"/>
      <c r="H49" s="23">
        <f>IFERROR(G49*0.05,0)</f>
        <v/>
      </c>
      <c r="I49" s="21" t="n"/>
      <c r="J49" s="24" t="n"/>
      <c r="K49" s="24" t="n"/>
      <c r="L49" s="21" t="n"/>
      <c r="M49" s="21" t="n"/>
    </row>
    <row r="50" ht="22" customHeight="1">
      <c r="B50" s="25" t="n"/>
      <c r="C50" s="25" t="n"/>
      <c r="D50" s="25" t="n"/>
      <c r="E50" s="25" t="n"/>
      <c r="F50" s="26" t="n"/>
      <c r="G50" s="27" t="n"/>
      <c r="H50" s="27">
        <f>IFERROR(G50*0.05,0)</f>
        <v/>
      </c>
      <c r="I50" s="25" t="n"/>
      <c r="J50" s="28" t="n"/>
      <c r="K50" s="28" t="n"/>
      <c r="L50" s="25" t="n"/>
      <c r="M50" s="25" t="n"/>
    </row>
    <row r="51" ht="22" customHeight="1">
      <c r="B51" s="21" t="n"/>
      <c r="C51" s="21" t="n"/>
      <c r="D51" s="21" t="n"/>
      <c r="E51" s="21" t="n"/>
      <c r="F51" s="22" t="n"/>
      <c r="G51" s="23" t="n"/>
      <c r="H51" s="23">
        <f>IFERROR(G51*0.05,0)</f>
        <v/>
      </c>
      <c r="I51" s="21" t="n"/>
      <c r="J51" s="24" t="n"/>
      <c r="K51" s="24" t="n"/>
      <c r="L51" s="21" t="n"/>
      <c r="M51" s="21" t="n"/>
    </row>
    <row r="52" ht="22" customHeight="1">
      <c r="B52" s="25" t="n"/>
      <c r="C52" s="25" t="n"/>
      <c r="D52" s="25" t="n"/>
      <c r="E52" s="25" t="n"/>
      <c r="F52" s="26" t="n"/>
      <c r="G52" s="27" t="n"/>
      <c r="H52" s="27">
        <f>IFERROR(G52*0.05,0)</f>
        <v/>
      </c>
      <c r="I52" s="25" t="n"/>
      <c r="J52" s="28" t="n"/>
      <c r="K52" s="28" t="n"/>
      <c r="L52" s="25" t="n"/>
      <c r="M52" s="25" t="n"/>
    </row>
    <row r="53" ht="22" customHeight="1">
      <c r="B53" s="21" t="n"/>
      <c r="C53" s="21" t="n"/>
      <c r="D53" s="21" t="n"/>
      <c r="E53" s="21" t="n"/>
      <c r="F53" s="22" t="n"/>
      <c r="G53" s="23" t="n"/>
      <c r="H53" s="23">
        <f>IFERROR(G53*0.05,0)</f>
        <v/>
      </c>
      <c r="I53" s="21" t="n"/>
      <c r="J53" s="24" t="n"/>
      <c r="K53" s="24" t="n"/>
      <c r="L53" s="21" t="n"/>
      <c r="M53" s="21" t="n"/>
    </row>
    <row r="54" ht="22" customHeight="1">
      <c r="B54" s="25" t="n"/>
      <c r="C54" s="25" t="n"/>
      <c r="D54" s="25" t="n"/>
      <c r="E54" s="25" t="n"/>
      <c r="F54" s="26" t="n"/>
      <c r="G54" s="27" t="n"/>
      <c r="H54" s="27">
        <f>IFERROR(G54*0.05,0)</f>
        <v/>
      </c>
      <c r="I54" s="25" t="n"/>
      <c r="J54" s="28" t="n"/>
      <c r="K54" s="28" t="n"/>
      <c r="L54" s="25" t="n"/>
      <c r="M54" s="25" t="n"/>
    </row>
    <row r="55" ht="22" customHeight="1">
      <c r="B55" s="21" t="n"/>
      <c r="C55" s="21" t="n"/>
      <c r="D55" s="21" t="n"/>
      <c r="E55" s="21" t="n"/>
      <c r="F55" s="22" t="n"/>
      <c r="G55" s="23" t="n"/>
      <c r="H55" s="23">
        <f>IFERROR(G55*0.05,0)</f>
        <v/>
      </c>
      <c r="I55" s="21" t="n"/>
      <c r="J55" s="24" t="n"/>
      <c r="K55" s="24" t="n"/>
      <c r="L55" s="21" t="n"/>
      <c r="M55" s="21" t="n"/>
    </row>
    <row r="56" ht="22" customHeight="1">
      <c r="B56" s="25" t="n"/>
      <c r="C56" s="25" t="n"/>
      <c r="D56" s="25" t="n"/>
      <c r="E56" s="25" t="n"/>
      <c r="F56" s="26" t="n"/>
      <c r="G56" s="27" t="n"/>
      <c r="H56" s="27">
        <f>IFERROR(G56*0.05,0)</f>
        <v/>
      </c>
      <c r="I56" s="25" t="n"/>
      <c r="J56" s="28" t="n"/>
      <c r="K56" s="28" t="n"/>
      <c r="L56" s="25" t="n"/>
      <c r="M56" s="25" t="n"/>
    </row>
    <row r="57" ht="22" customHeight="1">
      <c r="B57" s="21" t="n"/>
      <c r="C57" s="21" t="n"/>
      <c r="D57" s="21" t="n"/>
      <c r="E57" s="21" t="n"/>
      <c r="F57" s="22" t="n"/>
      <c r="G57" s="23" t="n"/>
      <c r="H57" s="23">
        <f>IFERROR(G57*0.05,0)</f>
        <v/>
      </c>
      <c r="I57" s="21" t="n"/>
      <c r="J57" s="24" t="n"/>
      <c r="K57" s="24" t="n"/>
      <c r="L57" s="21" t="n"/>
      <c r="M57" s="21" t="n"/>
    </row>
    <row r="58" ht="22" customHeight="1">
      <c r="B58" s="25" t="n"/>
      <c r="C58" s="25" t="n"/>
      <c r="D58" s="25" t="n"/>
      <c r="E58" s="25" t="n"/>
      <c r="F58" s="26" t="n"/>
      <c r="G58" s="27" t="n"/>
      <c r="H58" s="27">
        <f>IFERROR(G58*0.05,0)</f>
        <v/>
      </c>
      <c r="I58" s="25" t="n"/>
      <c r="J58" s="28" t="n"/>
      <c r="K58" s="28" t="n"/>
      <c r="L58" s="25" t="n"/>
      <c r="M58" s="25" t="n"/>
    </row>
    <row r="59" ht="22" customHeight="1">
      <c r="B59" s="21" t="n"/>
      <c r="C59" s="21" t="n"/>
      <c r="D59" s="21" t="n"/>
      <c r="E59" s="21" t="n"/>
      <c r="F59" s="22" t="n"/>
      <c r="G59" s="23" t="n"/>
      <c r="H59" s="23">
        <f>IFERROR(G59*0.05,0)</f>
        <v/>
      </c>
      <c r="I59" s="21" t="n"/>
      <c r="J59" s="24" t="n"/>
      <c r="K59" s="24" t="n"/>
      <c r="L59" s="21" t="n"/>
      <c r="M59" s="21" t="n"/>
    </row>
    <row r="60" ht="22" customHeight="1">
      <c r="B60" s="25" t="n"/>
      <c r="C60" s="25" t="n"/>
      <c r="D60" s="25" t="n"/>
      <c r="E60" s="25" t="n"/>
      <c r="F60" s="26" t="n"/>
      <c r="G60" s="27" t="n"/>
      <c r="H60" s="27">
        <f>IFERROR(G60*0.05,0)</f>
        <v/>
      </c>
      <c r="I60" s="25" t="n"/>
      <c r="J60" s="28" t="n"/>
      <c r="K60" s="28" t="n"/>
      <c r="L60" s="25" t="n"/>
      <c r="M60" s="25" t="n"/>
    </row>
    <row r="61" ht="22" customHeight="1">
      <c r="B61" s="21" t="n"/>
      <c r="C61" s="21" t="n"/>
      <c r="D61" s="21" t="n"/>
      <c r="E61" s="21" t="n"/>
      <c r="F61" s="22" t="n"/>
      <c r="G61" s="23" t="n"/>
      <c r="H61" s="23">
        <f>IFERROR(G61*0.05,0)</f>
        <v/>
      </c>
      <c r="I61" s="21" t="n"/>
      <c r="J61" s="24" t="n"/>
      <c r="K61" s="24" t="n"/>
      <c r="L61" s="21" t="n"/>
      <c r="M61" s="21" t="n"/>
    </row>
    <row r="62" ht="22" customHeight="1">
      <c r="B62" s="25" t="n"/>
      <c r="C62" s="25" t="n"/>
      <c r="D62" s="25" t="n"/>
      <c r="E62" s="25" t="n"/>
      <c r="F62" s="26" t="n"/>
      <c r="G62" s="27" t="n"/>
      <c r="H62" s="27">
        <f>IFERROR(G62*0.05,0)</f>
        <v/>
      </c>
      <c r="I62" s="25" t="n"/>
      <c r="J62" s="28" t="n"/>
      <c r="K62" s="28" t="n"/>
      <c r="L62" s="25" t="n"/>
      <c r="M62" s="25" t="n"/>
    </row>
    <row r="63" ht="22" customHeight="1">
      <c r="B63" s="21" t="n"/>
      <c r="C63" s="21" t="n"/>
      <c r="D63" s="21" t="n"/>
      <c r="E63" s="21" t="n"/>
      <c r="F63" s="22" t="n"/>
      <c r="G63" s="23" t="n"/>
      <c r="H63" s="23">
        <f>IFERROR(G63*0.05,0)</f>
        <v/>
      </c>
      <c r="I63" s="21" t="n"/>
      <c r="J63" s="24" t="n"/>
      <c r="K63" s="24" t="n"/>
      <c r="L63" s="21" t="n"/>
      <c r="M63" s="21" t="n"/>
    </row>
    <row r="64" ht="22" customHeight="1">
      <c r="B64" s="25" t="n"/>
      <c r="C64" s="25" t="n"/>
      <c r="D64" s="25" t="n"/>
      <c r="E64" s="25" t="n"/>
      <c r="F64" s="26" t="n"/>
      <c r="G64" s="27" t="n"/>
      <c r="H64" s="27">
        <f>IFERROR(G64*0.05,0)</f>
        <v/>
      </c>
      <c r="I64" s="25" t="n"/>
      <c r="J64" s="28" t="n"/>
      <c r="K64" s="28" t="n"/>
      <c r="L64" s="25" t="n"/>
      <c r="M64" s="25" t="n"/>
    </row>
    <row r="65" ht="22" customHeight="1">
      <c r="B65" s="21" t="n"/>
      <c r="C65" s="21" t="n"/>
      <c r="D65" s="21" t="n"/>
      <c r="E65" s="21" t="n"/>
      <c r="F65" s="22" t="n"/>
      <c r="G65" s="23" t="n"/>
      <c r="H65" s="23">
        <f>IFERROR(G65*0.05,0)</f>
        <v/>
      </c>
      <c r="I65" s="21" t="n"/>
      <c r="J65" s="24" t="n"/>
      <c r="K65" s="24" t="n"/>
      <c r="L65" s="21" t="n"/>
      <c r="M65" s="21" t="n"/>
    </row>
    <row r="66" ht="22" customHeight="1">
      <c r="B66" s="25" t="n"/>
      <c r="C66" s="25" t="n"/>
      <c r="D66" s="25" t="n"/>
      <c r="E66" s="25" t="n"/>
      <c r="F66" s="26" t="n"/>
      <c r="G66" s="27" t="n"/>
      <c r="H66" s="27">
        <f>IFERROR(G66*0.05,0)</f>
        <v/>
      </c>
      <c r="I66" s="25" t="n"/>
      <c r="J66" s="28" t="n"/>
      <c r="K66" s="28" t="n"/>
      <c r="L66" s="25" t="n"/>
      <c r="M66" s="25" t="n"/>
    </row>
    <row r="67" ht="22" customHeight="1">
      <c r="B67" s="21" t="n"/>
      <c r="C67" s="21" t="n"/>
      <c r="D67" s="21" t="n"/>
      <c r="E67" s="21" t="n"/>
      <c r="F67" s="22" t="n"/>
      <c r="G67" s="23" t="n"/>
      <c r="H67" s="23">
        <f>IFERROR(G67*0.05,0)</f>
        <v/>
      </c>
      <c r="I67" s="21" t="n"/>
      <c r="J67" s="24" t="n"/>
      <c r="K67" s="24" t="n"/>
      <c r="L67" s="21" t="n"/>
      <c r="M67" s="21" t="n"/>
    </row>
    <row r="68" ht="22" customHeight="1">
      <c r="B68" s="25" t="n"/>
      <c r="C68" s="25" t="n"/>
      <c r="D68" s="25" t="n"/>
      <c r="E68" s="25" t="n"/>
      <c r="F68" s="26" t="n"/>
      <c r="G68" s="27" t="n"/>
      <c r="H68" s="27">
        <f>IFERROR(G68*0.05,0)</f>
        <v/>
      </c>
      <c r="I68" s="25" t="n"/>
      <c r="J68" s="28" t="n"/>
      <c r="K68" s="28" t="n"/>
      <c r="L68" s="25" t="n"/>
      <c r="M68" s="25" t="n"/>
    </row>
    <row r="69" ht="22" customHeight="1">
      <c r="B69" s="21" t="n"/>
      <c r="C69" s="21" t="n"/>
      <c r="D69" s="21" t="n"/>
      <c r="E69" s="21" t="n"/>
      <c r="F69" s="22" t="n"/>
      <c r="G69" s="23" t="n"/>
      <c r="H69" s="23">
        <f>IFERROR(G69*0.05,0)</f>
        <v/>
      </c>
      <c r="I69" s="21" t="n"/>
      <c r="J69" s="24" t="n"/>
      <c r="K69" s="24" t="n"/>
      <c r="L69" s="21" t="n"/>
      <c r="M69" s="21" t="n"/>
    </row>
    <row r="70" ht="22" customHeight="1">
      <c r="B70" s="25" t="n"/>
      <c r="C70" s="25" t="n"/>
      <c r="D70" s="25" t="n"/>
      <c r="E70" s="25" t="n"/>
      <c r="F70" s="26" t="n"/>
      <c r="G70" s="27" t="n"/>
      <c r="H70" s="27">
        <f>IFERROR(G70*0.05,0)</f>
        <v/>
      </c>
      <c r="I70" s="25" t="n"/>
      <c r="J70" s="28" t="n"/>
      <c r="K70" s="28" t="n"/>
      <c r="L70" s="25" t="n"/>
      <c r="M70" s="25" t="n"/>
    </row>
    <row r="71" ht="22" customHeight="1">
      <c r="B71" s="21" t="n"/>
      <c r="C71" s="21" t="n"/>
      <c r="D71" s="21" t="n"/>
      <c r="E71" s="21" t="n"/>
      <c r="F71" s="22" t="n"/>
      <c r="G71" s="23" t="n"/>
      <c r="H71" s="23">
        <f>IFERROR(G71*0.05,0)</f>
        <v/>
      </c>
      <c r="I71" s="21" t="n"/>
      <c r="J71" s="24" t="n"/>
      <c r="K71" s="24" t="n"/>
      <c r="L71" s="21" t="n"/>
      <c r="M71" s="21" t="n"/>
    </row>
    <row r="72" ht="22" customHeight="1">
      <c r="B72" s="25" t="n"/>
      <c r="C72" s="25" t="n"/>
      <c r="D72" s="25" t="n"/>
      <c r="E72" s="25" t="n"/>
      <c r="F72" s="26" t="n"/>
      <c r="G72" s="27" t="n"/>
      <c r="H72" s="27">
        <f>IFERROR(G72*0.05,0)</f>
        <v/>
      </c>
      <c r="I72" s="25" t="n"/>
      <c r="J72" s="28" t="n"/>
      <c r="K72" s="28" t="n"/>
      <c r="L72" s="25" t="n"/>
      <c r="M72" s="25" t="n"/>
    </row>
    <row r="73" ht="22" customHeight="1">
      <c r="B73" s="21" t="n"/>
      <c r="C73" s="21" t="n"/>
      <c r="D73" s="21" t="n"/>
      <c r="E73" s="21" t="n"/>
      <c r="F73" s="22" t="n"/>
      <c r="G73" s="23" t="n"/>
      <c r="H73" s="23">
        <f>IFERROR(G73*0.05,0)</f>
        <v/>
      </c>
      <c r="I73" s="21" t="n"/>
      <c r="J73" s="24" t="n"/>
      <c r="K73" s="24" t="n"/>
      <c r="L73" s="21" t="n"/>
      <c r="M73" s="21" t="n"/>
    </row>
    <row r="74" ht="22" customHeight="1">
      <c r="B74" s="25" t="n"/>
      <c r="C74" s="25" t="n"/>
      <c r="D74" s="25" t="n"/>
      <c r="E74" s="25" t="n"/>
      <c r="F74" s="26" t="n"/>
      <c r="G74" s="27" t="n"/>
      <c r="H74" s="27">
        <f>IFERROR(G74*0.05,0)</f>
        <v/>
      </c>
      <c r="I74" s="25" t="n"/>
      <c r="J74" s="28" t="n"/>
      <c r="K74" s="28" t="n"/>
      <c r="L74" s="25" t="n"/>
      <c r="M74" s="25" t="n"/>
    </row>
    <row r="75" ht="22" customHeight="1">
      <c r="B75" s="21" t="n"/>
      <c r="C75" s="21" t="n"/>
      <c r="D75" s="21" t="n"/>
      <c r="E75" s="21" t="n"/>
      <c r="F75" s="22" t="n"/>
      <c r="G75" s="23" t="n"/>
      <c r="H75" s="23">
        <f>IFERROR(G75*0.05,0)</f>
        <v/>
      </c>
      <c r="I75" s="21" t="n"/>
      <c r="J75" s="24" t="n"/>
      <c r="K75" s="24" t="n"/>
      <c r="L75" s="21" t="n"/>
      <c r="M75" s="21" t="n"/>
    </row>
    <row r="76" ht="22" customHeight="1">
      <c r="B76" s="25" t="n"/>
      <c r="C76" s="25" t="n"/>
      <c r="D76" s="25" t="n"/>
      <c r="E76" s="25" t="n"/>
      <c r="F76" s="26" t="n"/>
      <c r="G76" s="27" t="n"/>
      <c r="H76" s="27">
        <f>IFERROR(G76*0.05,0)</f>
        <v/>
      </c>
      <c r="I76" s="25" t="n"/>
      <c r="J76" s="28" t="n"/>
      <c r="K76" s="28" t="n"/>
      <c r="L76" s="25" t="n"/>
      <c r="M76" s="25" t="n"/>
    </row>
    <row r="77" ht="22" customHeight="1">
      <c r="B77" s="21" t="n"/>
      <c r="C77" s="21" t="n"/>
      <c r="D77" s="21" t="n"/>
      <c r="E77" s="21" t="n"/>
      <c r="F77" s="22" t="n"/>
      <c r="G77" s="23" t="n"/>
      <c r="H77" s="23">
        <f>IFERROR(G77*0.05,0)</f>
        <v/>
      </c>
      <c r="I77" s="21" t="n"/>
      <c r="J77" s="24" t="n"/>
      <c r="K77" s="24" t="n"/>
      <c r="L77" s="21" t="n"/>
      <c r="M77" s="21" t="n"/>
    </row>
    <row r="78" ht="22" customHeight="1">
      <c r="B78" s="25" t="n"/>
      <c r="C78" s="25" t="n"/>
      <c r="D78" s="25" t="n"/>
      <c r="E78" s="25" t="n"/>
      <c r="F78" s="26" t="n"/>
      <c r="G78" s="27" t="n"/>
      <c r="H78" s="27">
        <f>IFERROR(G78*0.05,0)</f>
        <v/>
      </c>
      <c r="I78" s="25" t="n"/>
      <c r="J78" s="28" t="n"/>
      <c r="K78" s="28" t="n"/>
      <c r="L78" s="25" t="n"/>
      <c r="M78" s="25" t="n"/>
    </row>
    <row r="79" ht="22" customHeight="1">
      <c r="B79" s="21" t="n"/>
      <c r="C79" s="21" t="n"/>
      <c r="D79" s="21" t="n"/>
      <c r="E79" s="21" t="n"/>
      <c r="F79" s="22" t="n"/>
      <c r="G79" s="23" t="n"/>
      <c r="H79" s="23">
        <f>IFERROR(G79*0.05,0)</f>
        <v/>
      </c>
      <c r="I79" s="21" t="n"/>
      <c r="J79" s="24" t="n"/>
      <c r="K79" s="24" t="n"/>
      <c r="L79" s="21" t="n"/>
      <c r="M79" s="21" t="n"/>
    </row>
    <row r="80" ht="22" customHeight="1">
      <c r="B80" s="25" t="n"/>
      <c r="C80" s="25" t="n"/>
      <c r="D80" s="25" t="n"/>
      <c r="E80" s="25" t="n"/>
      <c r="F80" s="26" t="n"/>
      <c r="G80" s="27" t="n"/>
      <c r="H80" s="27">
        <f>IFERROR(G80*0.05,0)</f>
        <v/>
      </c>
      <c r="I80" s="25" t="n"/>
      <c r="J80" s="28" t="n"/>
      <c r="K80" s="28" t="n"/>
      <c r="L80" s="25" t="n"/>
      <c r="M80" s="25" t="n"/>
    </row>
    <row r="81" ht="22" customHeight="1">
      <c r="B81" s="21" t="n"/>
      <c r="C81" s="21" t="n"/>
      <c r="D81" s="21" t="n"/>
      <c r="E81" s="21" t="n"/>
      <c r="F81" s="22" t="n"/>
      <c r="G81" s="23" t="n"/>
      <c r="H81" s="23">
        <f>IFERROR(G81*0.05,0)</f>
        <v/>
      </c>
      <c r="I81" s="21" t="n"/>
      <c r="J81" s="24" t="n"/>
      <c r="K81" s="24" t="n"/>
      <c r="L81" s="21" t="n"/>
      <c r="M81" s="21" t="n"/>
    </row>
    <row r="82" ht="22" customHeight="1">
      <c r="B82" s="25" t="n"/>
      <c r="C82" s="25" t="n"/>
      <c r="D82" s="25" t="n"/>
      <c r="E82" s="25" t="n"/>
      <c r="F82" s="26" t="n"/>
      <c r="G82" s="27" t="n"/>
      <c r="H82" s="27">
        <f>IFERROR(G82*0.05,0)</f>
        <v/>
      </c>
      <c r="I82" s="25" t="n"/>
      <c r="J82" s="28" t="n"/>
      <c r="K82" s="28" t="n"/>
      <c r="L82" s="25" t="n"/>
      <c r="M82" s="25" t="n"/>
    </row>
    <row r="83" ht="22" customHeight="1">
      <c r="B83" s="21" t="n"/>
      <c r="C83" s="21" t="n"/>
      <c r="D83" s="21" t="n"/>
      <c r="E83" s="21" t="n"/>
      <c r="F83" s="22" t="n"/>
      <c r="G83" s="23" t="n"/>
      <c r="H83" s="23">
        <f>IFERROR(G83*0.05,0)</f>
        <v/>
      </c>
      <c r="I83" s="21" t="n"/>
      <c r="J83" s="24" t="n"/>
      <c r="K83" s="24" t="n"/>
      <c r="L83" s="21" t="n"/>
      <c r="M83" s="21" t="n"/>
    </row>
    <row r="84" ht="22" customHeight="1">
      <c r="B84" s="25" t="n"/>
      <c r="C84" s="25" t="n"/>
      <c r="D84" s="25" t="n"/>
      <c r="E84" s="25" t="n"/>
      <c r="F84" s="26" t="n"/>
      <c r="G84" s="27" t="n"/>
      <c r="H84" s="27">
        <f>IFERROR(G84*0.05,0)</f>
        <v/>
      </c>
      <c r="I84" s="25" t="n"/>
      <c r="J84" s="28" t="n"/>
      <c r="K84" s="28" t="n"/>
      <c r="L84" s="25" t="n"/>
      <c r="M84" s="25" t="n"/>
    </row>
    <row r="85" ht="22" customHeight="1">
      <c r="B85" s="21" t="n"/>
      <c r="C85" s="21" t="n"/>
      <c r="D85" s="21" t="n"/>
      <c r="E85" s="21" t="n"/>
      <c r="F85" s="22" t="n"/>
      <c r="G85" s="23" t="n"/>
      <c r="H85" s="23">
        <f>IFERROR(G85*0.05,0)</f>
        <v/>
      </c>
      <c r="I85" s="21" t="n"/>
      <c r="J85" s="24" t="n"/>
      <c r="K85" s="24" t="n"/>
      <c r="L85" s="21" t="n"/>
      <c r="M85" s="21" t="n"/>
    </row>
    <row r="86" ht="22" customHeight="1">
      <c r="B86" s="25" t="n"/>
      <c r="C86" s="25" t="n"/>
      <c r="D86" s="25" t="n"/>
      <c r="E86" s="25" t="n"/>
      <c r="F86" s="26" t="n"/>
      <c r="G86" s="27" t="n"/>
      <c r="H86" s="27">
        <f>IFERROR(G86*0.05,0)</f>
        <v/>
      </c>
      <c r="I86" s="25" t="n"/>
      <c r="J86" s="28" t="n"/>
      <c r="K86" s="28" t="n"/>
      <c r="L86" s="25" t="n"/>
      <c r="M86" s="25" t="n"/>
    </row>
    <row r="87" ht="22" customHeight="1">
      <c r="B87" s="21" t="n"/>
      <c r="C87" s="21" t="n"/>
      <c r="D87" s="21" t="n"/>
      <c r="E87" s="21" t="n"/>
      <c r="F87" s="22" t="n"/>
      <c r="G87" s="23" t="n"/>
      <c r="H87" s="23">
        <f>IFERROR(G87*0.05,0)</f>
        <v/>
      </c>
      <c r="I87" s="21" t="n"/>
      <c r="J87" s="24" t="n"/>
      <c r="K87" s="24" t="n"/>
      <c r="L87" s="21" t="n"/>
      <c r="M87" s="21" t="n"/>
    </row>
    <row r="88" ht="22" customHeight="1">
      <c r="B88" s="25" t="n"/>
      <c r="C88" s="25" t="n"/>
      <c r="D88" s="25" t="n"/>
      <c r="E88" s="25" t="n"/>
      <c r="F88" s="26" t="n"/>
      <c r="G88" s="27" t="n"/>
      <c r="H88" s="27">
        <f>IFERROR(G88*0.05,0)</f>
        <v/>
      </c>
      <c r="I88" s="25" t="n"/>
      <c r="J88" s="28" t="n"/>
      <c r="K88" s="28" t="n"/>
      <c r="L88" s="25" t="n"/>
      <c r="M88" s="25" t="n"/>
    </row>
    <row r="89" ht="22" customHeight="1">
      <c r="B89" s="21" t="n"/>
      <c r="C89" s="21" t="n"/>
      <c r="D89" s="21" t="n"/>
      <c r="E89" s="21" t="n"/>
      <c r="F89" s="22" t="n"/>
      <c r="G89" s="23" t="n"/>
      <c r="H89" s="23">
        <f>IFERROR(G89*0.05,0)</f>
        <v/>
      </c>
      <c r="I89" s="21" t="n"/>
      <c r="J89" s="24" t="n"/>
      <c r="K89" s="24" t="n"/>
      <c r="L89" s="21" t="n"/>
      <c r="M89" s="21" t="n"/>
    </row>
    <row r="90" ht="22" customHeight="1">
      <c r="B90" s="25" t="n"/>
      <c r="C90" s="25" t="n"/>
      <c r="D90" s="25" t="n"/>
      <c r="E90" s="25" t="n"/>
      <c r="F90" s="26" t="n"/>
      <c r="G90" s="27" t="n"/>
      <c r="H90" s="27">
        <f>IFERROR(G90*0.05,0)</f>
        <v/>
      </c>
      <c r="I90" s="25" t="n"/>
      <c r="J90" s="28" t="n"/>
      <c r="K90" s="28" t="n"/>
      <c r="L90" s="25" t="n"/>
      <c r="M90" s="25" t="n"/>
    </row>
    <row r="91" ht="22" customHeight="1">
      <c r="B91" s="21" t="n"/>
      <c r="C91" s="21" t="n"/>
      <c r="D91" s="21" t="n"/>
      <c r="E91" s="21" t="n"/>
      <c r="F91" s="22" t="n"/>
      <c r="G91" s="23" t="n"/>
      <c r="H91" s="23">
        <f>IFERROR(G91*0.05,0)</f>
        <v/>
      </c>
      <c r="I91" s="21" t="n"/>
      <c r="J91" s="24" t="n"/>
      <c r="K91" s="24" t="n"/>
      <c r="L91" s="21" t="n"/>
      <c r="M91" s="21" t="n"/>
    </row>
    <row r="92" ht="22" customHeight="1">
      <c r="B92" s="25" t="n"/>
      <c r="C92" s="25" t="n"/>
      <c r="D92" s="25" t="n"/>
      <c r="E92" s="25" t="n"/>
      <c r="F92" s="26" t="n"/>
      <c r="G92" s="27" t="n"/>
      <c r="H92" s="27">
        <f>IFERROR(G92*0.05,0)</f>
        <v/>
      </c>
      <c r="I92" s="25" t="n"/>
      <c r="J92" s="28" t="n"/>
      <c r="K92" s="28" t="n"/>
      <c r="L92" s="25" t="n"/>
      <c r="M92" s="25" t="n"/>
    </row>
    <row r="93" ht="22" customHeight="1">
      <c r="B93" s="21" t="n"/>
      <c r="C93" s="21" t="n"/>
      <c r="D93" s="21" t="n"/>
      <c r="E93" s="21" t="n"/>
      <c r="F93" s="22" t="n"/>
      <c r="G93" s="23" t="n"/>
      <c r="H93" s="23">
        <f>IFERROR(G93*0.05,0)</f>
        <v/>
      </c>
      <c r="I93" s="21" t="n"/>
      <c r="J93" s="24" t="n"/>
      <c r="K93" s="24" t="n"/>
      <c r="L93" s="21" t="n"/>
      <c r="M93" s="21" t="n"/>
    </row>
    <row r="94" ht="22" customHeight="1">
      <c r="B94" s="25" t="n"/>
      <c r="C94" s="25" t="n"/>
      <c r="D94" s="25" t="n"/>
      <c r="E94" s="25" t="n"/>
      <c r="F94" s="26" t="n"/>
      <c r="G94" s="27" t="n"/>
      <c r="H94" s="27">
        <f>IFERROR(G94*0.05,0)</f>
        <v/>
      </c>
      <c r="I94" s="25" t="n"/>
      <c r="J94" s="28" t="n"/>
      <c r="K94" s="28" t="n"/>
      <c r="L94" s="25" t="n"/>
      <c r="M94" s="25" t="n"/>
    </row>
    <row r="95" ht="22" customHeight="1">
      <c r="B95" s="21" t="n"/>
      <c r="C95" s="21" t="n"/>
      <c r="D95" s="21" t="n"/>
      <c r="E95" s="21" t="n"/>
      <c r="F95" s="22" t="n"/>
      <c r="G95" s="23" t="n"/>
      <c r="H95" s="23">
        <f>IFERROR(G95*0.05,0)</f>
        <v/>
      </c>
      <c r="I95" s="21" t="n"/>
      <c r="J95" s="24" t="n"/>
      <c r="K95" s="24" t="n"/>
      <c r="L95" s="21" t="n"/>
      <c r="M95" s="21" t="n"/>
    </row>
    <row r="96" ht="22" customHeight="1">
      <c r="B96" s="25" t="n"/>
      <c r="C96" s="25" t="n"/>
      <c r="D96" s="25" t="n"/>
      <c r="E96" s="25" t="n"/>
      <c r="F96" s="26" t="n"/>
      <c r="G96" s="27" t="n"/>
      <c r="H96" s="27">
        <f>IFERROR(G96*0.05,0)</f>
        <v/>
      </c>
      <c r="I96" s="25" t="n"/>
      <c r="J96" s="28" t="n"/>
      <c r="K96" s="28" t="n"/>
      <c r="L96" s="25" t="n"/>
      <c r="M96" s="25" t="n"/>
    </row>
    <row r="97" ht="22" customHeight="1">
      <c r="B97" s="21" t="n"/>
      <c r="C97" s="21" t="n"/>
      <c r="D97" s="21" t="n"/>
      <c r="E97" s="21" t="n"/>
      <c r="F97" s="22" t="n"/>
      <c r="G97" s="23" t="n"/>
      <c r="H97" s="23">
        <f>IFERROR(G97*0.05,0)</f>
        <v/>
      </c>
      <c r="I97" s="21" t="n"/>
      <c r="J97" s="24" t="n"/>
      <c r="K97" s="24" t="n"/>
      <c r="L97" s="21" t="n"/>
      <c r="M97" s="21" t="n"/>
    </row>
    <row r="98" ht="22" customHeight="1">
      <c r="B98" s="25" t="n"/>
      <c r="C98" s="25" t="n"/>
      <c r="D98" s="25" t="n"/>
      <c r="E98" s="25" t="n"/>
      <c r="F98" s="26" t="n"/>
      <c r="G98" s="27" t="n"/>
      <c r="H98" s="27">
        <f>IFERROR(G98*0.05,0)</f>
        <v/>
      </c>
      <c r="I98" s="25" t="n"/>
      <c r="J98" s="28" t="n"/>
      <c r="K98" s="28" t="n"/>
      <c r="L98" s="25" t="n"/>
      <c r="M98" s="25" t="n"/>
    </row>
    <row r="99" ht="22" customHeight="1">
      <c r="B99" s="21" t="n"/>
      <c r="C99" s="21" t="n"/>
      <c r="D99" s="21" t="n"/>
      <c r="E99" s="21" t="n"/>
      <c r="F99" s="22" t="n"/>
      <c r="G99" s="23" t="n"/>
      <c r="H99" s="23">
        <f>IFERROR(G99*0.05,0)</f>
        <v/>
      </c>
      <c r="I99" s="21" t="n"/>
      <c r="J99" s="24" t="n"/>
      <c r="K99" s="24" t="n"/>
      <c r="L99" s="21" t="n"/>
      <c r="M99" s="21" t="n"/>
    </row>
    <row r="100" ht="22" customHeight="1">
      <c r="B100" s="25" t="n"/>
      <c r="C100" s="25" t="n"/>
      <c r="D100" s="25" t="n"/>
      <c r="E100" s="25" t="n"/>
      <c r="F100" s="26" t="n"/>
      <c r="G100" s="27" t="n"/>
      <c r="H100" s="27">
        <f>IFERROR(G100*0.05,0)</f>
        <v/>
      </c>
      <c r="I100" s="25" t="n"/>
      <c r="J100" s="28" t="n"/>
      <c r="K100" s="28" t="n"/>
      <c r="L100" s="25" t="n"/>
      <c r="M100" s="25" t="n"/>
    </row>
    <row r="101" ht="22" customHeight="1">
      <c r="B101" s="21" t="n"/>
      <c r="C101" s="21" t="n"/>
      <c r="D101" s="21" t="n"/>
      <c r="E101" s="21" t="n"/>
      <c r="F101" s="22" t="n"/>
      <c r="G101" s="23" t="n"/>
      <c r="H101" s="23">
        <f>IFERROR(G101*0.05,0)</f>
        <v/>
      </c>
      <c r="I101" s="21" t="n"/>
      <c r="J101" s="24" t="n"/>
      <c r="K101" s="24" t="n"/>
      <c r="L101" s="21" t="n"/>
      <c r="M101" s="21" t="n"/>
    </row>
    <row r="102" ht="22" customHeight="1">
      <c r="B102" s="25" t="n"/>
      <c r="C102" s="25" t="n"/>
      <c r="D102" s="25" t="n"/>
      <c r="E102" s="25" t="n"/>
      <c r="F102" s="26" t="n"/>
      <c r="G102" s="27" t="n"/>
      <c r="H102" s="27">
        <f>IFERROR(G102*0.05,0)</f>
        <v/>
      </c>
      <c r="I102" s="25" t="n"/>
      <c r="J102" s="28" t="n"/>
      <c r="K102" s="28" t="n"/>
      <c r="L102" s="25" t="n"/>
      <c r="M102" s="25" t="n"/>
    </row>
    <row r="103" ht="22" customHeight="1">
      <c r="B103" s="21" t="n"/>
      <c r="C103" s="21" t="n"/>
      <c r="D103" s="21" t="n"/>
      <c r="E103" s="21" t="n"/>
      <c r="F103" s="22" t="n"/>
      <c r="G103" s="23" t="n"/>
      <c r="H103" s="23">
        <f>IFERROR(G103*0.05,0)</f>
        <v/>
      </c>
      <c r="I103" s="21" t="n"/>
      <c r="J103" s="24" t="n"/>
      <c r="K103" s="24" t="n"/>
      <c r="L103" s="21" t="n"/>
      <c r="M103" s="21" t="n"/>
    </row>
    <row r="104" ht="22" customHeight="1">
      <c r="B104" s="25" t="n"/>
      <c r="C104" s="25" t="n"/>
      <c r="D104" s="25" t="n"/>
      <c r="E104" s="25" t="n"/>
      <c r="F104" s="26" t="n"/>
      <c r="G104" s="27" t="n"/>
      <c r="H104" s="27">
        <f>IFERROR(G104*0.05,0)</f>
        <v/>
      </c>
      <c r="I104" s="25" t="n"/>
      <c r="J104" s="28" t="n"/>
      <c r="K104" s="28" t="n"/>
      <c r="L104" s="25" t="n"/>
      <c r="M104" s="25" t="n"/>
    </row>
    <row r="105" ht="22" customHeight="1">
      <c r="B105" s="21" t="n"/>
      <c r="C105" s="21" t="n"/>
      <c r="D105" s="21" t="n"/>
      <c r="E105" s="21" t="n"/>
      <c r="F105" s="22" t="n"/>
      <c r="G105" s="23" t="n"/>
      <c r="H105" s="23">
        <f>IFERROR(G105*0.05,0)</f>
        <v/>
      </c>
      <c r="I105" s="21" t="n"/>
      <c r="J105" s="24" t="n"/>
      <c r="K105" s="24" t="n"/>
      <c r="L105" s="21" t="n"/>
      <c r="M105" s="21" t="n"/>
    </row>
    <row r="106" ht="22" customHeight="1">
      <c r="B106" s="25" t="n"/>
      <c r="C106" s="25" t="n"/>
      <c r="D106" s="25" t="n"/>
      <c r="E106" s="25" t="n"/>
      <c r="F106" s="26" t="n"/>
      <c r="G106" s="27" t="n"/>
      <c r="H106" s="27">
        <f>IFERROR(G106*0.05,0)</f>
        <v/>
      </c>
      <c r="I106" s="25" t="n"/>
      <c r="J106" s="28" t="n"/>
      <c r="K106" s="28" t="n"/>
      <c r="L106" s="25" t="n"/>
      <c r="M106" s="25" t="n"/>
    </row>
    <row r="107" ht="22" customHeight="1">
      <c r="B107" s="21" t="n"/>
      <c r="C107" s="21" t="n"/>
      <c r="D107" s="21" t="n"/>
      <c r="E107" s="21" t="n"/>
      <c r="F107" s="22" t="n"/>
      <c r="G107" s="23" t="n"/>
      <c r="H107" s="23">
        <f>IFERROR(G107*0.05,0)</f>
        <v/>
      </c>
      <c r="I107" s="21" t="n"/>
      <c r="J107" s="24" t="n"/>
      <c r="K107" s="24" t="n"/>
      <c r="L107" s="21" t="n"/>
      <c r="M107" s="21" t="n"/>
    </row>
    <row r="108" ht="22" customHeight="1">
      <c r="B108" s="25" t="n"/>
      <c r="C108" s="25" t="n"/>
      <c r="D108" s="25" t="n"/>
      <c r="E108" s="25" t="n"/>
      <c r="F108" s="26" t="n"/>
      <c r="G108" s="27" t="n"/>
      <c r="H108" s="27">
        <f>IFERROR(G108*0.05,0)</f>
        <v/>
      </c>
      <c r="I108" s="25" t="n"/>
      <c r="J108" s="28" t="n"/>
      <c r="K108" s="28" t="n"/>
      <c r="L108" s="25" t="n"/>
      <c r="M108" s="25" t="n"/>
    </row>
    <row r="109" ht="22" customHeight="1">
      <c r="B109" s="21" t="n"/>
      <c r="C109" s="21" t="n"/>
      <c r="D109" s="21" t="n"/>
      <c r="E109" s="21" t="n"/>
      <c r="F109" s="22" t="n"/>
      <c r="G109" s="23" t="n"/>
      <c r="H109" s="23">
        <f>IFERROR(G109*0.05,0)</f>
        <v/>
      </c>
      <c r="I109" s="21" t="n"/>
      <c r="J109" s="24" t="n"/>
      <c r="K109" s="24" t="n"/>
      <c r="L109" s="21" t="n"/>
      <c r="M109" s="21" t="n"/>
    </row>
    <row r="110" ht="22" customHeight="1">
      <c r="B110" s="25" t="n"/>
      <c r="C110" s="25" t="n"/>
      <c r="D110" s="25" t="n"/>
      <c r="E110" s="25" t="n"/>
      <c r="F110" s="26" t="n"/>
      <c r="G110" s="27" t="n"/>
      <c r="H110" s="27">
        <f>IFERROR(G110*0.05,0)</f>
        <v/>
      </c>
      <c r="I110" s="25" t="n"/>
      <c r="J110" s="28" t="n"/>
      <c r="K110" s="28" t="n"/>
      <c r="L110" s="25" t="n"/>
      <c r="M110" s="25" t="n"/>
    </row>
    <row r="111" ht="22" customHeight="1">
      <c r="B111" s="21" t="n"/>
      <c r="C111" s="21" t="n"/>
      <c r="D111" s="21" t="n"/>
      <c r="E111" s="21" t="n"/>
      <c r="F111" s="22" t="n"/>
      <c r="G111" s="23" t="n"/>
      <c r="H111" s="23">
        <f>IFERROR(G111*0.05,0)</f>
        <v/>
      </c>
      <c r="I111" s="21" t="n"/>
      <c r="J111" s="24" t="n"/>
      <c r="K111" s="24" t="n"/>
      <c r="L111" s="21" t="n"/>
      <c r="M111" s="21" t="n"/>
    </row>
    <row r="112" ht="22" customHeight="1">
      <c r="B112" s="25" t="n"/>
      <c r="C112" s="25" t="n"/>
      <c r="D112" s="25" t="n"/>
      <c r="E112" s="25" t="n"/>
      <c r="F112" s="26" t="n"/>
      <c r="G112" s="27" t="n"/>
      <c r="H112" s="27">
        <f>IFERROR(G112*0.05,0)</f>
        <v/>
      </c>
      <c r="I112" s="25" t="n"/>
      <c r="J112" s="28" t="n"/>
      <c r="K112" s="28" t="n"/>
      <c r="L112" s="25" t="n"/>
      <c r="M112" s="25" t="n"/>
    </row>
    <row r="113" ht="22" customHeight="1">
      <c r="B113" s="21" t="n"/>
      <c r="C113" s="21" t="n"/>
      <c r="D113" s="21" t="n"/>
      <c r="E113" s="21" t="n"/>
      <c r="F113" s="22" t="n"/>
      <c r="G113" s="23" t="n"/>
      <c r="H113" s="23">
        <f>IFERROR(G113*0.05,0)</f>
        <v/>
      </c>
      <c r="I113" s="21" t="n"/>
      <c r="J113" s="24" t="n"/>
      <c r="K113" s="24" t="n"/>
      <c r="L113" s="21" t="n"/>
      <c r="M113" s="21" t="n"/>
    </row>
    <row r="114" ht="22" customHeight="1">
      <c r="B114" s="25" t="n"/>
      <c r="C114" s="25" t="n"/>
      <c r="D114" s="25" t="n"/>
      <c r="E114" s="25" t="n"/>
      <c r="F114" s="26" t="n"/>
      <c r="G114" s="27" t="n"/>
      <c r="H114" s="27">
        <f>IFERROR(G114*0.05,0)</f>
        <v/>
      </c>
      <c r="I114" s="25" t="n"/>
      <c r="J114" s="28" t="n"/>
      <c r="K114" s="28" t="n"/>
      <c r="L114" s="25" t="n"/>
      <c r="M114" s="25" t="n"/>
    </row>
    <row r="115" ht="22" customHeight="1">
      <c r="B115" s="21" t="n"/>
      <c r="C115" s="21" t="n"/>
      <c r="D115" s="21" t="n"/>
      <c r="E115" s="21" t="n"/>
      <c r="F115" s="22" t="n"/>
      <c r="G115" s="23" t="n"/>
      <c r="H115" s="23">
        <f>IFERROR(G115*0.05,0)</f>
        <v/>
      </c>
      <c r="I115" s="21" t="n"/>
      <c r="J115" s="24" t="n"/>
      <c r="K115" s="24" t="n"/>
      <c r="L115" s="21" t="n"/>
      <c r="M115" s="21" t="n"/>
    </row>
    <row r="116" ht="22" customHeight="1">
      <c r="B116" s="25" t="n"/>
      <c r="C116" s="25" t="n"/>
      <c r="D116" s="25" t="n"/>
      <c r="E116" s="25" t="n"/>
      <c r="F116" s="26" t="n"/>
      <c r="G116" s="27" t="n"/>
      <c r="H116" s="27">
        <f>IFERROR(G116*0.05,0)</f>
        <v/>
      </c>
      <c r="I116" s="25" t="n"/>
      <c r="J116" s="28" t="n"/>
      <c r="K116" s="28" t="n"/>
      <c r="L116" s="25" t="n"/>
      <c r="M116" s="25" t="n"/>
    </row>
    <row r="117" ht="22" customHeight="1">
      <c r="B117" s="21" t="n"/>
      <c r="C117" s="21" t="n"/>
      <c r="D117" s="21" t="n"/>
      <c r="E117" s="21" t="n"/>
      <c r="F117" s="22" t="n"/>
      <c r="G117" s="23" t="n"/>
      <c r="H117" s="23">
        <f>IFERROR(G117*0.05,0)</f>
        <v/>
      </c>
      <c r="I117" s="21" t="n"/>
      <c r="J117" s="24" t="n"/>
      <c r="K117" s="24" t="n"/>
      <c r="L117" s="21" t="n"/>
      <c r="M117" s="21" t="n"/>
    </row>
    <row r="118" ht="22" customHeight="1">
      <c r="B118" s="25" t="n"/>
      <c r="C118" s="25" t="n"/>
      <c r="D118" s="25" t="n"/>
      <c r="E118" s="25" t="n"/>
      <c r="F118" s="26" t="n"/>
      <c r="G118" s="27" t="n"/>
      <c r="H118" s="27">
        <f>IFERROR(G118*0.05,0)</f>
        <v/>
      </c>
      <c r="I118" s="25" t="n"/>
      <c r="J118" s="28" t="n"/>
      <c r="K118" s="28" t="n"/>
      <c r="L118" s="25" t="n"/>
      <c r="M118" s="25" t="n"/>
    </row>
    <row r="119" ht="22" customHeight="1">
      <c r="B119" s="21" t="n"/>
      <c r="C119" s="21" t="n"/>
      <c r="D119" s="21" t="n"/>
      <c r="E119" s="21" t="n"/>
      <c r="F119" s="22" t="n"/>
      <c r="G119" s="23" t="n"/>
      <c r="H119" s="23">
        <f>IFERROR(G119*0.05,0)</f>
        <v/>
      </c>
      <c r="I119" s="21" t="n"/>
      <c r="J119" s="24" t="n"/>
      <c r="K119" s="24" t="n"/>
      <c r="L119" s="21" t="n"/>
      <c r="M119" s="21" t="n"/>
    </row>
    <row r="120" ht="22" customHeight="1">
      <c r="B120" s="25" t="n"/>
      <c r="C120" s="25" t="n"/>
      <c r="D120" s="25" t="n"/>
      <c r="E120" s="25" t="n"/>
      <c r="F120" s="26" t="n"/>
      <c r="G120" s="27" t="n"/>
      <c r="H120" s="27">
        <f>IFERROR(G120*0.05,0)</f>
        <v/>
      </c>
      <c r="I120" s="25" t="n"/>
      <c r="J120" s="28" t="n"/>
      <c r="K120" s="28" t="n"/>
      <c r="L120" s="25" t="n"/>
      <c r="M120" s="25" t="n"/>
    </row>
    <row r="121" ht="22" customHeight="1">
      <c r="B121" s="21" t="n"/>
      <c r="C121" s="21" t="n"/>
      <c r="D121" s="21" t="n"/>
      <c r="E121" s="21" t="n"/>
      <c r="F121" s="22" t="n"/>
      <c r="G121" s="23" t="n"/>
      <c r="H121" s="23">
        <f>IFERROR(G121*0.05,0)</f>
        <v/>
      </c>
      <c r="I121" s="21" t="n"/>
      <c r="J121" s="24" t="n"/>
      <c r="K121" s="24" t="n"/>
      <c r="L121" s="21" t="n"/>
      <c r="M121" s="21" t="n"/>
    </row>
    <row r="122" ht="22" customHeight="1">
      <c r="B122" s="25" t="n"/>
      <c r="C122" s="25" t="n"/>
      <c r="D122" s="25" t="n"/>
      <c r="E122" s="25" t="n"/>
      <c r="F122" s="26" t="n"/>
      <c r="G122" s="27" t="n"/>
      <c r="H122" s="27">
        <f>IFERROR(G122*0.05,0)</f>
        <v/>
      </c>
      <c r="I122" s="25" t="n"/>
      <c r="J122" s="28" t="n"/>
      <c r="K122" s="28" t="n"/>
      <c r="L122" s="25" t="n"/>
      <c r="M122" s="25" t="n"/>
    </row>
    <row r="123" ht="22" customHeight="1">
      <c r="B123" s="21" t="n"/>
      <c r="C123" s="21" t="n"/>
      <c r="D123" s="21" t="n"/>
      <c r="E123" s="21" t="n"/>
      <c r="F123" s="22" t="n"/>
      <c r="G123" s="23" t="n"/>
      <c r="H123" s="23">
        <f>IFERROR(G123*0.05,0)</f>
        <v/>
      </c>
      <c r="I123" s="21" t="n"/>
      <c r="J123" s="24" t="n"/>
      <c r="K123" s="24" t="n"/>
      <c r="L123" s="21" t="n"/>
      <c r="M123" s="21" t="n"/>
    </row>
    <row r="124" ht="22" customHeight="1">
      <c r="B124" s="25" t="n"/>
      <c r="C124" s="25" t="n"/>
      <c r="D124" s="25" t="n"/>
      <c r="E124" s="25" t="n"/>
      <c r="F124" s="26" t="n"/>
      <c r="G124" s="27" t="n"/>
      <c r="H124" s="27">
        <f>IFERROR(G124*0.05,0)</f>
        <v/>
      </c>
      <c r="I124" s="25" t="n"/>
      <c r="J124" s="28" t="n"/>
      <c r="K124" s="28" t="n"/>
      <c r="L124" s="25" t="n"/>
      <c r="M124" s="25" t="n"/>
    </row>
    <row r="125" ht="22" customHeight="1">
      <c r="B125" s="21" t="n"/>
      <c r="C125" s="21" t="n"/>
      <c r="D125" s="21" t="n"/>
      <c r="E125" s="21" t="n"/>
      <c r="F125" s="22" t="n"/>
      <c r="G125" s="23" t="n"/>
      <c r="H125" s="23">
        <f>IFERROR(G125*0.05,0)</f>
        <v/>
      </c>
      <c r="I125" s="21" t="n"/>
      <c r="J125" s="24" t="n"/>
      <c r="K125" s="24" t="n"/>
      <c r="L125" s="21" t="n"/>
      <c r="M125" s="21" t="n"/>
    </row>
    <row r="126" ht="22" customHeight="1">
      <c r="B126" s="25" t="n"/>
      <c r="C126" s="25" t="n"/>
      <c r="D126" s="25" t="n"/>
      <c r="E126" s="25" t="n"/>
      <c r="F126" s="26" t="n"/>
      <c r="G126" s="27" t="n"/>
      <c r="H126" s="27">
        <f>IFERROR(G126*0.05,0)</f>
        <v/>
      </c>
      <c r="I126" s="25" t="n"/>
      <c r="J126" s="28" t="n"/>
      <c r="K126" s="28" t="n"/>
      <c r="L126" s="25" t="n"/>
      <c r="M126" s="25" t="n"/>
    </row>
    <row r="127" ht="22" customHeight="1">
      <c r="B127" s="21" t="n"/>
      <c r="C127" s="21" t="n"/>
      <c r="D127" s="21" t="n"/>
      <c r="E127" s="21" t="n"/>
      <c r="F127" s="22" t="n"/>
      <c r="G127" s="23" t="n"/>
      <c r="H127" s="23">
        <f>IFERROR(G127*0.05,0)</f>
        <v/>
      </c>
      <c r="I127" s="21" t="n"/>
      <c r="J127" s="24" t="n"/>
      <c r="K127" s="24" t="n"/>
      <c r="L127" s="21" t="n"/>
      <c r="M127" s="21" t="n"/>
    </row>
    <row r="128" ht="22" customHeight="1">
      <c r="B128" s="25" t="n"/>
      <c r="C128" s="25" t="n"/>
      <c r="D128" s="25" t="n"/>
      <c r="E128" s="25" t="n"/>
      <c r="F128" s="26" t="n"/>
      <c r="G128" s="27" t="n"/>
      <c r="H128" s="27">
        <f>IFERROR(G128*0.05,0)</f>
        <v/>
      </c>
      <c r="I128" s="25" t="n"/>
      <c r="J128" s="28" t="n"/>
      <c r="K128" s="28" t="n"/>
      <c r="L128" s="25" t="n"/>
      <c r="M128" s="25" t="n"/>
    </row>
    <row r="129" ht="22" customHeight="1">
      <c r="B129" s="21" t="n"/>
      <c r="C129" s="21" t="n"/>
      <c r="D129" s="21" t="n"/>
      <c r="E129" s="21" t="n"/>
      <c r="F129" s="22" t="n"/>
      <c r="G129" s="23" t="n"/>
      <c r="H129" s="23">
        <f>IFERROR(G129*0.05,0)</f>
        <v/>
      </c>
      <c r="I129" s="21" t="n"/>
      <c r="J129" s="24" t="n"/>
      <c r="K129" s="24" t="n"/>
      <c r="L129" s="21" t="n"/>
      <c r="M129" s="21" t="n"/>
    </row>
    <row r="130" ht="22" customHeight="1">
      <c r="B130" s="25" t="n"/>
      <c r="C130" s="25" t="n"/>
      <c r="D130" s="25" t="n"/>
      <c r="E130" s="25" t="n"/>
      <c r="F130" s="26" t="n"/>
      <c r="G130" s="27" t="n"/>
      <c r="H130" s="27">
        <f>IFERROR(G130*0.05,0)</f>
        <v/>
      </c>
      <c r="I130" s="25" t="n"/>
      <c r="J130" s="28" t="n"/>
      <c r="K130" s="28" t="n"/>
      <c r="L130" s="25" t="n"/>
      <c r="M130" s="25" t="n"/>
    </row>
    <row r="131" ht="22" customHeight="1">
      <c r="B131" s="21" t="n"/>
      <c r="C131" s="21" t="n"/>
      <c r="D131" s="21" t="n"/>
      <c r="E131" s="21" t="n"/>
      <c r="F131" s="22" t="n"/>
      <c r="G131" s="23" t="n"/>
      <c r="H131" s="23">
        <f>IFERROR(G131*0.05,0)</f>
        <v/>
      </c>
      <c r="I131" s="21" t="n"/>
      <c r="J131" s="24" t="n"/>
      <c r="K131" s="24" t="n"/>
      <c r="L131" s="21" t="n"/>
      <c r="M131" s="21" t="n"/>
    </row>
    <row r="132" ht="22" customHeight="1">
      <c r="B132" s="25" t="n"/>
      <c r="C132" s="25" t="n"/>
      <c r="D132" s="25" t="n"/>
      <c r="E132" s="25" t="n"/>
      <c r="F132" s="26" t="n"/>
      <c r="G132" s="27" t="n"/>
      <c r="H132" s="27">
        <f>IFERROR(G132*0.05,0)</f>
        <v/>
      </c>
      <c r="I132" s="25" t="n"/>
      <c r="J132" s="28" t="n"/>
      <c r="K132" s="28" t="n"/>
      <c r="L132" s="25" t="n"/>
      <c r="M132" s="25" t="n"/>
    </row>
    <row r="133" ht="22" customHeight="1">
      <c r="B133" s="21" t="n"/>
      <c r="C133" s="21" t="n"/>
      <c r="D133" s="21" t="n"/>
      <c r="E133" s="21" t="n"/>
      <c r="F133" s="22" t="n"/>
      <c r="G133" s="23" t="n"/>
      <c r="H133" s="23">
        <f>IFERROR(G133*0.05,0)</f>
        <v/>
      </c>
      <c r="I133" s="21" t="n"/>
      <c r="J133" s="24" t="n"/>
      <c r="K133" s="24" t="n"/>
      <c r="L133" s="21" t="n"/>
      <c r="M133" s="21" t="n"/>
    </row>
    <row r="134" ht="22" customHeight="1">
      <c r="B134" s="25" t="n"/>
      <c r="C134" s="25" t="n"/>
      <c r="D134" s="25" t="n"/>
      <c r="E134" s="25" t="n"/>
      <c r="F134" s="26" t="n"/>
      <c r="G134" s="27" t="n"/>
      <c r="H134" s="27">
        <f>IFERROR(G134*0.05,0)</f>
        <v/>
      </c>
      <c r="I134" s="25" t="n"/>
      <c r="J134" s="28" t="n"/>
      <c r="K134" s="28" t="n"/>
      <c r="L134" s="25" t="n"/>
      <c r="M134" s="25" t="n"/>
    </row>
    <row r="135" ht="22" customHeight="1">
      <c r="B135" s="21" t="n"/>
      <c r="C135" s="21" t="n"/>
      <c r="D135" s="21" t="n"/>
      <c r="E135" s="21" t="n"/>
      <c r="F135" s="22" t="n"/>
      <c r="G135" s="23" t="n"/>
      <c r="H135" s="23">
        <f>IFERROR(G135*0.05,0)</f>
        <v/>
      </c>
      <c r="I135" s="21" t="n"/>
      <c r="J135" s="24" t="n"/>
      <c r="K135" s="24" t="n"/>
      <c r="L135" s="21" t="n"/>
      <c r="M135" s="21" t="n"/>
    </row>
    <row r="136" ht="22" customHeight="1">
      <c r="B136" s="25" t="n"/>
      <c r="C136" s="25" t="n"/>
      <c r="D136" s="25" t="n"/>
      <c r="E136" s="25" t="n"/>
      <c r="F136" s="26" t="n"/>
      <c r="G136" s="27" t="n"/>
      <c r="H136" s="27">
        <f>IFERROR(G136*0.05,0)</f>
        <v/>
      </c>
      <c r="I136" s="25" t="n"/>
      <c r="J136" s="28" t="n"/>
      <c r="K136" s="28" t="n"/>
      <c r="L136" s="25" t="n"/>
      <c r="M136" s="25" t="n"/>
    </row>
    <row r="137" ht="22" customHeight="1">
      <c r="B137" s="21" t="n"/>
      <c r="C137" s="21" t="n"/>
      <c r="D137" s="21" t="n"/>
      <c r="E137" s="21" t="n"/>
      <c r="F137" s="22" t="n"/>
      <c r="G137" s="23" t="n"/>
      <c r="H137" s="23">
        <f>IFERROR(G137*0.05,0)</f>
        <v/>
      </c>
      <c r="I137" s="21" t="n"/>
      <c r="J137" s="24" t="n"/>
      <c r="K137" s="24" t="n"/>
      <c r="L137" s="21" t="n"/>
      <c r="M137" s="21" t="n"/>
    </row>
    <row r="138" ht="22" customHeight="1">
      <c r="B138" s="25" t="n"/>
      <c r="C138" s="25" t="n"/>
      <c r="D138" s="25" t="n"/>
      <c r="E138" s="25" t="n"/>
      <c r="F138" s="26" t="n"/>
      <c r="G138" s="27" t="n"/>
      <c r="H138" s="27">
        <f>IFERROR(G138*0.05,0)</f>
        <v/>
      </c>
      <c r="I138" s="25" t="n"/>
      <c r="J138" s="28" t="n"/>
      <c r="K138" s="28" t="n"/>
      <c r="L138" s="25" t="n"/>
      <c r="M138" s="25" t="n"/>
    </row>
    <row r="139" ht="22" customHeight="1">
      <c r="B139" s="21" t="n"/>
      <c r="C139" s="21" t="n"/>
      <c r="D139" s="21" t="n"/>
      <c r="E139" s="21" t="n"/>
      <c r="F139" s="22" t="n"/>
      <c r="G139" s="23" t="n"/>
      <c r="H139" s="23">
        <f>IFERROR(G139*0.05,0)</f>
        <v/>
      </c>
      <c r="I139" s="21" t="n"/>
      <c r="J139" s="24" t="n"/>
      <c r="K139" s="24" t="n"/>
      <c r="L139" s="21" t="n"/>
      <c r="M139" s="21" t="n"/>
    </row>
    <row r="140" ht="22" customHeight="1">
      <c r="B140" s="25" t="n"/>
      <c r="C140" s="25" t="n"/>
      <c r="D140" s="25" t="n"/>
      <c r="E140" s="25" t="n"/>
      <c r="F140" s="26" t="n"/>
      <c r="G140" s="27" t="n"/>
      <c r="H140" s="27">
        <f>IFERROR(G140*0.05,0)</f>
        <v/>
      </c>
      <c r="I140" s="25" t="n"/>
      <c r="J140" s="28" t="n"/>
      <c r="K140" s="28" t="n"/>
      <c r="L140" s="25" t="n"/>
      <c r="M140" s="25" t="n"/>
    </row>
    <row r="141" ht="22" customHeight="1">
      <c r="B141" s="21" t="n"/>
      <c r="C141" s="21" t="n"/>
      <c r="D141" s="21" t="n"/>
      <c r="E141" s="21" t="n"/>
      <c r="F141" s="22" t="n"/>
      <c r="G141" s="23" t="n"/>
      <c r="H141" s="23">
        <f>IFERROR(G141*0.05,0)</f>
        <v/>
      </c>
      <c r="I141" s="21" t="n"/>
      <c r="J141" s="24" t="n"/>
      <c r="K141" s="24" t="n"/>
      <c r="L141" s="21" t="n"/>
      <c r="M141" s="21" t="n"/>
    </row>
    <row r="142" ht="22" customHeight="1">
      <c r="B142" s="25" t="n"/>
      <c r="C142" s="25" t="n"/>
      <c r="D142" s="25" t="n"/>
      <c r="E142" s="25" t="n"/>
      <c r="F142" s="26" t="n"/>
      <c r="G142" s="27" t="n"/>
      <c r="H142" s="27">
        <f>IFERROR(G142*0.05,0)</f>
        <v/>
      </c>
      <c r="I142" s="25" t="n"/>
      <c r="J142" s="28" t="n"/>
      <c r="K142" s="28" t="n"/>
      <c r="L142" s="25" t="n"/>
      <c r="M142" s="25" t="n"/>
    </row>
    <row r="143" ht="22" customHeight="1">
      <c r="B143" s="21" t="n"/>
      <c r="C143" s="21" t="n"/>
      <c r="D143" s="21" t="n"/>
      <c r="E143" s="21" t="n"/>
      <c r="F143" s="22" t="n"/>
      <c r="G143" s="23" t="n"/>
      <c r="H143" s="23">
        <f>IFERROR(G143*0.05,0)</f>
        <v/>
      </c>
      <c r="I143" s="21" t="n"/>
      <c r="J143" s="24" t="n"/>
      <c r="K143" s="24" t="n"/>
      <c r="L143" s="21" t="n"/>
      <c r="M143" s="21" t="n"/>
    </row>
    <row r="144" ht="22" customHeight="1">
      <c r="B144" s="25" t="n"/>
      <c r="C144" s="25" t="n"/>
      <c r="D144" s="25" t="n"/>
      <c r="E144" s="25" t="n"/>
      <c r="F144" s="26" t="n"/>
      <c r="G144" s="27" t="n"/>
      <c r="H144" s="27">
        <f>IFERROR(G144*0.05,0)</f>
        <v/>
      </c>
      <c r="I144" s="25" t="n"/>
      <c r="J144" s="28" t="n"/>
      <c r="K144" s="28" t="n"/>
      <c r="L144" s="25" t="n"/>
      <c r="M144" s="25" t="n"/>
    </row>
    <row r="145" ht="22" customHeight="1">
      <c r="B145" s="21" t="n"/>
      <c r="C145" s="21" t="n"/>
      <c r="D145" s="21" t="n"/>
      <c r="E145" s="21" t="n"/>
      <c r="F145" s="22" t="n"/>
      <c r="G145" s="23" t="n"/>
      <c r="H145" s="23">
        <f>IFERROR(G145*0.05,0)</f>
        <v/>
      </c>
      <c r="I145" s="21" t="n"/>
      <c r="J145" s="24" t="n"/>
      <c r="K145" s="24" t="n"/>
      <c r="L145" s="21" t="n"/>
      <c r="M145" s="21" t="n"/>
    </row>
    <row r="146" ht="22" customHeight="1">
      <c r="B146" s="25" t="n"/>
      <c r="C146" s="25" t="n"/>
      <c r="D146" s="25" t="n"/>
      <c r="E146" s="25" t="n"/>
      <c r="F146" s="26" t="n"/>
      <c r="G146" s="27" t="n"/>
      <c r="H146" s="27">
        <f>IFERROR(G146*0.05,0)</f>
        <v/>
      </c>
      <c r="I146" s="25" t="n"/>
      <c r="J146" s="28" t="n"/>
      <c r="K146" s="28" t="n"/>
      <c r="L146" s="25" t="n"/>
      <c r="M146" s="25" t="n"/>
    </row>
    <row r="147" ht="22" customHeight="1">
      <c r="B147" s="21" t="n"/>
      <c r="C147" s="21" t="n"/>
      <c r="D147" s="21" t="n"/>
      <c r="E147" s="21" t="n"/>
      <c r="F147" s="22" t="n"/>
      <c r="G147" s="23" t="n"/>
      <c r="H147" s="23">
        <f>IFERROR(G147*0.05,0)</f>
        <v/>
      </c>
      <c r="I147" s="21" t="n"/>
      <c r="J147" s="24" t="n"/>
      <c r="K147" s="24" t="n"/>
      <c r="L147" s="21" t="n"/>
      <c r="M147" s="21" t="n"/>
    </row>
    <row r="148" ht="22" customHeight="1">
      <c r="B148" s="25" t="n"/>
      <c r="C148" s="25" t="n"/>
      <c r="D148" s="25" t="n"/>
      <c r="E148" s="25" t="n"/>
      <c r="F148" s="26" t="n"/>
      <c r="G148" s="27" t="n"/>
      <c r="H148" s="27">
        <f>IFERROR(G148*0.05,0)</f>
        <v/>
      </c>
      <c r="I148" s="25" t="n"/>
      <c r="J148" s="28" t="n"/>
      <c r="K148" s="28" t="n"/>
      <c r="L148" s="25" t="n"/>
      <c r="M148" s="25" t="n"/>
    </row>
    <row r="149" ht="22" customHeight="1">
      <c r="B149" s="21" t="n"/>
      <c r="C149" s="21" t="n"/>
      <c r="D149" s="21" t="n"/>
      <c r="E149" s="21" t="n"/>
      <c r="F149" s="22" t="n"/>
      <c r="G149" s="23" t="n"/>
      <c r="H149" s="23">
        <f>IFERROR(G149*0.05,0)</f>
        <v/>
      </c>
      <c r="I149" s="21" t="n"/>
      <c r="J149" s="24" t="n"/>
      <c r="K149" s="24" t="n"/>
      <c r="L149" s="21" t="n"/>
      <c r="M149" s="21" t="n"/>
    </row>
    <row r="150" ht="22" customHeight="1">
      <c r="B150" s="25" t="n"/>
      <c r="C150" s="25" t="n"/>
      <c r="D150" s="25" t="n"/>
      <c r="E150" s="25" t="n"/>
      <c r="F150" s="26" t="n"/>
      <c r="G150" s="27" t="n"/>
      <c r="H150" s="27">
        <f>IFERROR(G150*0.05,0)</f>
        <v/>
      </c>
      <c r="I150" s="25" t="n"/>
      <c r="J150" s="28" t="n"/>
      <c r="K150" s="28" t="n"/>
      <c r="L150" s="25" t="n"/>
      <c r="M150" s="25" t="n"/>
    </row>
    <row r="151" ht="22" customHeight="1">
      <c r="B151" s="21" t="n"/>
      <c r="C151" s="21" t="n"/>
      <c r="D151" s="21" t="n"/>
      <c r="E151" s="21" t="n"/>
      <c r="F151" s="22" t="n"/>
      <c r="G151" s="23" t="n"/>
      <c r="H151" s="23">
        <f>IFERROR(G151*0.05,0)</f>
        <v/>
      </c>
      <c r="I151" s="21" t="n"/>
      <c r="J151" s="24" t="n"/>
      <c r="K151" s="24" t="n"/>
      <c r="L151" s="21" t="n"/>
      <c r="M151" s="21" t="n"/>
    </row>
    <row r="152" ht="22" customHeight="1">
      <c r="B152" s="25" t="n"/>
      <c r="C152" s="25" t="n"/>
      <c r="D152" s="25" t="n"/>
      <c r="E152" s="25" t="n"/>
      <c r="F152" s="26" t="n"/>
      <c r="G152" s="27" t="n"/>
      <c r="H152" s="27">
        <f>IFERROR(G152*0.05,0)</f>
        <v/>
      </c>
      <c r="I152" s="25" t="n"/>
      <c r="J152" s="28" t="n"/>
      <c r="K152" s="28" t="n"/>
      <c r="L152" s="25" t="n"/>
      <c r="M152" s="25" t="n"/>
    </row>
    <row r="153" ht="22" customHeight="1">
      <c r="B153" s="21" t="n"/>
      <c r="C153" s="21" t="n"/>
      <c r="D153" s="21" t="n"/>
      <c r="E153" s="21" t="n"/>
      <c r="F153" s="22" t="n"/>
      <c r="G153" s="23" t="n"/>
      <c r="H153" s="23">
        <f>IFERROR(G153*0.05,0)</f>
        <v/>
      </c>
      <c r="I153" s="21" t="n"/>
      <c r="J153" s="24" t="n"/>
      <c r="K153" s="24" t="n"/>
      <c r="L153" s="21" t="n"/>
      <c r="M153" s="21" t="n"/>
    </row>
    <row r="154" ht="22" customHeight="1">
      <c r="B154" s="25" t="n"/>
      <c r="C154" s="25" t="n"/>
      <c r="D154" s="25" t="n"/>
      <c r="E154" s="25" t="n"/>
      <c r="F154" s="26" t="n"/>
      <c r="G154" s="27" t="n"/>
      <c r="H154" s="27">
        <f>IFERROR(G154*0.05,0)</f>
        <v/>
      </c>
      <c r="I154" s="25" t="n"/>
      <c r="J154" s="28" t="n"/>
      <c r="K154" s="28" t="n"/>
      <c r="L154" s="25" t="n"/>
      <c r="M154" s="25" t="n"/>
    </row>
    <row r="155" ht="26" customHeight="1">
      <c r="B155" s="29" t="inlineStr">
        <is>
          <t>TOTALS</t>
        </is>
      </c>
      <c r="C155" s="29" t="n"/>
      <c r="D155" s="29" t="n"/>
      <c r="E155" s="29" t="n"/>
      <c r="F155" s="30">
        <f>IFERROR(SUM(F5:F154),0)</f>
        <v/>
      </c>
      <c r="G155" s="31">
        <f>IFERROR(SUM(G5:G154),0)</f>
        <v/>
      </c>
      <c r="H155" s="31">
        <f>IFERROR(SUM(H5:H154),0)</f>
        <v/>
      </c>
      <c r="I155" s="29">
        <f>IFERROR(COUNTA(B5:B154)-COUNTBLANK(B5:B154),0)&amp;" units"</f>
        <v/>
      </c>
      <c r="J155" s="29" t="n"/>
      <c r="K155" s="29" t="n"/>
      <c r="L155" s="29" t="n"/>
      <c r="M155" s="29" t="n"/>
    </row>
  </sheetData>
  <mergeCells count="1">
    <mergeCell ref="B2:M2"/>
  </mergeCells>
  <conditionalFormatting sqref="I5:I154">
    <cfRule type="cellIs" priority="1" operator="equal" dxfId="0">
      <formula>"Rented"</formula>
    </cfRule>
    <cfRule type="cellIs" priority="2" operator="equal" dxfId="1">
      <formula>"Vacant"</formula>
    </cfRule>
    <cfRule type="cellIs" priority="3" operator="equal" dxfId="2">
      <formula>"Under Maintenance"</formula>
    </cfRule>
  </conditionalFormatting>
  <dataValidations count="3">
    <dataValidation sqref="C5:C154" showDropDown="0" showInputMessage="0" showErrorMessage="0" allowBlank="1" promptTitle="Building" prompt="Select Building" type="list">
      <formula1>"Building A,Building B,Building C,Building D"</formula1>
    </dataValidation>
    <dataValidation sqref="E5:E154" showDropDown="0" showInputMessage="0" showErrorMessage="0" allowBlank="1" promptTitle="Unit Type" prompt="Select Unit Type" type="list">
      <formula1>"Studio,1 Bedroom,2 Bedroom,3 Bedroom,Shop,Office"</formula1>
    </dataValidation>
    <dataValidation sqref="I5:I154" showDropDown="0" showInputMessage="0" showErrorMessage="0" allowBlank="1" promptTitle="Status" prompt="Select Status" type="list">
      <formula1>"Rented,Vacant,Under Maintenance,Reserved"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P1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6" customWidth="1" min="4" max="4"/>
    <col width="24" customWidth="1" min="5" max="5"/>
    <col width="12" customWidth="1" min="6" max="6"/>
    <col width="14" customWidth="1" min="7" max="7"/>
    <col width="14" customWidth="1" min="8" max="8"/>
    <col width="14" customWidth="1" min="9" max="9"/>
    <col width="22" customWidth="1" min="10" max="10"/>
    <col width="16" customWidth="1" min="11" max="11"/>
    <col width="16" customWidth="1" min="12" max="12"/>
    <col width="16" customWidth="1" min="13" max="13"/>
    <col width="14" customWidth="1" min="14" max="14"/>
    <col width="20" customWidth="1" min="15" max="15"/>
    <col width="20" customWidth="1" min="16" max="16"/>
  </cols>
  <sheetData>
    <row r="1" ht="15" customHeight="1"/>
    <row r="2" ht="32" customHeight="1">
      <c r="B2" s="1" t="inlineStr">
        <is>
          <t>Tenant Directory</t>
        </is>
      </c>
    </row>
    <row r="3" ht="8" customHeight="1"/>
    <row r="4" ht="28" customHeight="1">
      <c r="B4" s="20" t="inlineStr">
        <is>
          <t>Tenant ID</t>
        </is>
      </c>
      <c r="C4" s="20" t="inlineStr">
        <is>
          <t>Tenant Name</t>
        </is>
      </c>
      <c r="D4" s="20" t="inlineStr">
        <is>
          <t>Phone</t>
        </is>
      </c>
      <c r="E4" s="20" t="inlineStr">
        <is>
          <t>Email</t>
        </is>
      </c>
      <c r="F4" s="20" t="inlineStr">
        <is>
          <t>Unit ID</t>
        </is>
      </c>
      <c r="G4" s="20" t="inlineStr">
        <is>
          <t>Unit Type</t>
        </is>
      </c>
      <c r="H4" s="20" t="inlineStr">
        <is>
          <t>Lease Start</t>
        </is>
      </c>
      <c r="I4" s="20" t="inlineStr">
        <is>
          <t>Lease End</t>
        </is>
      </c>
      <c r="J4" s="20" t="inlineStr">
        <is>
          <t>Contract Duration (months)</t>
        </is>
      </c>
      <c r="K4" s="20" t="inlineStr">
        <is>
          <t>Monthly Rent</t>
        </is>
      </c>
      <c r="L4" s="20" t="inlineStr">
        <is>
          <t>Security Deposit</t>
        </is>
      </c>
      <c r="M4" s="20" t="inlineStr">
        <is>
          <t>Payment Method</t>
        </is>
      </c>
      <c r="N4" s="20" t="inlineStr">
        <is>
          <t>Nationality</t>
        </is>
      </c>
      <c r="O4" s="20" t="inlineStr">
        <is>
          <t>Employer</t>
        </is>
      </c>
      <c r="P4" s="20" t="inlineStr">
        <is>
          <t>Emergency Contact</t>
        </is>
      </c>
    </row>
    <row r="5" ht="22" customHeight="1">
      <c r="B5" s="21" t="n"/>
      <c r="C5" s="21" t="n"/>
      <c r="D5" s="21" t="n"/>
      <c r="E5" s="21" t="n"/>
      <c r="F5" s="21" t="n"/>
      <c r="G5" s="21" t="n"/>
      <c r="H5" s="24" t="n"/>
      <c r="I5" s="24" t="n"/>
      <c r="J5" s="22">
        <f>IFERROR((I5-H5)/30,0)</f>
        <v/>
      </c>
      <c r="K5" s="23">
        <f>IFERROR(VLOOKUP(F5,'Property Registry'!B5:G154,6,FALSE),0)</f>
        <v/>
      </c>
      <c r="L5" s="23" t="n"/>
      <c r="M5" s="21" t="n"/>
      <c r="N5" s="21" t="n"/>
      <c r="O5" s="21" t="n"/>
      <c r="P5" s="21" t="n"/>
    </row>
    <row r="6" ht="22" customHeight="1">
      <c r="B6" s="25" t="n"/>
      <c r="C6" s="25" t="n"/>
      <c r="D6" s="25" t="n"/>
      <c r="E6" s="25" t="n"/>
      <c r="F6" s="25" t="n"/>
      <c r="G6" s="25" t="n"/>
      <c r="H6" s="28" t="n"/>
      <c r="I6" s="28" t="n"/>
      <c r="J6" s="26">
        <f>IFERROR((I6-H6)/30,0)</f>
        <v/>
      </c>
      <c r="K6" s="27">
        <f>IFERROR(VLOOKUP(F6,'Property Registry'!B5:G154,6,FALSE),0)</f>
        <v/>
      </c>
      <c r="L6" s="27" t="n"/>
      <c r="M6" s="25" t="n"/>
      <c r="N6" s="25" t="n"/>
      <c r="O6" s="25" t="n"/>
      <c r="P6" s="25" t="n"/>
    </row>
    <row r="7" ht="22" customHeight="1">
      <c r="B7" s="21" t="n"/>
      <c r="C7" s="21" t="n"/>
      <c r="D7" s="21" t="n"/>
      <c r="E7" s="21" t="n"/>
      <c r="F7" s="21" t="n"/>
      <c r="G7" s="21" t="n"/>
      <c r="H7" s="24" t="n"/>
      <c r="I7" s="24" t="n"/>
      <c r="J7" s="22">
        <f>IFERROR((I7-H7)/30,0)</f>
        <v/>
      </c>
      <c r="K7" s="23">
        <f>IFERROR(VLOOKUP(F7,'Property Registry'!B5:G154,6,FALSE),0)</f>
        <v/>
      </c>
      <c r="L7" s="23" t="n"/>
      <c r="M7" s="21" t="n"/>
      <c r="N7" s="21" t="n"/>
      <c r="O7" s="21" t="n"/>
      <c r="P7" s="21" t="n"/>
    </row>
    <row r="8" ht="22" customHeight="1">
      <c r="B8" s="25" t="n"/>
      <c r="C8" s="25" t="n"/>
      <c r="D8" s="25" t="n"/>
      <c r="E8" s="25" t="n"/>
      <c r="F8" s="25" t="n"/>
      <c r="G8" s="25" t="n"/>
      <c r="H8" s="28" t="n"/>
      <c r="I8" s="28" t="n"/>
      <c r="J8" s="26">
        <f>IFERROR((I8-H8)/30,0)</f>
        <v/>
      </c>
      <c r="K8" s="27">
        <f>IFERROR(VLOOKUP(F8,'Property Registry'!B5:G154,6,FALSE),0)</f>
        <v/>
      </c>
      <c r="L8" s="27" t="n"/>
      <c r="M8" s="25" t="n"/>
      <c r="N8" s="25" t="n"/>
      <c r="O8" s="25" t="n"/>
      <c r="P8" s="25" t="n"/>
    </row>
    <row r="9" ht="22" customHeight="1">
      <c r="B9" s="21" t="n"/>
      <c r="C9" s="21" t="n"/>
      <c r="D9" s="21" t="n"/>
      <c r="E9" s="21" t="n"/>
      <c r="F9" s="21" t="n"/>
      <c r="G9" s="21" t="n"/>
      <c r="H9" s="24" t="n"/>
      <c r="I9" s="24" t="n"/>
      <c r="J9" s="22">
        <f>IFERROR((I9-H9)/30,0)</f>
        <v/>
      </c>
      <c r="K9" s="23">
        <f>IFERROR(VLOOKUP(F9,'Property Registry'!B5:G154,6,FALSE),0)</f>
        <v/>
      </c>
      <c r="L9" s="23" t="n"/>
      <c r="M9" s="21" t="n"/>
      <c r="N9" s="21" t="n"/>
      <c r="O9" s="21" t="n"/>
      <c r="P9" s="21" t="n"/>
    </row>
    <row r="10" ht="22" customHeight="1">
      <c r="B10" s="25" t="n"/>
      <c r="C10" s="25" t="n"/>
      <c r="D10" s="25" t="n"/>
      <c r="E10" s="25" t="n"/>
      <c r="F10" s="25" t="n"/>
      <c r="G10" s="25" t="n"/>
      <c r="H10" s="28" t="n"/>
      <c r="I10" s="28" t="n"/>
      <c r="J10" s="26">
        <f>IFERROR((I10-H10)/30,0)</f>
        <v/>
      </c>
      <c r="K10" s="27">
        <f>IFERROR(VLOOKUP(F10,'Property Registry'!B5:G154,6,FALSE),0)</f>
        <v/>
      </c>
      <c r="L10" s="27" t="n"/>
      <c r="M10" s="25" t="n"/>
      <c r="N10" s="25" t="n"/>
      <c r="O10" s="25" t="n"/>
      <c r="P10" s="25" t="n"/>
    </row>
    <row r="11" ht="22" customHeight="1">
      <c r="B11" s="21" t="n"/>
      <c r="C11" s="21" t="n"/>
      <c r="D11" s="21" t="n"/>
      <c r="E11" s="21" t="n"/>
      <c r="F11" s="21" t="n"/>
      <c r="G11" s="21" t="n"/>
      <c r="H11" s="24" t="n"/>
      <c r="I11" s="24" t="n"/>
      <c r="J11" s="22">
        <f>IFERROR((I11-H11)/30,0)</f>
        <v/>
      </c>
      <c r="K11" s="23">
        <f>IFERROR(VLOOKUP(F11,'Property Registry'!B5:G154,6,FALSE),0)</f>
        <v/>
      </c>
      <c r="L11" s="23" t="n"/>
      <c r="M11" s="21" t="n"/>
      <c r="N11" s="21" t="n"/>
      <c r="O11" s="21" t="n"/>
      <c r="P11" s="21" t="n"/>
    </row>
    <row r="12" ht="22" customHeight="1">
      <c r="B12" s="25" t="n"/>
      <c r="C12" s="25" t="n"/>
      <c r="D12" s="25" t="n"/>
      <c r="E12" s="25" t="n"/>
      <c r="F12" s="25" t="n"/>
      <c r="G12" s="25" t="n"/>
      <c r="H12" s="28" t="n"/>
      <c r="I12" s="28" t="n"/>
      <c r="J12" s="26">
        <f>IFERROR((I12-H12)/30,0)</f>
        <v/>
      </c>
      <c r="K12" s="27">
        <f>IFERROR(VLOOKUP(F12,'Property Registry'!B5:G154,6,FALSE),0)</f>
        <v/>
      </c>
      <c r="L12" s="27" t="n"/>
      <c r="M12" s="25" t="n"/>
      <c r="N12" s="25" t="n"/>
      <c r="O12" s="25" t="n"/>
      <c r="P12" s="25" t="n"/>
    </row>
    <row r="13" ht="22" customHeight="1">
      <c r="B13" s="21" t="n"/>
      <c r="C13" s="21" t="n"/>
      <c r="D13" s="21" t="n"/>
      <c r="E13" s="21" t="n"/>
      <c r="F13" s="21" t="n"/>
      <c r="G13" s="21" t="n"/>
      <c r="H13" s="24" t="n"/>
      <c r="I13" s="24" t="n"/>
      <c r="J13" s="22">
        <f>IFERROR((I13-H13)/30,0)</f>
        <v/>
      </c>
      <c r="K13" s="23">
        <f>IFERROR(VLOOKUP(F13,'Property Registry'!B5:G154,6,FALSE),0)</f>
        <v/>
      </c>
      <c r="L13" s="23" t="n"/>
      <c r="M13" s="21" t="n"/>
      <c r="N13" s="21" t="n"/>
      <c r="O13" s="21" t="n"/>
      <c r="P13" s="21" t="n"/>
    </row>
    <row r="14" ht="22" customHeight="1">
      <c r="B14" s="25" t="n"/>
      <c r="C14" s="25" t="n"/>
      <c r="D14" s="25" t="n"/>
      <c r="E14" s="25" t="n"/>
      <c r="F14" s="25" t="n"/>
      <c r="G14" s="25" t="n"/>
      <c r="H14" s="28" t="n"/>
      <c r="I14" s="28" t="n"/>
      <c r="J14" s="26">
        <f>IFERROR((I14-H14)/30,0)</f>
        <v/>
      </c>
      <c r="K14" s="27">
        <f>IFERROR(VLOOKUP(F14,'Property Registry'!B5:G154,6,FALSE),0)</f>
        <v/>
      </c>
      <c r="L14" s="27" t="n"/>
      <c r="M14" s="25" t="n"/>
      <c r="N14" s="25" t="n"/>
      <c r="O14" s="25" t="n"/>
      <c r="P14" s="25" t="n"/>
    </row>
    <row r="15" ht="22" customHeight="1">
      <c r="B15" s="21" t="n"/>
      <c r="C15" s="21" t="n"/>
      <c r="D15" s="21" t="n"/>
      <c r="E15" s="21" t="n"/>
      <c r="F15" s="21" t="n"/>
      <c r="G15" s="21" t="n"/>
      <c r="H15" s="24" t="n"/>
      <c r="I15" s="24" t="n"/>
      <c r="J15" s="22">
        <f>IFERROR((I15-H15)/30,0)</f>
        <v/>
      </c>
      <c r="K15" s="23">
        <f>IFERROR(VLOOKUP(F15,'Property Registry'!B5:G154,6,FALSE),0)</f>
        <v/>
      </c>
      <c r="L15" s="23" t="n"/>
      <c r="M15" s="21" t="n"/>
      <c r="N15" s="21" t="n"/>
      <c r="O15" s="21" t="n"/>
      <c r="P15" s="21" t="n"/>
    </row>
    <row r="16" ht="22" customHeight="1">
      <c r="B16" s="25" t="n"/>
      <c r="C16" s="25" t="n"/>
      <c r="D16" s="25" t="n"/>
      <c r="E16" s="25" t="n"/>
      <c r="F16" s="25" t="n"/>
      <c r="G16" s="25" t="n"/>
      <c r="H16" s="28" t="n"/>
      <c r="I16" s="28" t="n"/>
      <c r="J16" s="26">
        <f>IFERROR((I16-H16)/30,0)</f>
        <v/>
      </c>
      <c r="K16" s="27">
        <f>IFERROR(VLOOKUP(F16,'Property Registry'!B5:G154,6,FALSE),0)</f>
        <v/>
      </c>
      <c r="L16" s="27" t="n"/>
      <c r="M16" s="25" t="n"/>
      <c r="N16" s="25" t="n"/>
      <c r="O16" s="25" t="n"/>
      <c r="P16" s="25" t="n"/>
    </row>
    <row r="17" ht="22" customHeight="1">
      <c r="B17" s="21" t="n"/>
      <c r="C17" s="21" t="n"/>
      <c r="D17" s="21" t="n"/>
      <c r="E17" s="21" t="n"/>
      <c r="F17" s="21" t="n"/>
      <c r="G17" s="21" t="n"/>
      <c r="H17" s="24" t="n"/>
      <c r="I17" s="24" t="n"/>
      <c r="J17" s="22">
        <f>IFERROR((I17-H17)/30,0)</f>
        <v/>
      </c>
      <c r="K17" s="23">
        <f>IFERROR(VLOOKUP(F17,'Property Registry'!B5:G154,6,FALSE),0)</f>
        <v/>
      </c>
      <c r="L17" s="23" t="n"/>
      <c r="M17" s="21" t="n"/>
      <c r="N17" s="21" t="n"/>
      <c r="O17" s="21" t="n"/>
      <c r="P17" s="21" t="n"/>
    </row>
    <row r="18" ht="22" customHeight="1">
      <c r="B18" s="25" t="n"/>
      <c r="C18" s="25" t="n"/>
      <c r="D18" s="25" t="n"/>
      <c r="E18" s="25" t="n"/>
      <c r="F18" s="25" t="n"/>
      <c r="G18" s="25" t="n"/>
      <c r="H18" s="28" t="n"/>
      <c r="I18" s="28" t="n"/>
      <c r="J18" s="26">
        <f>IFERROR((I18-H18)/30,0)</f>
        <v/>
      </c>
      <c r="K18" s="27">
        <f>IFERROR(VLOOKUP(F18,'Property Registry'!B5:G154,6,FALSE),0)</f>
        <v/>
      </c>
      <c r="L18" s="27" t="n"/>
      <c r="M18" s="25" t="n"/>
      <c r="N18" s="25" t="n"/>
      <c r="O18" s="25" t="n"/>
      <c r="P18" s="25" t="n"/>
    </row>
    <row r="19" ht="22" customHeight="1">
      <c r="B19" s="21" t="n"/>
      <c r="C19" s="21" t="n"/>
      <c r="D19" s="21" t="n"/>
      <c r="E19" s="21" t="n"/>
      <c r="F19" s="21" t="n"/>
      <c r="G19" s="21" t="n"/>
      <c r="H19" s="24" t="n"/>
      <c r="I19" s="24" t="n"/>
      <c r="J19" s="22">
        <f>IFERROR((I19-H19)/30,0)</f>
        <v/>
      </c>
      <c r="K19" s="23">
        <f>IFERROR(VLOOKUP(F19,'Property Registry'!B5:G154,6,FALSE),0)</f>
        <v/>
      </c>
      <c r="L19" s="23" t="n"/>
      <c r="M19" s="21" t="n"/>
      <c r="N19" s="21" t="n"/>
      <c r="O19" s="21" t="n"/>
      <c r="P19" s="21" t="n"/>
    </row>
    <row r="20" ht="22" customHeight="1">
      <c r="B20" s="25" t="n"/>
      <c r="C20" s="25" t="n"/>
      <c r="D20" s="25" t="n"/>
      <c r="E20" s="25" t="n"/>
      <c r="F20" s="25" t="n"/>
      <c r="G20" s="25" t="n"/>
      <c r="H20" s="28" t="n"/>
      <c r="I20" s="28" t="n"/>
      <c r="J20" s="26">
        <f>IFERROR((I20-H20)/30,0)</f>
        <v/>
      </c>
      <c r="K20" s="27">
        <f>IFERROR(VLOOKUP(F20,'Property Registry'!B5:G154,6,FALSE),0)</f>
        <v/>
      </c>
      <c r="L20" s="27" t="n"/>
      <c r="M20" s="25" t="n"/>
      <c r="N20" s="25" t="n"/>
      <c r="O20" s="25" t="n"/>
      <c r="P20" s="25" t="n"/>
    </row>
    <row r="21" ht="22" customHeight="1">
      <c r="B21" s="21" t="n"/>
      <c r="C21" s="21" t="n"/>
      <c r="D21" s="21" t="n"/>
      <c r="E21" s="21" t="n"/>
      <c r="F21" s="21" t="n"/>
      <c r="G21" s="21" t="n"/>
      <c r="H21" s="24" t="n"/>
      <c r="I21" s="24" t="n"/>
      <c r="J21" s="22">
        <f>IFERROR((I21-H21)/30,0)</f>
        <v/>
      </c>
      <c r="K21" s="23">
        <f>IFERROR(VLOOKUP(F21,'Property Registry'!B5:G154,6,FALSE),0)</f>
        <v/>
      </c>
      <c r="L21" s="23" t="n"/>
      <c r="M21" s="21" t="n"/>
      <c r="N21" s="21" t="n"/>
      <c r="O21" s="21" t="n"/>
      <c r="P21" s="21" t="n"/>
    </row>
    <row r="22" ht="22" customHeight="1">
      <c r="B22" s="25" t="n"/>
      <c r="C22" s="25" t="n"/>
      <c r="D22" s="25" t="n"/>
      <c r="E22" s="25" t="n"/>
      <c r="F22" s="25" t="n"/>
      <c r="G22" s="25" t="n"/>
      <c r="H22" s="28" t="n"/>
      <c r="I22" s="28" t="n"/>
      <c r="J22" s="26">
        <f>IFERROR((I22-H22)/30,0)</f>
        <v/>
      </c>
      <c r="K22" s="27">
        <f>IFERROR(VLOOKUP(F22,'Property Registry'!B5:G154,6,FALSE),0)</f>
        <v/>
      </c>
      <c r="L22" s="27" t="n"/>
      <c r="M22" s="25" t="n"/>
      <c r="N22" s="25" t="n"/>
      <c r="O22" s="25" t="n"/>
      <c r="P22" s="25" t="n"/>
    </row>
    <row r="23" ht="22" customHeight="1">
      <c r="B23" s="21" t="n"/>
      <c r="C23" s="21" t="n"/>
      <c r="D23" s="21" t="n"/>
      <c r="E23" s="21" t="n"/>
      <c r="F23" s="21" t="n"/>
      <c r="G23" s="21" t="n"/>
      <c r="H23" s="24" t="n"/>
      <c r="I23" s="24" t="n"/>
      <c r="J23" s="22">
        <f>IFERROR((I23-H23)/30,0)</f>
        <v/>
      </c>
      <c r="K23" s="23">
        <f>IFERROR(VLOOKUP(F23,'Property Registry'!B5:G154,6,FALSE),0)</f>
        <v/>
      </c>
      <c r="L23" s="23" t="n"/>
      <c r="M23" s="21" t="n"/>
      <c r="N23" s="21" t="n"/>
      <c r="O23" s="21" t="n"/>
      <c r="P23" s="21" t="n"/>
    </row>
    <row r="24" ht="22" customHeight="1">
      <c r="B24" s="25" t="n"/>
      <c r="C24" s="25" t="n"/>
      <c r="D24" s="25" t="n"/>
      <c r="E24" s="25" t="n"/>
      <c r="F24" s="25" t="n"/>
      <c r="G24" s="25" t="n"/>
      <c r="H24" s="28" t="n"/>
      <c r="I24" s="28" t="n"/>
      <c r="J24" s="26">
        <f>IFERROR((I24-H24)/30,0)</f>
        <v/>
      </c>
      <c r="K24" s="27">
        <f>IFERROR(VLOOKUP(F24,'Property Registry'!B5:G154,6,FALSE),0)</f>
        <v/>
      </c>
      <c r="L24" s="27" t="n"/>
      <c r="M24" s="25" t="n"/>
      <c r="N24" s="25" t="n"/>
      <c r="O24" s="25" t="n"/>
      <c r="P24" s="25" t="n"/>
    </row>
    <row r="25" ht="22" customHeight="1">
      <c r="B25" s="21" t="n"/>
      <c r="C25" s="21" t="n"/>
      <c r="D25" s="21" t="n"/>
      <c r="E25" s="21" t="n"/>
      <c r="F25" s="21" t="n"/>
      <c r="G25" s="21" t="n"/>
      <c r="H25" s="24" t="n"/>
      <c r="I25" s="24" t="n"/>
      <c r="J25" s="22">
        <f>IFERROR((I25-H25)/30,0)</f>
        <v/>
      </c>
      <c r="K25" s="23">
        <f>IFERROR(VLOOKUP(F25,'Property Registry'!B5:G154,6,FALSE),0)</f>
        <v/>
      </c>
      <c r="L25" s="23" t="n"/>
      <c r="M25" s="21" t="n"/>
      <c r="N25" s="21" t="n"/>
      <c r="O25" s="21" t="n"/>
      <c r="P25" s="21" t="n"/>
    </row>
    <row r="26" ht="22" customHeight="1">
      <c r="B26" s="25" t="n"/>
      <c r="C26" s="25" t="n"/>
      <c r="D26" s="25" t="n"/>
      <c r="E26" s="25" t="n"/>
      <c r="F26" s="25" t="n"/>
      <c r="G26" s="25" t="n"/>
      <c r="H26" s="28" t="n"/>
      <c r="I26" s="28" t="n"/>
      <c r="J26" s="26">
        <f>IFERROR((I26-H26)/30,0)</f>
        <v/>
      </c>
      <c r="K26" s="27">
        <f>IFERROR(VLOOKUP(F26,'Property Registry'!B5:G154,6,FALSE),0)</f>
        <v/>
      </c>
      <c r="L26" s="27" t="n"/>
      <c r="M26" s="25" t="n"/>
      <c r="N26" s="25" t="n"/>
      <c r="O26" s="25" t="n"/>
      <c r="P26" s="25" t="n"/>
    </row>
    <row r="27" ht="22" customHeight="1">
      <c r="B27" s="21" t="n"/>
      <c r="C27" s="21" t="n"/>
      <c r="D27" s="21" t="n"/>
      <c r="E27" s="21" t="n"/>
      <c r="F27" s="21" t="n"/>
      <c r="G27" s="21" t="n"/>
      <c r="H27" s="24" t="n"/>
      <c r="I27" s="24" t="n"/>
      <c r="J27" s="22">
        <f>IFERROR((I27-H27)/30,0)</f>
        <v/>
      </c>
      <c r="K27" s="23">
        <f>IFERROR(VLOOKUP(F27,'Property Registry'!B5:G154,6,FALSE),0)</f>
        <v/>
      </c>
      <c r="L27" s="23" t="n"/>
      <c r="M27" s="21" t="n"/>
      <c r="N27" s="21" t="n"/>
      <c r="O27" s="21" t="n"/>
      <c r="P27" s="21" t="n"/>
    </row>
    <row r="28" ht="22" customHeight="1">
      <c r="B28" s="25" t="n"/>
      <c r="C28" s="25" t="n"/>
      <c r="D28" s="25" t="n"/>
      <c r="E28" s="25" t="n"/>
      <c r="F28" s="25" t="n"/>
      <c r="G28" s="25" t="n"/>
      <c r="H28" s="28" t="n"/>
      <c r="I28" s="28" t="n"/>
      <c r="J28" s="26">
        <f>IFERROR((I28-H28)/30,0)</f>
        <v/>
      </c>
      <c r="K28" s="27">
        <f>IFERROR(VLOOKUP(F28,'Property Registry'!B5:G154,6,FALSE),0)</f>
        <v/>
      </c>
      <c r="L28" s="27" t="n"/>
      <c r="M28" s="25" t="n"/>
      <c r="N28" s="25" t="n"/>
      <c r="O28" s="25" t="n"/>
      <c r="P28" s="25" t="n"/>
    </row>
    <row r="29" ht="22" customHeight="1">
      <c r="B29" s="21" t="n"/>
      <c r="C29" s="21" t="n"/>
      <c r="D29" s="21" t="n"/>
      <c r="E29" s="21" t="n"/>
      <c r="F29" s="21" t="n"/>
      <c r="G29" s="21" t="n"/>
      <c r="H29" s="24" t="n"/>
      <c r="I29" s="24" t="n"/>
      <c r="J29" s="22">
        <f>IFERROR((I29-H29)/30,0)</f>
        <v/>
      </c>
      <c r="K29" s="23">
        <f>IFERROR(VLOOKUP(F29,'Property Registry'!B5:G154,6,FALSE),0)</f>
        <v/>
      </c>
      <c r="L29" s="23" t="n"/>
      <c r="M29" s="21" t="n"/>
      <c r="N29" s="21" t="n"/>
      <c r="O29" s="21" t="n"/>
      <c r="P29" s="21" t="n"/>
    </row>
    <row r="30" ht="22" customHeight="1">
      <c r="B30" s="25" t="n"/>
      <c r="C30" s="25" t="n"/>
      <c r="D30" s="25" t="n"/>
      <c r="E30" s="25" t="n"/>
      <c r="F30" s="25" t="n"/>
      <c r="G30" s="25" t="n"/>
      <c r="H30" s="28" t="n"/>
      <c r="I30" s="28" t="n"/>
      <c r="J30" s="26">
        <f>IFERROR((I30-H30)/30,0)</f>
        <v/>
      </c>
      <c r="K30" s="27">
        <f>IFERROR(VLOOKUP(F30,'Property Registry'!B5:G154,6,FALSE),0)</f>
        <v/>
      </c>
      <c r="L30" s="27" t="n"/>
      <c r="M30" s="25" t="n"/>
      <c r="N30" s="25" t="n"/>
      <c r="O30" s="25" t="n"/>
      <c r="P30" s="25" t="n"/>
    </row>
    <row r="31" ht="22" customHeight="1">
      <c r="B31" s="21" t="n"/>
      <c r="C31" s="21" t="n"/>
      <c r="D31" s="21" t="n"/>
      <c r="E31" s="21" t="n"/>
      <c r="F31" s="21" t="n"/>
      <c r="G31" s="21" t="n"/>
      <c r="H31" s="24" t="n"/>
      <c r="I31" s="24" t="n"/>
      <c r="J31" s="22">
        <f>IFERROR((I31-H31)/30,0)</f>
        <v/>
      </c>
      <c r="K31" s="23">
        <f>IFERROR(VLOOKUP(F31,'Property Registry'!B5:G154,6,FALSE),0)</f>
        <v/>
      </c>
      <c r="L31" s="23" t="n"/>
      <c r="M31" s="21" t="n"/>
      <c r="N31" s="21" t="n"/>
      <c r="O31" s="21" t="n"/>
      <c r="P31" s="21" t="n"/>
    </row>
    <row r="32" ht="22" customHeight="1">
      <c r="B32" s="25" t="n"/>
      <c r="C32" s="25" t="n"/>
      <c r="D32" s="25" t="n"/>
      <c r="E32" s="25" t="n"/>
      <c r="F32" s="25" t="n"/>
      <c r="G32" s="25" t="n"/>
      <c r="H32" s="28" t="n"/>
      <c r="I32" s="28" t="n"/>
      <c r="J32" s="26">
        <f>IFERROR((I32-H32)/30,0)</f>
        <v/>
      </c>
      <c r="K32" s="27">
        <f>IFERROR(VLOOKUP(F32,'Property Registry'!B5:G154,6,FALSE),0)</f>
        <v/>
      </c>
      <c r="L32" s="27" t="n"/>
      <c r="M32" s="25" t="n"/>
      <c r="N32" s="25" t="n"/>
      <c r="O32" s="25" t="n"/>
      <c r="P32" s="25" t="n"/>
    </row>
    <row r="33" ht="22" customHeight="1">
      <c r="B33" s="21" t="n"/>
      <c r="C33" s="21" t="n"/>
      <c r="D33" s="21" t="n"/>
      <c r="E33" s="21" t="n"/>
      <c r="F33" s="21" t="n"/>
      <c r="G33" s="21" t="n"/>
      <c r="H33" s="24" t="n"/>
      <c r="I33" s="24" t="n"/>
      <c r="J33" s="22">
        <f>IFERROR((I33-H33)/30,0)</f>
        <v/>
      </c>
      <c r="K33" s="23">
        <f>IFERROR(VLOOKUP(F33,'Property Registry'!B5:G154,6,FALSE),0)</f>
        <v/>
      </c>
      <c r="L33" s="23" t="n"/>
      <c r="M33" s="21" t="n"/>
      <c r="N33" s="21" t="n"/>
      <c r="O33" s="21" t="n"/>
      <c r="P33" s="21" t="n"/>
    </row>
    <row r="34" ht="22" customHeight="1">
      <c r="B34" s="25" t="n"/>
      <c r="C34" s="25" t="n"/>
      <c r="D34" s="25" t="n"/>
      <c r="E34" s="25" t="n"/>
      <c r="F34" s="25" t="n"/>
      <c r="G34" s="25" t="n"/>
      <c r="H34" s="28" t="n"/>
      <c r="I34" s="28" t="n"/>
      <c r="J34" s="26">
        <f>IFERROR((I34-H34)/30,0)</f>
        <v/>
      </c>
      <c r="K34" s="27">
        <f>IFERROR(VLOOKUP(F34,'Property Registry'!B5:G154,6,FALSE),0)</f>
        <v/>
      </c>
      <c r="L34" s="27" t="n"/>
      <c r="M34" s="25" t="n"/>
      <c r="N34" s="25" t="n"/>
      <c r="O34" s="25" t="n"/>
      <c r="P34" s="25" t="n"/>
    </row>
    <row r="35" ht="22" customHeight="1">
      <c r="B35" s="21" t="n"/>
      <c r="C35" s="21" t="n"/>
      <c r="D35" s="21" t="n"/>
      <c r="E35" s="21" t="n"/>
      <c r="F35" s="21" t="n"/>
      <c r="G35" s="21" t="n"/>
      <c r="H35" s="24" t="n"/>
      <c r="I35" s="24" t="n"/>
      <c r="J35" s="22">
        <f>IFERROR((I35-H35)/30,0)</f>
        <v/>
      </c>
      <c r="K35" s="23">
        <f>IFERROR(VLOOKUP(F35,'Property Registry'!B5:G154,6,FALSE),0)</f>
        <v/>
      </c>
      <c r="L35" s="23" t="n"/>
      <c r="M35" s="21" t="n"/>
      <c r="N35" s="21" t="n"/>
      <c r="O35" s="21" t="n"/>
      <c r="P35" s="21" t="n"/>
    </row>
    <row r="36" ht="22" customHeight="1">
      <c r="B36" s="25" t="n"/>
      <c r="C36" s="25" t="n"/>
      <c r="D36" s="25" t="n"/>
      <c r="E36" s="25" t="n"/>
      <c r="F36" s="25" t="n"/>
      <c r="G36" s="25" t="n"/>
      <c r="H36" s="28" t="n"/>
      <c r="I36" s="28" t="n"/>
      <c r="J36" s="26">
        <f>IFERROR((I36-H36)/30,0)</f>
        <v/>
      </c>
      <c r="K36" s="27">
        <f>IFERROR(VLOOKUP(F36,'Property Registry'!B5:G154,6,FALSE),0)</f>
        <v/>
      </c>
      <c r="L36" s="27" t="n"/>
      <c r="M36" s="25" t="n"/>
      <c r="N36" s="25" t="n"/>
      <c r="O36" s="25" t="n"/>
      <c r="P36" s="25" t="n"/>
    </row>
    <row r="37" ht="22" customHeight="1">
      <c r="B37" s="21" t="n"/>
      <c r="C37" s="21" t="n"/>
      <c r="D37" s="21" t="n"/>
      <c r="E37" s="21" t="n"/>
      <c r="F37" s="21" t="n"/>
      <c r="G37" s="21" t="n"/>
      <c r="H37" s="24" t="n"/>
      <c r="I37" s="24" t="n"/>
      <c r="J37" s="22">
        <f>IFERROR((I37-H37)/30,0)</f>
        <v/>
      </c>
      <c r="K37" s="23">
        <f>IFERROR(VLOOKUP(F37,'Property Registry'!B5:G154,6,FALSE),0)</f>
        <v/>
      </c>
      <c r="L37" s="23" t="n"/>
      <c r="M37" s="21" t="n"/>
      <c r="N37" s="21" t="n"/>
      <c r="O37" s="21" t="n"/>
      <c r="P37" s="21" t="n"/>
    </row>
    <row r="38" ht="22" customHeight="1">
      <c r="B38" s="25" t="n"/>
      <c r="C38" s="25" t="n"/>
      <c r="D38" s="25" t="n"/>
      <c r="E38" s="25" t="n"/>
      <c r="F38" s="25" t="n"/>
      <c r="G38" s="25" t="n"/>
      <c r="H38" s="28" t="n"/>
      <c r="I38" s="28" t="n"/>
      <c r="J38" s="26">
        <f>IFERROR((I38-H38)/30,0)</f>
        <v/>
      </c>
      <c r="K38" s="27">
        <f>IFERROR(VLOOKUP(F38,'Property Registry'!B5:G154,6,FALSE),0)</f>
        <v/>
      </c>
      <c r="L38" s="27" t="n"/>
      <c r="M38" s="25" t="n"/>
      <c r="N38" s="25" t="n"/>
      <c r="O38" s="25" t="n"/>
      <c r="P38" s="25" t="n"/>
    </row>
    <row r="39" ht="22" customHeight="1">
      <c r="B39" s="21" t="n"/>
      <c r="C39" s="21" t="n"/>
      <c r="D39" s="21" t="n"/>
      <c r="E39" s="21" t="n"/>
      <c r="F39" s="21" t="n"/>
      <c r="G39" s="21" t="n"/>
      <c r="H39" s="24" t="n"/>
      <c r="I39" s="24" t="n"/>
      <c r="J39" s="22">
        <f>IFERROR((I39-H39)/30,0)</f>
        <v/>
      </c>
      <c r="K39" s="23">
        <f>IFERROR(VLOOKUP(F39,'Property Registry'!B5:G154,6,FALSE),0)</f>
        <v/>
      </c>
      <c r="L39" s="23" t="n"/>
      <c r="M39" s="21" t="n"/>
      <c r="N39" s="21" t="n"/>
      <c r="O39" s="21" t="n"/>
      <c r="P39" s="21" t="n"/>
    </row>
    <row r="40" ht="22" customHeight="1">
      <c r="B40" s="25" t="n"/>
      <c r="C40" s="25" t="n"/>
      <c r="D40" s="25" t="n"/>
      <c r="E40" s="25" t="n"/>
      <c r="F40" s="25" t="n"/>
      <c r="G40" s="25" t="n"/>
      <c r="H40" s="28" t="n"/>
      <c r="I40" s="28" t="n"/>
      <c r="J40" s="26">
        <f>IFERROR((I40-H40)/30,0)</f>
        <v/>
      </c>
      <c r="K40" s="27">
        <f>IFERROR(VLOOKUP(F40,'Property Registry'!B5:G154,6,FALSE),0)</f>
        <v/>
      </c>
      <c r="L40" s="27" t="n"/>
      <c r="M40" s="25" t="n"/>
      <c r="N40" s="25" t="n"/>
      <c r="O40" s="25" t="n"/>
      <c r="P40" s="25" t="n"/>
    </row>
    <row r="41" ht="22" customHeight="1">
      <c r="B41" s="21" t="n"/>
      <c r="C41" s="21" t="n"/>
      <c r="D41" s="21" t="n"/>
      <c r="E41" s="21" t="n"/>
      <c r="F41" s="21" t="n"/>
      <c r="G41" s="21" t="n"/>
      <c r="H41" s="24" t="n"/>
      <c r="I41" s="24" t="n"/>
      <c r="J41" s="22">
        <f>IFERROR((I41-H41)/30,0)</f>
        <v/>
      </c>
      <c r="K41" s="23">
        <f>IFERROR(VLOOKUP(F41,'Property Registry'!B5:G154,6,FALSE),0)</f>
        <v/>
      </c>
      <c r="L41" s="23" t="n"/>
      <c r="M41" s="21" t="n"/>
      <c r="N41" s="21" t="n"/>
      <c r="O41" s="21" t="n"/>
      <c r="P41" s="21" t="n"/>
    </row>
    <row r="42" ht="22" customHeight="1">
      <c r="B42" s="25" t="n"/>
      <c r="C42" s="25" t="n"/>
      <c r="D42" s="25" t="n"/>
      <c r="E42" s="25" t="n"/>
      <c r="F42" s="25" t="n"/>
      <c r="G42" s="25" t="n"/>
      <c r="H42" s="28" t="n"/>
      <c r="I42" s="28" t="n"/>
      <c r="J42" s="26">
        <f>IFERROR((I42-H42)/30,0)</f>
        <v/>
      </c>
      <c r="K42" s="27">
        <f>IFERROR(VLOOKUP(F42,'Property Registry'!B5:G154,6,FALSE),0)</f>
        <v/>
      </c>
      <c r="L42" s="27" t="n"/>
      <c r="M42" s="25" t="n"/>
      <c r="N42" s="25" t="n"/>
      <c r="O42" s="25" t="n"/>
      <c r="P42" s="25" t="n"/>
    </row>
    <row r="43" ht="22" customHeight="1">
      <c r="B43" s="21" t="n"/>
      <c r="C43" s="21" t="n"/>
      <c r="D43" s="21" t="n"/>
      <c r="E43" s="21" t="n"/>
      <c r="F43" s="21" t="n"/>
      <c r="G43" s="21" t="n"/>
      <c r="H43" s="24" t="n"/>
      <c r="I43" s="24" t="n"/>
      <c r="J43" s="22">
        <f>IFERROR((I43-H43)/30,0)</f>
        <v/>
      </c>
      <c r="K43" s="23">
        <f>IFERROR(VLOOKUP(F43,'Property Registry'!B5:G154,6,FALSE),0)</f>
        <v/>
      </c>
      <c r="L43" s="23" t="n"/>
      <c r="M43" s="21" t="n"/>
      <c r="N43" s="21" t="n"/>
      <c r="O43" s="21" t="n"/>
      <c r="P43" s="21" t="n"/>
    </row>
    <row r="44" ht="22" customHeight="1">
      <c r="B44" s="25" t="n"/>
      <c r="C44" s="25" t="n"/>
      <c r="D44" s="25" t="n"/>
      <c r="E44" s="25" t="n"/>
      <c r="F44" s="25" t="n"/>
      <c r="G44" s="25" t="n"/>
      <c r="H44" s="28" t="n"/>
      <c r="I44" s="28" t="n"/>
      <c r="J44" s="26">
        <f>IFERROR((I44-H44)/30,0)</f>
        <v/>
      </c>
      <c r="K44" s="27">
        <f>IFERROR(VLOOKUP(F44,'Property Registry'!B5:G154,6,FALSE),0)</f>
        <v/>
      </c>
      <c r="L44" s="27" t="n"/>
      <c r="M44" s="25" t="n"/>
      <c r="N44" s="25" t="n"/>
      <c r="O44" s="25" t="n"/>
      <c r="P44" s="25" t="n"/>
    </row>
    <row r="45" ht="22" customHeight="1">
      <c r="B45" s="21" t="n"/>
      <c r="C45" s="21" t="n"/>
      <c r="D45" s="21" t="n"/>
      <c r="E45" s="21" t="n"/>
      <c r="F45" s="21" t="n"/>
      <c r="G45" s="21" t="n"/>
      <c r="H45" s="24" t="n"/>
      <c r="I45" s="24" t="n"/>
      <c r="J45" s="22">
        <f>IFERROR((I45-H45)/30,0)</f>
        <v/>
      </c>
      <c r="K45" s="23">
        <f>IFERROR(VLOOKUP(F45,'Property Registry'!B5:G154,6,FALSE),0)</f>
        <v/>
      </c>
      <c r="L45" s="23" t="n"/>
      <c r="M45" s="21" t="n"/>
      <c r="N45" s="21" t="n"/>
      <c r="O45" s="21" t="n"/>
      <c r="P45" s="21" t="n"/>
    </row>
    <row r="46" ht="22" customHeight="1">
      <c r="B46" s="25" t="n"/>
      <c r="C46" s="25" t="n"/>
      <c r="D46" s="25" t="n"/>
      <c r="E46" s="25" t="n"/>
      <c r="F46" s="25" t="n"/>
      <c r="G46" s="25" t="n"/>
      <c r="H46" s="28" t="n"/>
      <c r="I46" s="28" t="n"/>
      <c r="J46" s="26">
        <f>IFERROR((I46-H46)/30,0)</f>
        <v/>
      </c>
      <c r="K46" s="27">
        <f>IFERROR(VLOOKUP(F46,'Property Registry'!B5:G154,6,FALSE),0)</f>
        <v/>
      </c>
      <c r="L46" s="27" t="n"/>
      <c r="M46" s="25" t="n"/>
      <c r="N46" s="25" t="n"/>
      <c r="O46" s="25" t="n"/>
      <c r="P46" s="25" t="n"/>
    </row>
    <row r="47" ht="22" customHeight="1">
      <c r="B47" s="21" t="n"/>
      <c r="C47" s="21" t="n"/>
      <c r="D47" s="21" t="n"/>
      <c r="E47" s="21" t="n"/>
      <c r="F47" s="21" t="n"/>
      <c r="G47" s="21" t="n"/>
      <c r="H47" s="24" t="n"/>
      <c r="I47" s="24" t="n"/>
      <c r="J47" s="22">
        <f>IFERROR((I47-H47)/30,0)</f>
        <v/>
      </c>
      <c r="K47" s="23">
        <f>IFERROR(VLOOKUP(F47,'Property Registry'!B5:G154,6,FALSE),0)</f>
        <v/>
      </c>
      <c r="L47" s="23" t="n"/>
      <c r="M47" s="21" t="n"/>
      <c r="N47" s="21" t="n"/>
      <c r="O47" s="21" t="n"/>
      <c r="P47" s="21" t="n"/>
    </row>
    <row r="48" ht="22" customHeight="1">
      <c r="B48" s="25" t="n"/>
      <c r="C48" s="25" t="n"/>
      <c r="D48" s="25" t="n"/>
      <c r="E48" s="25" t="n"/>
      <c r="F48" s="25" t="n"/>
      <c r="G48" s="25" t="n"/>
      <c r="H48" s="28" t="n"/>
      <c r="I48" s="28" t="n"/>
      <c r="J48" s="26">
        <f>IFERROR((I48-H48)/30,0)</f>
        <v/>
      </c>
      <c r="K48" s="27">
        <f>IFERROR(VLOOKUP(F48,'Property Registry'!B5:G154,6,FALSE),0)</f>
        <v/>
      </c>
      <c r="L48" s="27" t="n"/>
      <c r="M48" s="25" t="n"/>
      <c r="N48" s="25" t="n"/>
      <c r="O48" s="25" t="n"/>
      <c r="P48" s="25" t="n"/>
    </row>
    <row r="49" ht="22" customHeight="1">
      <c r="B49" s="21" t="n"/>
      <c r="C49" s="21" t="n"/>
      <c r="D49" s="21" t="n"/>
      <c r="E49" s="21" t="n"/>
      <c r="F49" s="21" t="n"/>
      <c r="G49" s="21" t="n"/>
      <c r="H49" s="24" t="n"/>
      <c r="I49" s="24" t="n"/>
      <c r="J49" s="22">
        <f>IFERROR((I49-H49)/30,0)</f>
        <v/>
      </c>
      <c r="K49" s="23">
        <f>IFERROR(VLOOKUP(F49,'Property Registry'!B5:G154,6,FALSE),0)</f>
        <v/>
      </c>
      <c r="L49" s="23" t="n"/>
      <c r="M49" s="21" t="n"/>
      <c r="N49" s="21" t="n"/>
      <c r="O49" s="21" t="n"/>
      <c r="P49" s="21" t="n"/>
    </row>
    <row r="50" ht="22" customHeight="1">
      <c r="B50" s="25" t="n"/>
      <c r="C50" s="25" t="n"/>
      <c r="D50" s="25" t="n"/>
      <c r="E50" s="25" t="n"/>
      <c r="F50" s="25" t="n"/>
      <c r="G50" s="25" t="n"/>
      <c r="H50" s="28" t="n"/>
      <c r="I50" s="28" t="n"/>
      <c r="J50" s="26">
        <f>IFERROR((I50-H50)/30,0)</f>
        <v/>
      </c>
      <c r="K50" s="27">
        <f>IFERROR(VLOOKUP(F50,'Property Registry'!B5:G154,6,FALSE),0)</f>
        <v/>
      </c>
      <c r="L50" s="27" t="n"/>
      <c r="M50" s="25" t="n"/>
      <c r="N50" s="25" t="n"/>
      <c r="O50" s="25" t="n"/>
      <c r="P50" s="25" t="n"/>
    </row>
    <row r="51" ht="22" customHeight="1">
      <c r="B51" s="21" t="n"/>
      <c r="C51" s="21" t="n"/>
      <c r="D51" s="21" t="n"/>
      <c r="E51" s="21" t="n"/>
      <c r="F51" s="21" t="n"/>
      <c r="G51" s="21" t="n"/>
      <c r="H51" s="24" t="n"/>
      <c r="I51" s="24" t="n"/>
      <c r="J51" s="22">
        <f>IFERROR((I51-H51)/30,0)</f>
        <v/>
      </c>
      <c r="K51" s="23">
        <f>IFERROR(VLOOKUP(F51,'Property Registry'!B5:G154,6,FALSE),0)</f>
        <v/>
      </c>
      <c r="L51" s="23" t="n"/>
      <c r="M51" s="21" t="n"/>
      <c r="N51" s="21" t="n"/>
      <c r="O51" s="21" t="n"/>
      <c r="P51" s="21" t="n"/>
    </row>
    <row r="52" ht="22" customHeight="1">
      <c r="B52" s="25" t="n"/>
      <c r="C52" s="25" t="n"/>
      <c r="D52" s="25" t="n"/>
      <c r="E52" s="25" t="n"/>
      <c r="F52" s="25" t="n"/>
      <c r="G52" s="25" t="n"/>
      <c r="H52" s="28" t="n"/>
      <c r="I52" s="28" t="n"/>
      <c r="J52" s="26">
        <f>IFERROR((I52-H52)/30,0)</f>
        <v/>
      </c>
      <c r="K52" s="27">
        <f>IFERROR(VLOOKUP(F52,'Property Registry'!B5:G154,6,FALSE),0)</f>
        <v/>
      </c>
      <c r="L52" s="27" t="n"/>
      <c r="M52" s="25" t="n"/>
      <c r="N52" s="25" t="n"/>
      <c r="O52" s="25" t="n"/>
      <c r="P52" s="25" t="n"/>
    </row>
    <row r="53" ht="22" customHeight="1">
      <c r="B53" s="21" t="n"/>
      <c r="C53" s="21" t="n"/>
      <c r="D53" s="21" t="n"/>
      <c r="E53" s="21" t="n"/>
      <c r="F53" s="21" t="n"/>
      <c r="G53" s="21" t="n"/>
      <c r="H53" s="24" t="n"/>
      <c r="I53" s="24" t="n"/>
      <c r="J53" s="22">
        <f>IFERROR((I53-H53)/30,0)</f>
        <v/>
      </c>
      <c r="K53" s="23">
        <f>IFERROR(VLOOKUP(F53,'Property Registry'!B5:G154,6,FALSE),0)</f>
        <v/>
      </c>
      <c r="L53" s="23" t="n"/>
      <c r="M53" s="21" t="n"/>
      <c r="N53" s="21" t="n"/>
      <c r="O53" s="21" t="n"/>
      <c r="P53" s="21" t="n"/>
    </row>
    <row r="54" ht="22" customHeight="1">
      <c r="B54" s="25" t="n"/>
      <c r="C54" s="25" t="n"/>
      <c r="D54" s="25" t="n"/>
      <c r="E54" s="25" t="n"/>
      <c r="F54" s="25" t="n"/>
      <c r="G54" s="25" t="n"/>
      <c r="H54" s="28" t="n"/>
      <c r="I54" s="28" t="n"/>
      <c r="J54" s="26">
        <f>IFERROR((I54-H54)/30,0)</f>
        <v/>
      </c>
      <c r="K54" s="27">
        <f>IFERROR(VLOOKUP(F54,'Property Registry'!B5:G154,6,FALSE),0)</f>
        <v/>
      </c>
      <c r="L54" s="27" t="n"/>
      <c r="M54" s="25" t="n"/>
      <c r="N54" s="25" t="n"/>
      <c r="O54" s="25" t="n"/>
      <c r="P54" s="25" t="n"/>
    </row>
    <row r="55" ht="22" customHeight="1">
      <c r="B55" s="21" t="n"/>
      <c r="C55" s="21" t="n"/>
      <c r="D55" s="21" t="n"/>
      <c r="E55" s="21" t="n"/>
      <c r="F55" s="21" t="n"/>
      <c r="G55" s="21" t="n"/>
      <c r="H55" s="24" t="n"/>
      <c r="I55" s="24" t="n"/>
      <c r="J55" s="22">
        <f>IFERROR((I55-H55)/30,0)</f>
        <v/>
      </c>
      <c r="K55" s="23">
        <f>IFERROR(VLOOKUP(F55,'Property Registry'!B5:G154,6,FALSE),0)</f>
        <v/>
      </c>
      <c r="L55" s="23" t="n"/>
      <c r="M55" s="21" t="n"/>
      <c r="N55" s="21" t="n"/>
      <c r="O55" s="21" t="n"/>
      <c r="P55" s="21" t="n"/>
    </row>
    <row r="56" ht="22" customHeight="1">
      <c r="B56" s="25" t="n"/>
      <c r="C56" s="25" t="n"/>
      <c r="D56" s="25" t="n"/>
      <c r="E56" s="25" t="n"/>
      <c r="F56" s="25" t="n"/>
      <c r="G56" s="25" t="n"/>
      <c r="H56" s="28" t="n"/>
      <c r="I56" s="28" t="n"/>
      <c r="J56" s="26">
        <f>IFERROR((I56-H56)/30,0)</f>
        <v/>
      </c>
      <c r="K56" s="27">
        <f>IFERROR(VLOOKUP(F56,'Property Registry'!B5:G154,6,FALSE),0)</f>
        <v/>
      </c>
      <c r="L56" s="27" t="n"/>
      <c r="M56" s="25" t="n"/>
      <c r="N56" s="25" t="n"/>
      <c r="O56" s="25" t="n"/>
      <c r="P56" s="25" t="n"/>
    </row>
    <row r="57" ht="22" customHeight="1">
      <c r="B57" s="21" t="n"/>
      <c r="C57" s="21" t="n"/>
      <c r="D57" s="21" t="n"/>
      <c r="E57" s="21" t="n"/>
      <c r="F57" s="21" t="n"/>
      <c r="G57" s="21" t="n"/>
      <c r="H57" s="24" t="n"/>
      <c r="I57" s="24" t="n"/>
      <c r="J57" s="22">
        <f>IFERROR((I57-H57)/30,0)</f>
        <v/>
      </c>
      <c r="K57" s="23">
        <f>IFERROR(VLOOKUP(F57,'Property Registry'!B5:G154,6,FALSE),0)</f>
        <v/>
      </c>
      <c r="L57" s="23" t="n"/>
      <c r="M57" s="21" t="n"/>
      <c r="N57" s="21" t="n"/>
      <c r="O57" s="21" t="n"/>
      <c r="P57" s="21" t="n"/>
    </row>
    <row r="58" ht="22" customHeight="1">
      <c r="B58" s="25" t="n"/>
      <c r="C58" s="25" t="n"/>
      <c r="D58" s="25" t="n"/>
      <c r="E58" s="25" t="n"/>
      <c r="F58" s="25" t="n"/>
      <c r="G58" s="25" t="n"/>
      <c r="H58" s="28" t="n"/>
      <c r="I58" s="28" t="n"/>
      <c r="J58" s="26">
        <f>IFERROR((I58-H58)/30,0)</f>
        <v/>
      </c>
      <c r="K58" s="27">
        <f>IFERROR(VLOOKUP(F58,'Property Registry'!B5:G154,6,FALSE),0)</f>
        <v/>
      </c>
      <c r="L58" s="27" t="n"/>
      <c r="M58" s="25" t="n"/>
      <c r="N58" s="25" t="n"/>
      <c r="O58" s="25" t="n"/>
      <c r="P58" s="25" t="n"/>
    </row>
    <row r="59" ht="22" customHeight="1">
      <c r="B59" s="21" t="n"/>
      <c r="C59" s="21" t="n"/>
      <c r="D59" s="21" t="n"/>
      <c r="E59" s="21" t="n"/>
      <c r="F59" s="21" t="n"/>
      <c r="G59" s="21" t="n"/>
      <c r="H59" s="24" t="n"/>
      <c r="I59" s="24" t="n"/>
      <c r="J59" s="22">
        <f>IFERROR((I59-H59)/30,0)</f>
        <v/>
      </c>
      <c r="K59" s="23">
        <f>IFERROR(VLOOKUP(F59,'Property Registry'!B5:G154,6,FALSE),0)</f>
        <v/>
      </c>
      <c r="L59" s="23" t="n"/>
      <c r="M59" s="21" t="n"/>
      <c r="N59" s="21" t="n"/>
      <c r="O59" s="21" t="n"/>
      <c r="P59" s="21" t="n"/>
    </row>
    <row r="60" ht="22" customHeight="1">
      <c r="B60" s="25" t="n"/>
      <c r="C60" s="25" t="n"/>
      <c r="D60" s="25" t="n"/>
      <c r="E60" s="25" t="n"/>
      <c r="F60" s="25" t="n"/>
      <c r="G60" s="25" t="n"/>
      <c r="H60" s="28" t="n"/>
      <c r="I60" s="28" t="n"/>
      <c r="J60" s="26">
        <f>IFERROR((I60-H60)/30,0)</f>
        <v/>
      </c>
      <c r="K60" s="27">
        <f>IFERROR(VLOOKUP(F60,'Property Registry'!B5:G154,6,FALSE),0)</f>
        <v/>
      </c>
      <c r="L60" s="27" t="n"/>
      <c r="M60" s="25" t="n"/>
      <c r="N60" s="25" t="n"/>
      <c r="O60" s="25" t="n"/>
      <c r="P60" s="25" t="n"/>
    </row>
    <row r="61" ht="22" customHeight="1">
      <c r="B61" s="21" t="n"/>
      <c r="C61" s="21" t="n"/>
      <c r="D61" s="21" t="n"/>
      <c r="E61" s="21" t="n"/>
      <c r="F61" s="21" t="n"/>
      <c r="G61" s="21" t="n"/>
      <c r="H61" s="24" t="n"/>
      <c r="I61" s="24" t="n"/>
      <c r="J61" s="22">
        <f>IFERROR((I61-H61)/30,0)</f>
        <v/>
      </c>
      <c r="K61" s="23">
        <f>IFERROR(VLOOKUP(F61,'Property Registry'!B5:G154,6,FALSE),0)</f>
        <v/>
      </c>
      <c r="L61" s="23" t="n"/>
      <c r="M61" s="21" t="n"/>
      <c r="N61" s="21" t="n"/>
      <c r="O61" s="21" t="n"/>
      <c r="P61" s="21" t="n"/>
    </row>
    <row r="62" ht="22" customHeight="1">
      <c r="B62" s="25" t="n"/>
      <c r="C62" s="25" t="n"/>
      <c r="D62" s="25" t="n"/>
      <c r="E62" s="25" t="n"/>
      <c r="F62" s="25" t="n"/>
      <c r="G62" s="25" t="n"/>
      <c r="H62" s="28" t="n"/>
      <c r="I62" s="28" t="n"/>
      <c r="J62" s="26">
        <f>IFERROR((I62-H62)/30,0)</f>
        <v/>
      </c>
      <c r="K62" s="27">
        <f>IFERROR(VLOOKUP(F62,'Property Registry'!B5:G154,6,FALSE),0)</f>
        <v/>
      </c>
      <c r="L62" s="27" t="n"/>
      <c r="M62" s="25" t="n"/>
      <c r="N62" s="25" t="n"/>
      <c r="O62" s="25" t="n"/>
      <c r="P62" s="25" t="n"/>
    </row>
    <row r="63" ht="22" customHeight="1">
      <c r="B63" s="21" t="n"/>
      <c r="C63" s="21" t="n"/>
      <c r="D63" s="21" t="n"/>
      <c r="E63" s="21" t="n"/>
      <c r="F63" s="21" t="n"/>
      <c r="G63" s="21" t="n"/>
      <c r="H63" s="24" t="n"/>
      <c r="I63" s="24" t="n"/>
      <c r="J63" s="22">
        <f>IFERROR((I63-H63)/30,0)</f>
        <v/>
      </c>
      <c r="K63" s="23">
        <f>IFERROR(VLOOKUP(F63,'Property Registry'!B5:G154,6,FALSE),0)</f>
        <v/>
      </c>
      <c r="L63" s="23" t="n"/>
      <c r="M63" s="21" t="n"/>
      <c r="N63" s="21" t="n"/>
      <c r="O63" s="21" t="n"/>
      <c r="P63" s="21" t="n"/>
    </row>
    <row r="64" ht="22" customHeight="1">
      <c r="B64" s="25" t="n"/>
      <c r="C64" s="25" t="n"/>
      <c r="D64" s="25" t="n"/>
      <c r="E64" s="25" t="n"/>
      <c r="F64" s="25" t="n"/>
      <c r="G64" s="25" t="n"/>
      <c r="H64" s="28" t="n"/>
      <c r="I64" s="28" t="n"/>
      <c r="J64" s="26">
        <f>IFERROR((I64-H64)/30,0)</f>
        <v/>
      </c>
      <c r="K64" s="27">
        <f>IFERROR(VLOOKUP(F64,'Property Registry'!B5:G154,6,FALSE),0)</f>
        <v/>
      </c>
      <c r="L64" s="27" t="n"/>
      <c r="M64" s="25" t="n"/>
      <c r="N64" s="25" t="n"/>
      <c r="O64" s="25" t="n"/>
      <c r="P64" s="25" t="n"/>
    </row>
    <row r="65" ht="22" customHeight="1">
      <c r="B65" s="21" t="n"/>
      <c r="C65" s="21" t="n"/>
      <c r="D65" s="21" t="n"/>
      <c r="E65" s="21" t="n"/>
      <c r="F65" s="21" t="n"/>
      <c r="G65" s="21" t="n"/>
      <c r="H65" s="24" t="n"/>
      <c r="I65" s="24" t="n"/>
      <c r="J65" s="22">
        <f>IFERROR((I65-H65)/30,0)</f>
        <v/>
      </c>
      <c r="K65" s="23">
        <f>IFERROR(VLOOKUP(F65,'Property Registry'!B5:G154,6,FALSE),0)</f>
        <v/>
      </c>
      <c r="L65" s="23" t="n"/>
      <c r="M65" s="21" t="n"/>
      <c r="N65" s="21" t="n"/>
      <c r="O65" s="21" t="n"/>
      <c r="P65" s="21" t="n"/>
    </row>
    <row r="66" ht="22" customHeight="1">
      <c r="B66" s="25" t="n"/>
      <c r="C66" s="25" t="n"/>
      <c r="D66" s="25" t="n"/>
      <c r="E66" s="25" t="n"/>
      <c r="F66" s="25" t="n"/>
      <c r="G66" s="25" t="n"/>
      <c r="H66" s="28" t="n"/>
      <c r="I66" s="28" t="n"/>
      <c r="J66" s="26">
        <f>IFERROR((I66-H66)/30,0)</f>
        <v/>
      </c>
      <c r="K66" s="27">
        <f>IFERROR(VLOOKUP(F66,'Property Registry'!B5:G154,6,FALSE),0)</f>
        <v/>
      </c>
      <c r="L66" s="27" t="n"/>
      <c r="M66" s="25" t="n"/>
      <c r="N66" s="25" t="n"/>
      <c r="O66" s="25" t="n"/>
      <c r="P66" s="25" t="n"/>
    </row>
    <row r="67" ht="22" customHeight="1">
      <c r="B67" s="21" t="n"/>
      <c r="C67" s="21" t="n"/>
      <c r="D67" s="21" t="n"/>
      <c r="E67" s="21" t="n"/>
      <c r="F67" s="21" t="n"/>
      <c r="G67" s="21" t="n"/>
      <c r="H67" s="24" t="n"/>
      <c r="I67" s="24" t="n"/>
      <c r="J67" s="22">
        <f>IFERROR((I67-H67)/30,0)</f>
        <v/>
      </c>
      <c r="K67" s="23">
        <f>IFERROR(VLOOKUP(F67,'Property Registry'!B5:G154,6,FALSE),0)</f>
        <v/>
      </c>
      <c r="L67" s="23" t="n"/>
      <c r="M67" s="21" t="n"/>
      <c r="N67" s="21" t="n"/>
      <c r="O67" s="21" t="n"/>
      <c r="P67" s="21" t="n"/>
    </row>
    <row r="68" ht="22" customHeight="1">
      <c r="B68" s="25" t="n"/>
      <c r="C68" s="25" t="n"/>
      <c r="D68" s="25" t="n"/>
      <c r="E68" s="25" t="n"/>
      <c r="F68" s="25" t="n"/>
      <c r="G68" s="25" t="n"/>
      <c r="H68" s="28" t="n"/>
      <c r="I68" s="28" t="n"/>
      <c r="J68" s="26">
        <f>IFERROR((I68-H68)/30,0)</f>
        <v/>
      </c>
      <c r="K68" s="27">
        <f>IFERROR(VLOOKUP(F68,'Property Registry'!B5:G154,6,FALSE),0)</f>
        <v/>
      </c>
      <c r="L68" s="27" t="n"/>
      <c r="M68" s="25" t="n"/>
      <c r="N68" s="25" t="n"/>
      <c r="O68" s="25" t="n"/>
      <c r="P68" s="25" t="n"/>
    </row>
    <row r="69" ht="22" customHeight="1">
      <c r="B69" s="21" t="n"/>
      <c r="C69" s="21" t="n"/>
      <c r="D69" s="21" t="n"/>
      <c r="E69" s="21" t="n"/>
      <c r="F69" s="21" t="n"/>
      <c r="G69" s="21" t="n"/>
      <c r="H69" s="24" t="n"/>
      <c r="I69" s="24" t="n"/>
      <c r="J69" s="22">
        <f>IFERROR((I69-H69)/30,0)</f>
        <v/>
      </c>
      <c r="K69" s="23">
        <f>IFERROR(VLOOKUP(F69,'Property Registry'!B5:G154,6,FALSE),0)</f>
        <v/>
      </c>
      <c r="L69" s="23" t="n"/>
      <c r="M69" s="21" t="n"/>
      <c r="N69" s="21" t="n"/>
      <c r="O69" s="21" t="n"/>
      <c r="P69" s="21" t="n"/>
    </row>
    <row r="70" ht="22" customHeight="1">
      <c r="B70" s="25" t="n"/>
      <c r="C70" s="25" t="n"/>
      <c r="D70" s="25" t="n"/>
      <c r="E70" s="25" t="n"/>
      <c r="F70" s="25" t="n"/>
      <c r="G70" s="25" t="n"/>
      <c r="H70" s="28" t="n"/>
      <c r="I70" s="28" t="n"/>
      <c r="J70" s="26">
        <f>IFERROR((I70-H70)/30,0)</f>
        <v/>
      </c>
      <c r="K70" s="27">
        <f>IFERROR(VLOOKUP(F70,'Property Registry'!B5:G154,6,FALSE),0)</f>
        <v/>
      </c>
      <c r="L70" s="27" t="n"/>
      <c r="M70" s="25" t="n"/>
      <c r="N70" s="25" t="n"/>
      <c r="O70" s="25" t="n"/>
      <c r="P70" s="25" t="n"/>
    </row>
    <row r="71" ht="22" customHeight="1">
      <c r="B71" s="21" t="n"/>
      <c r="C71" s="21" t="n"/>
      <c r="D71" s="21" t="n"/>
      <c r="E71" s="21" t="n"/>
      <c r="F71" s="21" t="n"/>
      <c r="G71" s="21" t="n"/>
      <c r="H71" s="24" t="n"/>
      <c r="I71" s="24" t="n"/>
      <c r="J71" s="22">
        <f>IFERROR((I71-H71)/30,0)</f>
        <v/>
      </c>
      <c r="K71" s="23">
        <f>IFERROR(VLOOKUP(F71,'Property Registry'!B5:G154,6,FALSE),0)</f>
        <v/>
      </c>
      <c r="L71" s="23" t="n"/>
      <c r="M71" s="21" t="n"/>
      <c r="N71" s="21" t="n"/>
      <c r="O71" s="21" t="n"/>
      <c r="P71" s="21" t="n"/>
    </row>
    <row r="72" ht="22" customHeight="1">
      <c r="B72" s="25" t="n"/>
      <c r="C72" s="25" t="n"/>
      <c r="D72" s="25" t="n"/>
      <c r="E72" s="25" t="n"/>
      <c r="F72" s="25" t="n"/>
      <c r="G72" s="25" t="n"/>
      <c r="H72" s="28" t="n"/>
      <c r="I72" s="28" t="n"/>
      <c r="J72" s="26">
        <f>IFERROR((I72-H72)/30,0)</f>
        <v/>
      </c>
      <c r="K72" s="27">
        <f>IFERROR(VLOOKUP(F72,'Property Registry'!B5:G154,6,FALSE),0)</f>
        <v/>
      </c>
      <c r="L72" s="27" t="n"/>
      <c r="M72" s="25" t="n"/>
      <c r="N72" s="25" t="n"/>
      <c r="O72" s="25" t="n"/>
      <c r="P72" s="25" t="n"/>
    </row>
    <row r="73" ht="22" customHeight="1">
      <c r="B73" s="21" t="n"/>
      <c r="C73" s="21" t="n"/>
      <c r="D73" s="21" t="n"/>
      <c r="E73" s="21" t="n"/>
      <c r="F73" s="21" t="n"/>
      <c r="G73" s="21" t="n"/>
      <c r="H73" s="24" t="n"/>
      <c r="I73" s="24" t="n"/>
      <c r="J73" s="22">
        <f>IFERROR((I73-H73)/30,0)</f>
        <v/>
      </c>
      <c r="K73" s="23">
        <f>IFERROR(VLOOKUP(F73,'Property Registry'!B5:G154,6,FALSE),0)</f>
        <v/>
      </c>
      <c r="L73" s="23" t="n"/>
      <c r="M73" s="21" t="n"/>
      <c r="N73" s="21" t="n"/>
      <c r="O73" s="21" t="n"/>
      <c r="P73" s="21" t="n"/>
    </row>
    <row r="74" ht="22" customHeight="1">
      <c r="B74" s="25" t="n"/>
      <c r="C74" s="25" t="n"/>
      <c r="D74" s="25" t="n"/>
      <c r="E74" s="25" t="n"/>
      <c r="F74" s="25" t="n"/>
      <c r="G74" s="25" t="n"/>
      <c r="H74" s="28" t="n"/>
      <c r="I74" s="28" t="n"/>
      <c r="J74" s="26">
        <f>IFERROR((I74-H74)/30,0)</f>
        <v/>
      </c>
      <c r="K74" s="27">
        <f>IFERROR(VLOOKUP(F74,'Property Registry'!B5:G154,6,FALSE),0)</f>
        <v/>
      </c>
      <c r="L74" s="27" t="n"/>
      <c r="M74" s="25" t="n"/>
      <c r="N74" s="25" t="n"/>
      <c r="O74" s="25" t="n"/>
      <c r="P74" s="25" t="n"/>
    </row>
    <row r="75" ht="22" customHeight="1">
      <c r="B75" s="21" t="n"/>
      <c r="C75" s="21" t="n"/>
      <c r="D75" s="21" t="n"/>
      <c r="E75" s="21" t="n"/>
      <c r="F75" s="21" t="n"/>
      <c r="G75" s="21" t="n"/>
      <c r="H75" s="24" t="n"/>
      <c r="I75" s="24" t="n"/>
      <c r="J75" s="22">
        <f>IFERROR((I75-H75)/30,0)</f>
        <v/>
      </c>
      <c r="K75" s="23">
        <f>IFERROR(VLOOKUP(F75,'Property Registry'!B5:G154,6,FALSE),0)</f>
        <v/>
      </c>
      <c r="L75" s="23" t="n"/>
      <c r="M75" s="21" t="n"/>
      <c r="N75" s="21" t="n"/>
      <c r="O75" s="21" t="n"/>
      <c r="P75" s="21" t="n"/>
    </row>
    <row r="76" ht="22" customHeight="1">
      <c r="B76" s="25" t="n"/>
      <c r="C76" s="25" t="n"/>
      <c r="D76" s="25" t="n"/>
      <c r="E76" s="25" t="n"/>
      <c r="F76" s="25" t="n"/>
      <c r="G76" s="25" t="n"/>
      <c r="H76" s="28" t="n"/>
      <c r="I76" s="28" t="n"/>
      <c r="J76" s="26">
        <f>IFERROR((I76-H76)/30,0)</f>
        <v/>
      </c>
      <c r="K76" s="27">
        <f>IFERROR(VLOOKUP(F76,'Property Registry'!B5:G154,6,FALSE),0)</f>
        <v/>
      </c>
      <c r="L76" s="27" t="n"/>
      <c r="M76" s="25" t="n"/>
      <c r="N76" s="25" t="n"/>
      <c r="O76" s="25" t="n"/>
      <c r="P76" s="25" t="n"/>
    </row>
    <row r="77" ht="22" customHeight="1">
      <c r="B77" s="21" t="n"/>
      <c r="C77" s="21" t="n"/>
      <c r="D77" s="21" t="n"/>
      <c r="E77" s="21" t="n"/>
      <c r="F77" s="21" t="n"/>
      <c r="G77" s="21" t="n"/>
      <c r="H77" s="24" t="n"/>
      <c r="I77" s="24" t="n"/>
      <c r="J77" s="22">
        <f>IFERROR((I77-H77)/30,0)</f>
        <v/>
      </c>
      <c r="K77" s="23">
        <f>IFERROR(VLOOKUP(F77,'Property Registry'!B5:G154,6,FALSE),0)</f>
        <v/>
      </c>
      <c r="L77" s="23" t="n"/>
      <c r="M77" s="21" t="n"/>
      <c r="N77" s="21" t="n"/>
      <c r="O77" s="21" t="n"/>
      <c r="P77" s="21" t="n"/>
    </row>
    <row r="78" ht="22" customHeight="1">
      <c r="B78" s="25" t="n"/>
      <c r="C78" s="25" t="n"/>
      <c r="D78" s="25" t="n"/>
      <c r="E78" s="25" t="n"/>
      <c r="F78" s="25" t="n"/>
      <c r="G78" s="25" t="n"/>
      <c r="H78" s="28" t="n"/>
      <c r="I78" s="28" t="n"/>
      <c r="J78" s="26">
        <f>IFERROR((I78-H78)/30,0)</f>
        <v/>
      </c>
      <c r="K78" s="27">
        <f>IFERROR(VLOOKUP(F78,'Property Registry'!B5:G154,6,FALSE),0)</f>
        <v/>
      </c>
      <c r="L78" s="27" t="n"/>
      <c r="M78" s="25" t="n"/>
      <c r="N78" s="25" t="n"/>
      <c r="O78" s="25" t="n"/>
      <c r="P78" s="25" t="n"/>
    </row>
    <row r="79" ht="22" customHeight="1">
      <c r="B79" s="21" t="n"/>
      <c r="C79" s="21" t="n"/>
      <c r="D79" s="21" t="n"/>
      <c r="E79" s="21" t="n"/>
      <c r="F79" s="21" t="n"/>
      <c r="G79" s="21" t="n"/>
      <c r="H79" s="24" t="n"/>
      <c r="I79" s="24" t="n"/>
      <c r="J79" s="22">
        <f>IFERROR((I79-H79)/30,0)</f>
        <v/>
      </c>
      <c r="K79" s="23">
        <f>IFERROR(VLOOKUP(F79,'Property Registry'!B5:G154,6,FALSE),0)</f>
        <v/>
      </c>
      <c r="L79" s="23" t="n"/>
      <c r="M79" s="21" t="n"/>
      <c r="N79" s="21" t="n"/>
      <c r="O79" s="21" t="n"/>
      <c r="P79" s="21" t="n"/>
    </row>
    <row r="80" ht="22" customHeight="1">
      <c r="B80" s="25" t="n"/>
      <c r="C80" s="25" t="n"/>
      <c r="D80" s="25" t="n"/>
      <c r="E80" s="25" t="n"/>
      <c r="F80" s="25" t="n"/>
      <c r="G80" s="25" t="n"/>
      <c r="H80" s="28" t="n"/>
      <c r="I80" s="28" t="n"/>
      <c r="J80" s="26">
        <f>IFERROR((I80-H80)/30,0)</f>
        <v/>
      </c>
      <c r="K80" s="27">
        <f>IFERROR(VLOOKUP(F80,'Property Registry'!B5:G154,6,FALSE),0)</f>
        <v/>
      </c>
      <c r="L80" s="27" t="n"/>
      <c r="M80" s="25" t="n"/>
      <c r="N80" s="25" t="n"/>
      <c r="O80" s="25" t="n"/>
      <c r="P80" s="25" t="n"/>
    </row>
    <row r="81" ht="22" customHeight="1">
      <c r="B81" s="21" t="n"/>
      <c r="C81" s="21" t="n"/>
      <c r="D81" s="21" t="n"/>
      <c r="E81" s="21" t="n"/>
      <c r="F81" s="21" t="n"/>
      <c r="G81" s="21" t="n"/>
      <c r="H81" s="24" t="n"/>
      <c r="I81" s="24" t="n"/>
      <c r="J81" s="22">
        <f>IFERROR((I81-H81)/30,0)</f>
        <v/>
      </c>
      <c r="K81" s="23">
        <f>IFERROR(VLOOKUP(F81,'Property Registry'!B5:G154,6,FALSE),0)</f>
        <v/>
      </c>
      <c r="L81" s="23" t="n"/>
      <c r="M81" s="21" t="n"/>
      <c r="N81" s="21" t="n"/>
      <c r="O81" s="21" t="n"/>
      <c r="P81" s="21" t="n"/>
    </row>
    <row r="82" ht="22" customHeight="1">
      <c r="B82" s="25" t="n"/>
      <c r="C82" s="25" t="n"/>
      <c r="D82" s="25" t="n"/>
      <c r="E82" s="25" t="n"/>
      <c r="F82" s="25" t="n"/>
      <c r="G82" s="25" t="n"/>
      <c r="H82" s="28" t="n"/>
      <c r="I82" s="28" t="n"/>
      <c r="J82" s="26">
        <f>IFERROR((I82-H82)/30,0)</f>
        <v/>
      </c>
      <c r="K82" s="27">
        <f>IFERROR(VLOOKUP(F82,'Property Registry'!B5:G154,6,FALSE),0)</f>
        <v/>
      </c>
      <c r="L82" s="27" t="n"/>
      <c r="M82" s="25" t="n"/>
      <c r="N82" s="25" t="n"/>
      <c r="O82" s="25" t="n"/>
      <c r="P82" s="25" t="n"/>
    </row>
    <row r="83" ht="22" customHeight="1">
      <c r="B83" s="21" t="n"/>
      <c r="C83" s="21" t="n"/>
      <c r="D83" s="21" t="n"/>
      <c r="E83" s="21" t="n"/>
      <c r="F83" s="21" t="n"/>
      <c r="G83" s="21" t="n"/>
      <c r="H83" s="24" t="n"/>
      <c r="I83" s="24" t="n"/>
      <c r="J83" s="22">
        <f>IFERROR((I83-H83)/30,0)</f>
        <v/>
      </c>
      <c r="K83" s="23">
        <f>IFERROR(VLOOKUP(F83,'Property Registry'!B5:G154,6,FALSE),0)</f>
        <v/>
      </c>
      <c r="L83" s="23" t="n"/>
      <c r="M83" s="21" t="n"/>
      <c r="N83" s="21" t="n"/>
      <c r="O83" s="21" t="n"/>
      <c r="P83" s="21" t="n"/>
    </row>
    <row r="84" ht="22" customHeight="1">
      <c r="B84" s="25" t="n"/>
      <c r="C84" s="25" t="n"/>
      <c r="D84" s="25" t="n"/>
      <c r="E84" s="25" t="n"/>
      <c r="F84" s="25" t="n"/>
      <c r="G84" s="25" t="n"/>
      <c r="H84" s="28" t="n"/>
      <c r="I84" s="28" t="n"/>
      <c r="J84" s="26">
        <f>IFERROR((I84-H84)/30,0)</f>
        <v/>
      </c>
      <c r="K84" s="27">
        <f>IFERROR(VLOOKUP(F84,'Property Registry'!B5:G154,6,FALSE),0)</f>
        <v/>
      </c>
      <c r="L84" s="27" t="n"/>
      <c r="M84" s="25" t="n"/>
      <c r="N84" s="25" t="n"/>
      <c r="O84" s="25" t="n"/>
      <c r="P84" s="25" t="n"/>
    </row>
    <row r="85" ht="22" customHeight="1">
      <c r="B85" s="21" t="n"/>
      <c r="C85" s="21" t="n"/>
      <c r="D85" s="21" t="n"/>
      <c r="E85" s="21" t="n"/>
      <c r="F85" s="21" t="n"/>
      <c r="G85" s="21" t="n"/>
      <c r="H85" s="24" t="n"/>
      <c r="I85" s="24" t="n"/>
      <c r="J85" s="22">
        <f>IFERROR((I85-H85)/30,0)</f>
        <v/>
      </c>
      <c r="K85" s="23">
        <f>IFERROR(VLOOKUP(F85,'Property Registry'!B5:G154,6,FALSE),0)</f>
        <v/>
      </c>
      <c r="L85" s="23" t="n"/>
      <c r="M85" s="21" t="n"/>
      <c r="N85" s="21" t="n"/>
      <c r="O85" s="21" t="n"/>
      <c r="P85" s="21" t="n"/>
    </row>
    <row r="86" ht="22" customHeight="1">
      <c r="B86" s="25" t="n"/>
      <c r="C86" s="25" t="n"/>
      <c r="D86" s="25" t="n"/>
      <c r="E86" s="25" t="n"/>
      <c r="F86" s="25" t="n"/>
      <c r="G86" s="25" t="n"/>
      <c r="H86" s="28" t="n"/>
      <c r="I86" s="28" t="n"/>
      <c r="J86" s="26">
        <f>IFERROR((I86-H86)/30,0)</f>
        <v/>
      </c>
      <c r="K86" s="27">
        <f>IFERROR(VLOOKUP(F86,'Property Registry'!B5:G154,6,FALSE),0)</f>
        <v/>
      </c>
      <c r="L86" s="27" t="n"/>
      <c r="M86" s="25" t="n"/>
      <c r="N86" s="25" t="n"/>
      <c r="O86" s="25" t="n"/>
      <c r="P86" s="25" t="n"/>
    </row>
    <row r="87" ht="22" customHeight="1">
      <c r="B87" s="21" t="n"/>
      <c r="C87" s="21" t="n"/>
      <c r="D87" s="21" t="n"/>
      <c r="E87" s="21" t="n"/>
      <c r="F87" s="21" t="n"/>
      <c r="G87" s="21" t="n"/>
      <c r="H87" s="24" t="n"/>
      <c r="I87" s="24" t="n"/>
      <c r="J87" s="22">
        <f>IFERROR((I87-H87)/30,0)</f>
        <v/>
      </c>
      <c r="K87" s="23">
        <f>IFERROR(VLOOKUP(F87,'Property Registry'!B5:G154,6,FALSE),0)</f>
        <v/>
      </c>
      <c r="L87" s="23" t="n"/>
      <c r="M87" s="21" t="n"/>
      <c r="N87" s="21" t="n"/>
      <c r="O87" s="21" t="n"/>
      <c r="P87" s="21" t="n"/>
    </row>
    <row r="88" ht="22" customHeight="1">
      <c r="B88" s="25" t="n"/>
      <c r="C88" s="25" t="n"/>
      <c r="D88" s="25" t="n"/>
      <c r="E88" s="25" t="n"/>
      <c r="F88" s="25" t="n"/>
      <c r="G88" s="25" t="n"/>
      <c r="H88" s="28" t="n"/>
      <c r="I88" s="28" t="n"/>
      <c r="J88" s="26">
        <f>IFERROR((I88-H88)/30,0)</f>
        <v/>
      </c>
      <c r="K88" s="27">
        <f>IFERROR(VLOOKUP(F88,'Property Registry'!B5:G154,6,FALSE),0)</f>
        <v/>
      </c>
      <c r="L88" s="27" t="n"/>
      <c r="M88" s="25" t="n"/>
      <c r="N88" s="25" t="n"/>
      <c r="O88" s="25" t="n"/>
      <c r="P88" s="25" t="n"/>
    </row>
    <row r="89" ht="22" customHeight="1">
      <c r="B89" s="21" t="n"/>
      <c r="C89" s="21" t="n"/>
      <c r="D89" s="21" t="n"/>
      <c r="E89" s="21" t="n"/>
      <c r="F89" s="21" t="n"/>
      <c r="G89" s="21" t="n"/>
      <c r="H89" s="24" t="n"/>
      <c r="I89" s="24" t="n"/>
      <c r="J89" s="22">
        <f>IFERROR((I89-H89)/30,0)</f>
        <v/>
      </c>
      <c r="K89" s="23">
        <f>IFERROR(VLOOKUP(F89,'Property Registry'!B5:G154,6,FALSE),0)</f>
        <v/>
      </c>
      <c r="L89" s="23" t="n"/>
      <c r="M89" s="21" t="n"/>
      <c r="N89" s="21" t="n"/>
      <c r="O89" s="21" t="n"/>
      <c r="P89" s="21" t="n"/>
    </row>
    <row r="90" ht="22" customHeight="1">
      <c r="B90" s="25" t="n"/>
      <c r="C90" s="25" t="n"/>
      <c r="D90" s="25" t="n"/>
      <c r="E90" s="25" t="n"/>
      <c r="F90" s="25" t="n"/>
      <c r="G90" s="25" t="n"/>
      <c r="H90" s="28" t="n"/>
      <c r="I90" s="28" t="n"/>
      <c r="J90" s="26">
        <f>IFERROR((I90-H90)/30,0)</f>
        <v/>
      </c>
      <c r="K90" s="27">
        <f>IFERROR(VLOOKUP(F90,'Property Registry'!B5:G154,6,FALSE),0)</f>
        <v/>
      </c>
      <c r="L90" s="27" t="n"/>
      <c r="M90" s="25" t="n"/>
      <c r="N90" s="25" t="n"/>
      <c r="O90" s="25" t="n"/>
      <c r="P90" s="25" t="n"/>
    </row>
    <row r="91" ht="22" customHeight="1">
      <c r="B91" s="21" t="n"/>
      <c r="C91" s="21" t="n"/>
      <c r="D91" s="21" t="n"/>
      <c r="E91" s="21" t="n"/>
      <c r="F91" s="21" t="n"/>
      <c r="G91" s="21" t="n"/>
      <c r="H91" s="24" t="n"/>
      <c r="I91" s="24" t="n"/>
      <c r="J91" s="22">
        <f>IFERROR((I91-H91)/30,0)</f>
        <v/>
      </c>
      <c r="K91" s="23">
        <f>IFERROR(VLOOKUP(F91,'Property Registry'!B5:G154,6,FALSE),0)</f>
        <v/>
      </c>
      <c r="L91" s="23" t="n"/>
      <c r="M91" s="21" t="n"/>
      <c r="N91" s="21" t="n"/>
      <c r="O91" s="21" t="n"/>
      <c r="P91" s="21" t="n"/>
    </row>
    <row r="92" ht="22" customHeight="1">
      <c r="B92" s="25" t="n"/>
      <c r="C92" s="25" t="n"/>
      <c r="D92" s="25" t="n"/>
      <c r="E92" s="25" t="n"/>
      <c r="F92" s="25" t="n"/>
      <c r="G92" s="25" t="n"/>
      <c r="H92" s="28" t="n"/>
      <c r="I92" s="28" t="n"/>
      <c r="J92" s="26">
        <f>IFERROR((I92-H92)/30,0)</f>
        <v/>
      </c>
      <c r="K92" s="27">
        <f>IFERROR(VLOOKUP(F92,'Property Registry'!B5:G154,6,FALSE),0)</f>
        <v/>
      </c>
      <c r="L92" s="27" t="n"/>
      <c r="M92" s="25" t="n"/>
      <c r="N92" s="25" t="n"/>
      <c r="O92" s="25" t="n"/>
      <c r="P92" s="25" t="n"/>
    </row>
    <row r="93" ht="22" customHeight="1">
      <c r="B93" s="21" t="n"/>
      <c r="C93" s="21" t="n"/>
      <c r="D93" s="21" t="n"/>
      <c r="E93" s="21" t="n"/>
      <c r="F93" s="21" t="n"/>
      <c r="G93" s="21" t="n"/>
      <c r="H93" s="24" t="n"/>
      <c r="I93" s="24" t="n"/>
      <c r="J93" s="22">
        <f>IFERROR((I93-H93)/30,0)</f>
        <v/>
      </c>
      <c r="K93" s="23">
        <f>IFERROR(VLOOKUP(F93,'Property Registry'!B5:G154,6,FALSE),0)</f>
        <v/>
      </c>
      <c r="L93" s="23" t="n"/>
      <c r="M93" s="21" t="n"/>
      <c r="N93" s="21" t="n"/>
      <c r="O93" s="21" t="n"/>
      <c r="P93" s="21" t="n"/>
    </row>
    <row r="94" ht="22" customHeight="1">
      <c r="B94" s="25" t="n"/>
      <c r="C94" s="25" t="n"/>
      <c r="D94" s="25" t="n"/>
      <c r="E94" s="25" t="n"/>
      <c r="F94" s="25" t="n"/>
      <c r="G94" s="25" t="n"/>
      <c r="H94" s="28" t="n"/>
      <c r="I94" s="28" t="n"/>
      <c r="J94" s="26">
        <f>IFERROR((I94-H94)/30,0)</f>
        <v/>
      </c>
      <c r="K94" s="27">
        <f>IFERROR(VLOOKUP(F94,'Property Registry'!B5:G154,6,FALSE),0)</f>
        <v/>
      </c>
      <c r="L94" s="27" t="n"/>
      <c r="M94" s="25" t="n"/>
      <c r="N94" s="25" t="n"/>
      <c r="O94" s="25" t="n"/>
      <c r="P94" s="25" t="n"/>
    </row>
    <row r="95" ht="22" customHeight="1">
      <c r="B95" s="21" t="n"/>
      <c r="C95" s="21" t="n"/>
      <c r="D95" s="21" t="n"/>
      <c r="E95" s="21" t="n"/>
      <c r="F95" s="21" t="n"/>
      <c r="G95" s="21" t="n"/>
      <c r="H95" s="24" t="n"/>
      <c r="I95" s="24" t="n"/>
      <c r="J95" s="22">
        <f>IFERROR((I95-H95)/30,0)</f>
        <v/>
      </c>
      <c r="K95" s="23">
        <f>IFERROR(VLOOKUP(F95,'Property Registry'!B5:G154,6,FALSE),0)</f>
        <v/>
      </c>
      <c r="L95" s="23" t="n"/>
      <c r="M95" s="21" t="n"/>
      <c r="N95" s="21" t="n"/>
      <c r="O95" s="21" t="n"/>
      <c r="P95" s="21" t="n"/>
    </row>
    <row r="96" ht="22" customHeight="1">
      <c r="B96" s="25" t="n"/>
      <c r="C96" s="25" t="n"/>
      <c r="D96" s="25" t="n"/>
      <c r="E96" s="25" t="n"/>
      <c r="F96" s="25" t="n"/>
      <c r="G96" s="25" t="n"/>
      <c r="H96" s="28" t="n"/>
      <c r="I96" s="28" t="n"/>
      <c r="J96" s="26">
        <f>IFERROR((I96-H96)/30,0)</f>
        <v/>
      </c>
      <c r="K96" s="27">
        <f>IFERROR(VLOOKUP(F96,'Property Registry'!B5:G154,6,FALSE),0)</f>
        <v/>
      </c>
      <c r="L96" s="27" t="n"/>
      <c r="M96" s="25" t="n"/>
      <c r="N96" s="25" t="n"/>
      <c r="O96" s="25" t="n"/>
      <c r="P96" s="25" t="n"/>
    </row>
    <row r="97" ht="22" customHeight="1">
      <c r="B97" s="21" t="n"/>
      <c r="C97" s="21" t="n"/>
      <c r="D97" s="21" t="n"/>
      <c r="E97" s="21" t="n"/>
      <c r="F97" s="21" t="n"/>
      <c r="G97" s="21" t="n"/>
      <c r="H97" s="24" t="n"/>
      <c r="I97" s="24" t="n"/>
      <c r="J97" s="22">
        <f>IFERROR((I97-H97)/30,0)</f>
        <v/>
      </c>
      <c r="K97" s="23">
        <f>IFERROR(VLOOKUP(F97,'Property Registry'!B5:G154,6,FALSE),0)</f>
        <v/>
      </c>
      <c r="L97" s="23" t="n"/>
      <c r="M97" s="21" t="n"/>
      <c r="N97" s="21" t="n"/>
      <c r="O97" s="21" t="n"/>
      <c r="P97" s="21" t="n"/>
    </row>
    <row r="98" ht="22" customHeight="1">
      <c r="B98" s="25" t="n"/>
      <c r="C98" s="25" t="n"/>
      <c r="D98" s="25" t="n"/>
      <c r="E98" s="25" t="n"/>
      <c r="F98" s="25" t="n"/>
      <c r="G98" s="25" t="n"/>
      <c r="H98" s="28" t="n"/>
      <c r="I98" s="28" t="n"/>
      <c r="J98" s="26">
        <f>IFERROR((I98-H98)/30,0)</f>
        <v/>
      </c>
      <c r="K98" s="27">
        <f>IFERROR(VLOOKUP(F98,'Property Registry'!B5:G154,6,FALSE),0)</f>
        <v/>
      </c>
      <c r="L98" s="27" t="n"/>
      <c r="M98" s="25" t="n"/>
      <c r="N98" s="25" t="n"/>
      <c r="O98" s="25" t="n"/>
      <c r="P98" s="25" t="n"/>
    </row>
    <row r="99" ht="22" customHeight="1">
      <c r="B99" s="21" t="n"/>
      <c r="C99" s="21" t="n"/>
      <c r="D99" s="21" t="n"/>
      <c r="E99" s="21" t="n"/>
      <c r="F99" s="21" t="n"/>
      <c r="G99" s="21" t="n"/>
      <c r="H99" s="24" t="n"/>
      <c r="I99" s="24" t="n"/>
      <c r="J99" s="22">
        <f>IFERROR((I99-H99)/30,0)</f>
        <v/>
      </c>
      <c r="K99" s="23">
        <f>IFERROR(VLOOKUP(F99,'Property Registry'!B5:G154,6,FALSE),0)</f>
        <v/>
      </c>
      <c r="L99" s="23" t="n"/>
      <c r="M99" s="21" t="n"/>
      <c r="N99" s="21" t="n"/>
      <c r="O99" s="21" t="n"/>
      <c r="P99" s="21" t="n"/>
    </row>
    <row r="100" ht="22" customHeight="1">
      <c r="B100" s="25" t="n"/>
      <c r="C100" s="25" t="n"/>
      <c r="D100" s="25" t="n"/>
      <c r="E100" s="25" t="n"/>
      <c r="F100" s="25" t="n"/>
      <c r="G100" s="25" t="n"/>
      <c r="H100" s="28" t="n"/>
      <c r="I100" s="28" t="n"/>
      <c r="J100" s="26">
        <f>IFERROR((I100-H100)/30,0)</f>
        <v/>
      </c>
      <c r="K100" s="27">
        <f>IFERROR(VLOOKUP(F100,'Property Registry'!B5:G154,6,FALSE),0)</f>
        <v/>
      </c>
      <c r="L100" s="27" t="n"/>
      <c r="M100" s="25" t="n"/>
      <c r="N100" s="25" t="n"/>
      <c r="O100" s="25" t="n"/>
      <c r="P100" s="25" t="n"/>
    </row>
    <row r="101" ht="22" customHeight="1">
      <c r="B101" s="21" t="n"/>
      <c r="C101" s="21" t="n"/>
      <c r="D101" s="21" t="n"/>
      <c r="E101" s="21" t="n"/>
      <c r="F101" s="21" t="n"/>
      <c r="G101" s="21" t="n"/>
      <c r="H101" s="24" t="n"/>
      <c r="I101" s="24" t="n"/>
      <c r="J101" s="22">
        <f>IFERROR((I101-H101)/30,0)</f>
        <v/>
      </c>
      <c r="K101" s="23">
        <f>IFERROR(VLOOKUP(F101,'Property Registry'!B5:G154,6,FALSE),0)</f>
        <v/>
      </c>
      <c r="L101" s="23" t="n"/>
      <c r="M101" s="21" t="n"/>
      <c r="N101" s="21" t="n"/>
      <c r="O101" s="21" t="n"/>
      <c r="P101" s="21" t="n"/>
    </row>
    <row r="102" ht="22" customHeight="1">
      <c r="B102" s="25" t="n"/>
      <c r="C102" s="25" t="n"/>
      <c r="D102" s="25" t="n"/>
      <c r="E102" s="25" t="n"/>
      <c r="F102" s="25" t="n"/>
      <c r="G102" s="25" t="n"/>
      <c r="H102" s="28" t="n"/>
      <c r="I102" s="28" t="n"/>
      <c r="J102" s="26">
        <f>IFERROR((I102-H102)/30,0)</f>
        <v/>
      </c>
      <c r="K102" s="27">
        <f>IFERROR(VLOOKUP(F102,'Property Registry'!B5:G154,6,FALSE),0)</f>
        <v/>
      </c>
      <c r="L102" s="27" t="n"/>
      <c r="M102" s="25" t="n"/>
      <c r="N102" s="25" t="n"/>
      <c r="O102" s="25" t="n"/>
      <c r="P102" s="25" t="n"/>
    </row>
    <row r="103" ht="22" customHeight="1">
      <c r="B103" s="21" t="n"/>
      <c r="C103" s="21" t="n"/>
      <c r="D103" s="21" t="n"/>
      <c r="E103" s="21" t="n"/>
      <c r="F103" s="21" t="n"/>
      <c r="G103" s="21" t="n"/>
      <c r="H103" s="24" t="n"/>
      <c r="I103" s="24" t="n"/>
      <c r="J103" s="22">
        <f>IFERROR((I103-H103)/30,0)</f>
        <v/>
      </c>
      <c r="K103" s="23">
        <f>IFERROR(VLOOKUP(F103,'Property Registry'!B5:G154,6,FALSE),0)</f>
        <v/>
      </c>
      <c r="L103" s="23" t="n"/>
      <c r="M103" s="21" t="n"/>
      <c r="N103" s="21" t="n"/>
      <c r="O103" s="21" t="n"/>
      <c r="P103" s="21" t="n"/>
    </row>
    <row r="104" ht="22" customHeight="1">
      <c r="B104" s="25" t="n"/>
      <c r="C104" s="25" t="n"/>
      <c r="D104" s="25" t="n"/>
      <c r="E104" s="25" t="n"/>
      <c r="F104" s="25" t="n"/>
      <c r="G104" s="25" t="n"/>
      <c r="H104" s="28" t="n"/>
      <c r="I104" s="28" t="n"/>
      <c r="J104" s="26">
        <f>IFERROR((I104-H104)/30,0)</f>
        <v/>
      </c>
      <c r="K104" s="27">
        <f>IFERROR(VLOOKUP(F104,'Property Registry'!B5:G154,6,FALSE),0)</f>
        <v/>
      </c>
      <c r="L104" s="27" t="n"/>
      <c r="M104" s="25" t="n"/>
      <c r="N104" s="25" t="n"/>
      <c r="O104" s="25" t="n"/>
      <c r="P104" s="25" t="n"/>
    </row>
    <row r="105" ht="22" customHeight="1">
      <c r="B105" s="21" t="n"/>
      <c r="C105" s="21" t="n"/>
      <c r="D105" s="21" t="n"/>
      <c r="E105" s="21" t="n"/>
      <c r="F105" s="21" t="n"/>
      <c r="G105" s="21" t="n"/>
      <c r="H105" s="24" t="n"/>
      <c r="I105" s="24" t="n"/>
      <c r="J105" s="22">
        <f>IFERROR((I105-H105)/30,0)</f>
        <v/>
      </c>
      <c r="K105" s="23">
        <f>IFERROR(VLOOKUP(F105,'Property Registry'!B5:G154,6,FALSE),0)</f>
        <v/>
      </c>
      <c r="L105" s="23" t="n"/>
      <c r="M105" s="21" t="n"/>
      <c r="N105" s="21" t="n"/>
      <c r="O105" s="21" t="n"/>
      <c r="P105" s="21" t="n"/>
    </row>
    <row r="106" ht="22" customHeight="1">
      <c r="B106" s="25" t="n"/>
      <c r="C106" s="25" t="n"/>
      <c r="D106" s="25" t="n"/>
      <c r="E106" s="25" t="n"/>
      <c r="F106" s="25" t="n"/>
      <c r="G106" s="25" t="n"/>
      <c r="H106" s="28" t="n"/>
      <c r="I106" s="28" t="n"/>
      <c r="J106" s="26">
        <f>IFERROR((I106-H106)/30,0)</f>
        <v/>
      </c>
      <c r="K106" s="27">
        <f>IFERROR(VLOOKUP(F106,'Property Registry'!B5:G154,6,FALSE),0)</f>
        <v/>
      </c>
      <c r="L106" s="27" t="n"/>
      <c r="M106" s="25" t="n"/>
      <c r="N106" s="25" t="n"/>
      <c r="O106" s="25" t="n"/>
      <c r="P106" s="25" t="n"/>
    </row>
    <row r="107" ht="22" customHeight="1">
      <c r="B107" s="21" t="n"/>
      <c r="C107" s="21" t="n"/>
      <c r="D107" s="21" t="n"/>
      <c r="E107" s="21" t="n"/>
      <c r="F107" s="21" t="n"/>
      <c r="G107" s="21" t="n"/>
      <c r="H107" s="24" t="n"/>
      <c r="I107" s="24" t="n"/>
      <c r="J107" s="22">
        <f>IFERROR((I107-H107)/30,0)</f>
        <v/>
      </c>
      <c r="K107" s="23">
        <f>IFERROR(VLOOKUP(F107,'Property Registry'!B5:G154,6,FALSE),0)</f>
        <v/>
      </c>
      <c r="L107" s="23" t="n"/>
      <c r="M107" s="21" t="n"/>
      <c r="N107" s="21" t="n"/>
      <c r="O107" s="21" t="n"/>
      <c r="P107" s="21" t="n"/>
    </row>
    <row r="108" ht="22" customHeight="1">
      <c r="B108" s="25" t="n"/>
      <c r="C108" s="25" t="n"/>
      <c r="D108" s="25" t="n"/>
      <c r="E108" s="25" t="n"/>
      <c r="F108" s="25" t="n"/>
      <c r="G108" s="25" t="n"/>
      <c r="H108" s="28" t="n"/>
      <c r="I108" s="28" t="n"/>
      <c r="J108" s="26">
        <f>IFERROR((I108-H108)/30,0)</f>
        <v/>
      </c>
      <c r="K108" s="27">
        <f>IFERROR(VLOOKUP(F108,'Property Registry'!B5:G154,6,FALSE),0)</f>
        <v/>
      </c>
      <c r="L108" s="27" t="n"/>
      <c r="M108" s="25" t="n"/>
      <c r="N108" s="25" t="n"/>
      <c r="O108" s="25" t="n"/>
      <c r="P108" s="25" t="n"/>
    </row>
    <row r="109" ht="22" customHeight="1">
      <c r="B109" s="21" t="n"/>
      <c r="C109" s="21" t="n"/>
      <c r="D109" s="21" t="n"/>
      <c r="E109" s="21" t="n"/>
      <c r="F109" s="21" t="n"/>
      <c r="G109" s="21" t="n"/>
      <c r="H109" s="24" t="n"/>
      <c r="I109" s="24" t="n"/>
      <c r="J109" s="22">
        <f>IFERROR((I109-H109)/30,0)</f>
        <v/>
      </c>
      <c r="K109" s="23">
        <f>IFERROR(VLOOKUP(F109,'Property Registry'!B5:G154,6,FALSE),0)</f>
        <v/>
      </c>
      <c r="L109" s="23" t="n"/>
      <c r="M109" s="21" t="n"/>
      <c r="N109" s="21" t="n"/>
      <c r="O109" s="21" t="n"/>
      <c r="P109" s="21" t="n"/>
    </row>
    <row r="110" ht="22" customHeight="1">
      <c r="B110" s="25" t="n"/>
      <c r="C110" s="25" t="n"/>
      <c r="D110" s="25" t="n"/>
      <c r="E110" s="25" t="n"/>
      <c r="F110" s="25" t="n"/>
      <c r="G110" s="25" t="n"/>
      <c r="H110" s="28" t="n"/>
      <c r="I110" s="28" t="n"/>
      <c r="J110" s="26">
        <f>IFERROR((I110-H110)/30,0)</f>
        <v/>
      </c>
      <c r="K110" s="27">
        <f>IFERROR(VLOOKUP(F110,'Property Registry'!B5:G154,6,FALSE),0)</f>
        <v/>
      </c>
      <c r="L110" s="27" t="n"/>
      <c r="M110" s="25" t="n"/>
      <c r="N110" s="25" t="n"/>
      <c r="O110" s="25" t="n"/>
      <c r="P110" s="25" t="n"/>
    </row>
    <row r="111" ht="22" customHeight="1">
      <c r="B111" s="21" t="n"/>
      <c r="C111" s="21" t="n"/>
      <c r="D111" s="21" t="n"/>
      <c r="E111" s="21" t="n"/>
      <c r="F111" s="21" t="n"/>
      <c r="G111" s="21" t="n"/>
      <c r="H111" s="24" t="n"/>
      <c r="I111" s="24" t="n"/>
      <c r="J111" s="22">
        <f>IFERROR((I111-H111)/30,0)</f>
        <v/>
      </c>
      <c r="K111" s="23">
        <f>IFERROR(VLOOKUP(F111,'Property Registry'!B5:G154,6,FALSE),0)</f>
        <v/>
      </c>
      <c r="L111" s="23" t="n"/>
      <c r="M111" s="21" t="n"/>
      <c r="N111" s="21" t="n"/>
      <c r="O111" s="21" t="n"/>
      <c r="P111" s="21" t="n"/>
    </row>
    <row r="112" ht="22" customHeight="1">
      <c r="B112" s="25" t="n"/>
      <c r="C112" s="25" t="n"/>
      <c r="D112" s="25" t="n"/>
      <c r="E112" s="25" t="n"/>
      <c r="F112" s="25" t="n"/>
      <c r="G112" s="25" t="n"/>
      <c r="H112" s="28" t="n"/>
      <c r="I112" s="28" t="n"/>
      <c r="J112" s="26">
        <f>IFERROR((I112-H112)/30,0)</f>
        <v/>
      </c>
      <c r="K112" s="27">
        <f>IFERROR(VLOOKUP(F112,'Property Registry'!B5:G154,6,FALSE),0)</f>
        <v/>
      </c>
      <c r="L112" s="27" t="n"/>
      <c r="M112" s="25" t="n"/>
      <c r="N112" s="25" t="n"/>
      <c r="O112" s="25" t="n"/>
      <c r="P112" s="25" t="n"/>
    </row>
    <row r="113" ht="22" customHeight="1">
      <c r="B113" s="21" t="n"/>
      <c r="C113" s="21" t="n"/>
      <c r="D113" s="21" t="n"/>
      <c r="E113" s="21" t="n"/>
      <c r="F113" s="21" t="n"/>
      <c r="G113" s="21" t="n"/>
      <c r="H113" s="24" t="n"/>
      <c r="I113" s="24" t="n"/>
      <c r="J113" s="22">
        <f>IFERROR((I113-H113)/30,0)</f>
        <v/>
      </c>
      <c r="K113" s="23">
        <f>IFERROR(VLOOKUP(F113,'Property Registry'!B5:G154,6,FALSE),0)</f>
        <v/>
      </c>
      <c r="L113" s="23" t="n"/>
      <c r="M113" s="21" t="n"/>
      <c r="N113" s="21" t="n"/>
      <c r="O113" s="21" t="n"/>
      <c r="P113" s="21" t="n"/>
    </row>
    <row r="114" ht="22" customHeight="1">
      <c r="B114" s="25" t="n"/>
      <c r="C114" s="25" t="n"/>
      <c r="D114" s="25" t="n"/>
      <c r="E114" s="25" t="n"/>
      <c r="F114" s="25" t="n"/>
      <c r="G114" s="25" t="n"/>
      <c r="H114" s="28" t="n"/>
      <c r="I114" s="28" t="n"/>
      <c r="J114" s="26">
        <f>IFERROR((I114-H114)/30,0)</f>
        <v/>
      </c>
      <c r="K114" s="27">
        <f>IFERROR(VLOOKUP(F114,'Property Registry'!B5:G154,6,FALSE),0)</f>
        <v/>
      </c>
      <c r="L114" s="27" t="n"/>
      <c r="M114" s="25" t="n"/>
      <c r="N114" s="25" t="n"/>
      <c r="O114" s="25" t="n"/>
      <c r="P114" s="25" t="n"/>
    </row>
    <row r="115" ht="22" customHeight="1">
      <c r="B115" s="21" t="n"/>
      <c r="C115" s="21" t="n"/>
      <c r="D115" s="21" t="n"/>
      <c r="E115" s="21" t="n"/>
      <c r="F115" s="21" t="n"/>
      <c r="G115" s="21" t="n"/>
      <c r="H115" s="24" t="n"/>
      <c r="I115" s="24" t="n"/>
      <c r="J115" s="22">
        <f>IFERROR((I115-H115)/30,0)</f>
        <v/>
      </c>
      <c r="K115" s="23">
        <f>IFERROR(VLOOKUP(F115,'Property Registry'!B5:G154,6,FALSE),0)</f>
        <v/>
      </c>
      <c r="L115" s="23" t="n"/>
      <c r="M115" s="21" t="n"/>
      <c r="N115" s="21" t="n"/>
      <c r="O115" s="21" t="n"/>
      <c r="P115" s="21" t="n"/>
    </row>
    <row r="116" ht="22" customHeight="1">
      <c r="B116" s="25" t="n"/>
      <c r="C116" s="25" t="n"/>
      <c r="D116" s="25" t="n"/>
      <c r="E116" s="25" t="n"/>
      <c r="F116" s="25" t="n"/>
      <c r="G116" s="25" t="n"/>
      <c r="H116" s="28" t="n"/>
      <c r="I116" s="28" t="n"/>
      <c r="J116" s="26">
        <f>IFERROR((I116-H116)/30,0)</f>
        <v/>
      </c>
      <c r="K116" s="27">
        <f>IFERROR(VLOOKUP(F116,'Property Registry'!B5:G154,6,FALSE),0)</f>
        <v/>
      </c>
      <c r="L116" s="27" t="n"/>
      <c r="M116" s="25" t="n"/>
      <c r="N116" s="25" t="n"/>
      <c r="O116" s="25" t="n"/>
      <c r="P116" s="25" t="n"/>
    </row>
    <row r="117" ht="22" customHeight="1">
      <c r="B117" s="21" t="n"/>
      <c r="C117" s="21" t="n"/>
      <c r="D117" s="21" t="n"/>
      <c r="E117" s="21" t="n"/>
      <c r="F117" s="21" t="n"/>
      <c r="G117" s="21" t="n"/>
      <c r="H117" s="24" t="n"/>
      <c r="I117" s="24" t="n"/>
      <c r="J117" s="22">
        <f>IFERROR((I117-H117)/30,0)</f>
        <v/>
      </c>
      <c r="K117" s="23">
        <f>IFERROR(VLOOKUP(F117,'Property Registry'!B5:G154,6,FALSE),0)</f>
        <v/>
      </c>
      <c r="L117" s="23" t="n"/>
      <c r="M117" s="21" t="n"/>
      <c r="N117" s="21" t="n"/>
      <c r="O117" s="21" t="n"/>
      <c r="P117" s="21" t="n"/>
    </row>
    <row r="118" ht="22" customHeight="1">
      <c r="B118" s="25" t="n"/>
      <c r="C118" s="25" t="n"/>
      <c r="D118" s="25" t="n"/>
      <c r="E118" s="25" t="n"/>
      <c r="F118" s="25" t="n"/>
      <c r="G118" s="25" t="n"/>
      <c r="H118" s="28" t="n"/>
      <c r="I118" s="28" t="n"/>
      <c r="J118" s="26">
        <f>IFERROR((I118-H118)/30,0)</f>
        <v/>
      </c>
      <c r="K118" s="27">
        <f>IFERROR(VLOOKUP(F118,'Property Registry'!B5:G154,6,FALSE),0)</f>
        <v/>
      </c>
      <c r="L118" s="27" t="n"/>
      <c r="M118" s="25" t="n"/>
      <c r="N118" s="25" t="n"/>
      <c r="O118" s="25" t="n"/>
      <c r="P118" s="25" t="n"/>
    </row>
    <row r="119" ht="22" customHeight="1">
      <c r="B119" s="21" t="n"/>
      <c r="C119" s="21" t="n"/>
      <c r="D119" s="21" t="n"/>
      <c r="E119" s="21" t="n"/>
      <c r="F119" s="21" t="n"/>
      <c r="G119" s="21" t="n"/>
      <c r="H119" s="24" t="n"/>
      <c r="I119" s="24" t="n"/>
      <c r="J119" s="22">
        <f>IFERROR((I119-H119)/30,0)</f>
        <v/>
      </c>
      <c r="K119" s="23">
        <f>IFERROR(VLOOKUP(F119,'Property Registry'!B5:G154,6,FALSE),0)</f>
        <v/>
      </c>
      <c r="L119" s="23" t="n"/>
      <c r="M119" s="21" t="n"/>
      <c r="N119" s="21" t="n"/>
      <c r="O119" s="21" t="n"/>
      <c r="P119" s="21" t="n"/>
    </row>
    <row r="120" ht="22" customHeight="1">
      <c r="B120" s="25" t="n"/>
      <c r="C120" s="25" t="n"/>
      <c r="D120" s="25" t="n"/>
      <c r="E120" s="25" t="n"/>
      <c r="F120" s="25" t="n"/>
      <c r="G120" s="25" t="n"/>
      <c r="H120" s="28" t="n"/>
      <c r="I120" s="28" t="n"/>
      <c r="J120" s="26">
        <f>IFERROR((I120-H120)/30,0)</f>
        <v/>
      </c>
      <c r="K120" s="27">
        <f>IFERROR(VLOOKUP(F120,'Property Registry'!B5:G154,6,FALSE),0)</f>
        <v/>
      </c>
      <c r="L120" s="27" t="n"/>
      <c r="M120" s="25" t="n"/>
      <c r="N120" s="25" t="n"/>
      <c r="O120" s="25" t="n"/>
      <c r="P120" s="25" t="n"/>
    </row>
    <row r="121" ht="22" customHeight="1">
      <c r="B121" s="21" t="n"/>
      <c r="C121" s="21" t="n"/>
      <c r="D121" s="21" t="n"/>
      <c r="E121" s="21" t="n"/>
      <c r="F121" s="21" t="n"/>
      <c r="G121" s="21" t="n"/>
      <c r="H121" s="24" t="n"/>
      <c r="I121" s="24" t="n"/>
      <c r="J121" s="22">
        <f>IFERROR((I121-H121)/30,0)</f>
        <v/>
      </c>
      <c r="K121" s="23">
        <f>IFERROR(VLOOKUP(F121,'Property Registry'!B5:G154,6,FALSE),0)</f>
        <v/>
      </c>
      <c r="L121" s="23" t="n"/>
      <c r="M121" s="21" t="n"/>
      <c r="N121" s="21" t="n"/>
      <c r="O121" s="21" t="n"/>
      <c r="P121" s="21" t="n"/>
    </row>
    <row r="122" ht="22" customHeight="1">
      <c r="B122" s="25" t="n"/>
      <c r="C122" s="25" t="n"/>
      <c r="D122" s="25" t="n"/>
      <c r="E122" s="25" t="n"/>
      <c r="F122" s="25" t="n"/>
      <c r="G122" s="25" t="n"/>
      <c r="H122" s="28" t="n"/>
      <c r="I122" s="28" t="n"/>
      <c r="J122" s="26">
        <f>IFERROR((I122-H122)/30,0)</f>
        <v/>
      </c>
      <c r="K122" s="27">
        <f>IFERROR(VLOOKUP(F122,'Property Registry'!B5:G154,6,FALSE),0)</f>
        <v/>
      </c>
      <c r="L122" s="27" t="n"/>
      <c r="M122" s="25" t="n"/>
      <c r="N122" s="25" t="n"/>
      <c r="O122" s="25" t="n"/>
      <c r="P122" s="25" t="n"/>
    </row>
    <row r="123" ht="22" customHeight="1">
      <c r="B123" s="21" t="n"/>
      <c r="C123" s="21" t="n"/>
      <c r="D123" s="21" t="n"/>
      <c r="E123" s="21" t="n"/>
      <c r="F123" s="21" t="n"/>
      <c r="G123" s="21" t="n"/>
      <c r="H123" s="24" t="n"/>
      <c r="I123" s="24" t="n"/>
      <c r="J123" s="22">
        <f>IFERROR((I123-H123)/30,0)</f>
        <v/>
      </c>
      <c r="K123" s="23">
        <f>IFERROR(VLOOKUP(F123,'Property Registry'!B5:G154,6,FALSE),0)</f>
        <v/>
      </c>
      <c r="L123" s="23" t="n"/>
      <c r="M123" s="21" t="n"/>
      <c r="N123" s="21" t="n"/>
      <c r="O123" s="21" t="n"/>
      <c r="P123" s="21" t="n"/>
    </row>
    <row r="124" ht="22" customHeight="1">
      <c r="B124" s="25" t="n"/>
      <c r="C124" s="25" t="n"/>
      <c r="D124" s="25" t="n"/>
      <c r="E124" s="25" t="n"/>
      <c r="F124" s="25" t="n"/>
      <c r="G124" s="25" t="n"/>
      <c r="H124" s="28" t="n"/>
      <c r="I124" s="28" t="n"/>
      <c r="J124" s="26">
        <f>IFERROR((I124-H124)/30,0)</f>
        <v/>
      </c>
      <c r="K124" s="27">
        <f>IFERROR(VLOOKUP(F124,'Property Registry'!B5:G154,6,FALSE),0)</f>
        <v/>
      </c>
      <c r="L124" s="27" t="n"/>
      <c r="M124" s="25" t="n"/>
      <c r="N124" s="25" t="n"/>
      <c r="O124" s="25" t="n"/>
      <c r="P124" s="25" t="n"/>
    </row>
    <row r="125" ht="22" customHeight="1">
      <c r="B125" s="21" t="n"/>
      <c r="C125" s="21" t="n"/>
      <c r="D125" s="21" t="n"/>
      <c r="E125" s="21" t="n"/>
      <c r="F125" s="21" t="n"/>
      <c r="G125" s="21" t="n"/>
      <c r="H125" s="24" t="n"/>
      <c r="I125" s="24" t="n"/>
      <c r="J125" s="22">
        <f>IFERROR((I125-H125)/30,0)</f>
        <v/>
      </c>
      <c r="K125" s="23">
        <f>IFERROR(VLOOKUP(F125,'Property Registry'!B5:G154,6,FALSE),0)</f>
        <v/>
      </c>
      <c r="L125" s="23" t="n"/>
      <c r="M125" s="21" t="n"/>
      <c r="N125" s="21" t="n"/>
      <c r="O125" s="21" t="n"/>
      <c r="P125" s="21" t="n"/>
    </row>
    <row r="126" ht="22" customHeight="1">
      <c r="B126" s="25" t="n"/>
      <c r="C126" s="25" t="n"/>
      <c r="D126" s="25" t="n"/>
      <c r="E126" s="25" t="n"/>
      <c r="F126" s="25" t="n"/>
      <c r="G126" s="25" t="n"/>
      <c r="H126" s="28" t="n"/>
      <c r="I126" s="28" t="n"/>
      <c r="J126" s="26">
        <f>IFERROR((I126-H126)/30,0)</f>
        <v/>
      </c>
      <c r="K126" s="27">
        <f>IFERROR(VLOOKUP(F126,'Property Registry'!B5:G154,6,FALSE),0)</f>
        <v/>
      </c>
      <c r="L126" s="27" t="n"/>
      <c r="M126" s="25" t="n"/>
      <c r="N126" s="25" t="n"/>
      <c r="O126" s="25" t="n"/>
      <c r="P126" s="25" t="n"/>
    </row>
    <row r="127" ht="22" customHeight="1">
      <c r="B127" s="21" t="n"/>
      <c r="C127" s="21" t="n"/>
      <c r="D127" s="21" t="n"/>
      <c r="E127" s="21" t="n"/>
      <c r="F127" s="21" t="n"/>
      <c r="G127" s="21" t="n"/>
      <c r="H127" s="24" t="n"/>
      <c r="I127" s="24" t="n"/>
      <c r="J127" s="22">
        <f>IFERROR((I127-H127)/30,0)</f>
        <v/>
      </c>
      <c r="K127" s="23">
        <f>IFERROR(VLOOKUP(F127,'Property Registry'!B5:G154,6,FALSE),0)</f>
        <v/>
      </c>
      <c r="L127" s="23" t="n"/>
      <c r="M127" s="21" t="n"/>
      <c r="N127" s="21" t="n"/>
      <c r="O127" s="21" t="n"/>
      <c r="P127" s="21" t="n"/>
    </row>
    <row r="128" ht="22" customHeight="1">
      <c r="B128" s="25" t="n"/>
      <c r="C128" s="25" t="n"/>
      <c r="D128" s="25" t="n"/>
      <c r="E128" s="25" t="n"/>
      <c r="F128" s="25" t="n"/>
      <c r="G128" s="25" t="n"/>
      <c r="H128" s="28" t="n"/>
      <c r="I128" s="28" t="n"/>
      <c r="J128" s="26">
        <f>IFERROR((I128-H128)/30,0)</f>
        <v/>
      </c>
      <c r="K128" s="27">
        <f>IFERROR(VLOOKUP(F128,'Property Registry'!B5:G154,6,FALSE),0)</f>
        <v/>
      </c>
      <c r="L128" s="27" t="n"/>
      <c r="M128" s="25" t="n"/>
      <c r="N128" s="25" t="n"/>
      <c r="O128" s="25" t="n"/>
      <c r="P128" s="25" t="n"/>
    </row>
    <row r="129" ht="22" customHeight="1">
      <c r="B129" s="21" t="n"/>
      <c r="C129" s="21" t="n"/>
      <c r="D129" s="21" t="n"/>
      <c r="E129" s="21" t="n"/>
      <c r="F129" s="21" t="n"/>
      <c r="G129" s="21" t="n"/>
      <c r="H129" s="24" t="n"/>
      <c r="I129" s="24" t="n"/>
      <c r="J129" s="22">
        <f>IFERROR((I129-H129)/30,0)</f>
        <v/>
      </c>
      <c r="K129" s="23">
        <f>IFERROR(VLOOKUP(F129,'Property Registry'!B5:G154,6,FALSE),0)</f>
        <v/>
      </c>
      <c r="L129" s="23" t="n"/>
      <c r="M129" s="21" t="n"/>
      <c r="N129" s="21" t="n"/>
      <c r="O129" s="21" t="n"/>
      <c r="P129" s="21" t="n"/>
    </row>
    <row r="130" ht="22" customHeight="1">
      <c r="B130" s="25" t="n"/>
      <c r="C130" s="25" t="n"/>
      <c r="D130" s="25" t="n"/>
      <c r="E130" s="25" t="n"/>
      <c r="F130" s="25" t="n"/>
      <c r="G130" s="25" t="n"/>
      <c r="H130" s="28" t="n"/>
      <c r="I130" s="28" t="n"/>
      <c r="J130" s="26">
        <f>IFERROR((I130-H130)/30,0)</f>
        <v/>
      </c>
      <c r="K130" s="27">
        <f>IFERROR(VLOOKUP(F130,'Property Registry'!B5:G154,6,FALSE),0)</f>
        <v/>
      </c>
      <c r="L130" s="27" t="n"/>
      <c r="M130" s="25" t="n"/>
      <c r="N130" s="25" t="n"/>
      <c r="O130" s="25" t="n"/>
      <c r="P130" s="25" t="n"/>
    </row>
    <row r="131" ht="22" customHeight="1">
      <c r="B131" s="21" t="n"/>
      <c r="C131" s="21" t="n"/>
      <c r="D131" s="21" t="n"/>
      <c r="E131" s="21" t="n"/>
      <c r="F131" s="21" t="n"/>
      <c r="G131" s="21" t="n"/>
      <c r="H131" s="24" t="n"/>
      <c r="I131" s="24" t="n"/>
      <c r="J131" s="22">
        <f>IFERROR((I131-H131)/30,0)</f>
        <v/>
      </c>
      <c r="K131" s="23">
        <f>IFERROR(VLOOKUP(F131,'Property Registry'!B5:G154,6,FALSE),0)</f>
        <v/>
      </c>
      <c r="L131" s="23" t="n"/>
      <c r="M131" s="21" t="n"/>
      <c r="N131" s="21" t="n"/>
      <c r="O131" s="21" t="n"/>
      <c r="P131" s="21" t="n"/>
    </row>
    <row r="132" ht="22" customHeight="1">
      <c r="B132" s="25" t="n"/>
      <c r="C132" s="25" t="n"/>
      <c r="D132" s="25" t="n"/>
      <c r="E132" s="25" t="n"/>
      <c r="F132" s="25" t="n"/>
      <c r="G132" s="25" t="n"/>
      <c r="H132" s="28" t="n"/>
      <c r="I132" s="28" t="n"/>
      <c r="J132" s="26">
        <f>IFERROR((I132-H132)/30,0)</f>
        <v/>
      </c>
      <c r="K132" s="27">
        <f>IFERROR(VLOOKUP(F132,'Property Registry'!B5:G154,6,FALSE),0)</f>
        <v/>
      </c>
      <c r="L132" s="27" t="n"/>
      <c r="M132" s="25" t="n"/>
      <c r="N132" s="25" t="n"/>
      <c r="O132" s="25" t="n"/>
      <c r="P132" s="25" t="n"/>
    </row>
    <row r="133" ht="22" customHeight="1">
      <c r="B133" s="21" t="n"/>
      <c r="C133" s="21" t="n"/>
      <c r="D133" s="21" t="n"/>
      <c r="E133" s="21" t="n"/>
      <c r="F133" s="21" t="n"/>
      <c r="G133" s="21" t="n"/>
      <c r="H133" s="24" t="n"/>
      <c r="I133" s="24" t="n"/>
      <c r="J133" s="22">
        <f>IFERROR((I133-H133)/30,0)</f>
        <v/>
      </c>
      <c r="K133" s="23">
        <f>IFERROR(VLOOKUP(F133,'Property Registry'!B5:G154,6,FALSE),0)</f>
        <v/>
      </c>
      <c r="L133" s="23" t="n"/>
      <c r="M133" s="21" t="n"/>
      <c r="N133" s="21" t="n"/>
      <c r="O133" s="21" t="n"/>
      <c r="P133" s="21" t="n"/>
    </row>
    <row r="134" ht="22" customHeight="1">
      <c r="B134" s="25" t="n"/>
      <c r="C134" s="25" t="n"/>
      <c r="D134" s="25" t="n"/>
      <c r="E134" s="25" t="n"/>
      <c r="F134" s="25" t="n"/>
      <c r="G134" s="25" t="n"/>
      <c r="H134" s="28" t="n"/>
      <c r="I134" s="28" t="n"/>
      <c r="J134" s="26">
        <f>IFERROR((I134-H134)/30,0)</f>
        <v/>
      </c>
      <c r="K134" s="27">
        <f>IFERROR(VLOOKUP(F134,'Property Registry'!B5:G154,6,FALSE),0)</f>
        <v/>
      </c>
      <c r="L134" s="27" t="n"/>
      <c r="M134" s="25" t="n"/>
      <c r="N134" s="25" t="n"/>
      <c r="O134" s="25" t="n"/>
      <c r="P134" s="25" t="n"/>
    </row>
    <row r="135" ht="22" customHeight="1">
      <c r="B135" s="21" t="n"/>
      <c r="C135" s="21" t="n"/>
      <c r="D135" s="21" t="n"/>
      <c r="E135" s="21" t="n"/>
      <c r="F135" s="21" t="n"/>
      <c r="G135" s="21" t="n"/>
      <c r="H135" s="24" t="n"/>
      <c r="I135" s="24" t="n"/>
      <c r="J135" s="22">
        <f>IFERROR((I135-H135)/30,0)</f>
        <v/>
      </c>
      <c r="K135" s="23">
        <f>IFERROR(VLOOKUP(F135,'Property Registry'!B5:G154,6,FALSE),0)</f>
        <v/>
      </c>
      <c r="L135" s="23" t="n"/>
      <c r="M135" s="21" t="n"/>
      <c r="N135" s="21" t="n"/>
      <c r="O135" s="21" t="n"/>
      <c r="P135" s="21" t="n"/>
    </row>
    <row r="136" ht="22" customHeight="1">
      <c r="B136" s="25" t="n"/>
      <c r="C136" s="25" t="n"/>
      <c r="D136" s="25" t="n"/>
      <c r="E136" s="25" t="n"/>
      <c r="F136" s="25" t="n"/>
      <c r="G136" s="25" t="n"/>
      <c r="H136" s="28" t="n"/>
      <c r="I136" s="28" t="n"/>
      <c r="J136" s="26">
        <f>IFERROR((I136-H136)/30,0)</f>
        <v/>
      </c>
      <c r="K136" s="27">
        <f>IFERROR(VLOOKUP(F136,'Property Registry'!B5:G154,6,FALSE),0)</f>
        <v/>
      </c>
      <c r="L136" s="27" t="n"/>
      <c r="M136" s="25" t="n"/>
      <c r="N136" s="25" t="n"/>
      <c r="O136" s="25" t="n"/>
      <c r="P136" s="25" t="n"/>
    </row>
    <row r="137" ht="22" customHeight="1">
      <c r="B137" s="21" t="n"/>
      <c r="C137" s="21" t="n"/>
      <c r="D137" s="21" t="n"/>
      <c r="E137" s="21" t="n"/>
      <c r="F137" s="21" t="n"/>
      <c r="G137" s="21" t="n"/>
      <c r="H137" s="24" t="n"/>
      <c r="I137" s="24" t="n"/>
      <c r="J137" s="22">
        <f>IFERROR((I137-H137)/30,0)</f>
        <v/>
      </c>
      <c r="K137" s="23">
        <f>IFERROR(VLOOKUP(F137,'Property Registry'!B5:G154,6,FALSE),0)</f>
        <v/>
      </c>
      <c r="L137" s="23" t="n"/>
      <c r="M137" s="21" t="n"/>
      <c r="N137" s="21" t="n"/>
      <c r="O137" s="21" t="n"/>
      <c r="P137" s="21" t="n"/>
    </row>
    <row r="138" ht="22" customHeight="1">
      <c r="B138" s="25" t="n"/>
      <c r="C138" s="25" t="n"/>
      <c r="D138" s="25" t="n"/>
      <c r="E138" s="25" t="n"/>
      <c r="F138" s="25" t="n"/>
      <c r="G138" s="25" t="n"/>
      <c r="H138" s="28" t="n"/>
      <c r="I138" s="28" t="n"/>
      <c r="J138" s="26">
        <f>IFERROR((I138-H138)/30,0)</f>
        <v/>
      </c>
      <c r="K138" s="27">
        <f>IFERROR(VLOOKUP(F138,'Property Registry'!B5:G154,6,FALSE),0)</f>
        <v/>
      </c>
      <c r="L138" s="27" t="n"/>
      <c r="M138" s="25" t="n"/>
      <c r="N138" s="25" t="n"/>
      <c r="O138" s="25" t="n"/>
      <c r="P138" s="25" t="n"/>
    </row>
    <row r="139" ht="22" customHeight="1">
      <c r="B139" s="21" t="n"/>
      <c r="C139" s="21" t="n"/>
      <c r="D139" s="21" t="n"/>
      <c r="E139" s="21" t="n"/>
      <c r="F139" s="21" t="n"/>
      <c r="G139" s="21" t="n"/>
      <c r="H139" s="24" t="n"/>
      <c r="I139" s="24" t="n"/>
      <c r="J139" s="22">
        <f>IFERROR((I139-H139)/30,0)</f>
        <v/>
      </c>
      <c r="K139" s="23">
        <f>IFERROR(VLOOKUP(F139,'Property Registry'!B5:G154,6,FALSE),0)</f>
        <v/>
      </c>
      <c r="L139" s="23" t="n"/>
      <c r="M139" s="21" t="n"/>
      <c r="N139" s="21" t="n"/>
      <c r="O139" s="21" t="n"/>
      <c r="P139" s="21" t="n"/>
    </row>
    <row r="140" ht="22" customHeight="1">
      <c r="B140" s="25" t="n"/>
      <c r="C140" s="25" t="n"/>
      <c r="D140" s="25" t="n"/>
      <c r="E140" s="25" t="n"/>
      <c r="F140" s="25" t="n"/>
      <c r="G140" s="25" t="n"/>
      <c r="H140" s="28" t="n"/>
      <c r="I140" s="28" t="n"/>
      <c r="J140" s="26">
        <f>IFERROR((I140-H140)/30,0)</f>
        <v/>
      </c>
      <c r="K140" s="27">
        <f>IFERROR(VLOOKUP(F140,'Property Registry'!B5:G154,6,FALSE),0)</f>
        <v/>
      </c>
      <c r="L140" s="27" t="n"/>
      <c r="M140" s="25" t="n"/>
      <c r="N140" s="25" t="n"/>
      <c r="O140" s="25" t="n"/>
      <c r="P140" s="25" t="n"/>
    </row>
    <row r="141" ht="22" customHeight="1">
      <c r="B141" s="21" t="n"/>
      <c r="C141" s="21" t="n"/>
      <c r="D141" s="21" t="n"/>
      <c r="E141" s="21" t="n"/>
      <c r="F141" s="21" t="n"/>
      <c r="G141" s="21" t="n"/>
      <c r="H141" s="24" t="n"/>
      <c r="I141" s="24" t="n"/>
      <c r="J141" s="22">
        <f>IFERROR((I141-H141)/30,0)</f>
        <v/>
      </c>
      <c r="K141" s="23">
        <f>IFERROR(VLOOKUP(F141,'Property Registry'!B5:G154,6,FALSE),0)</f>
        <v/>
      </c>
      <c r="L141" s="23" t="n"/>
      <c r="M141" s="21" t="n"/>
      <c r="N141" s="21" t="n"/>
      <c r="O141" s="21" t="n"/>
      <c r="P141" s="21" t="n"/>
    </row>
    <row r="142" ht="22" customHeight="1">
      <c r="B142" s="25" t="n"/>
      <c r="C142" s="25" t="n"/>
      <c r="D142" s="25" t="n"/>
      <c r="E142" s="25" t="n"/>
      <c r="F142" s="25" t="n"/>
      <c r="G142" s="25" t="n"/>
      <c r="H142" s="28" t="n"/>
      <c r="I142" s="28" t="n"/>
      <c r="J142" s="26">
        <f>IFERROR((I142-H142)/30,0)</f>
        <v/>
      </c>
      <c r="K142" s="27">
        <f>IFERROR(VLOOKUP(F142,'Property Registry'!B5:G154,6,FALSE),0)</f>
        <v/>
      </c>
      <c r="L142" s="27" t="n"/>
      <c r="M142" s="25" t="n"/>
      <c r="N142" s="25" t="n"/>
      <c r="O142" s="25" t="n"/>
      <c r="P142" s="25" t="n"/>
    </row>
    <row r="143" ht="22" customHeight="1">
      <c r="B143" s="21" t="n"/>
      <c r="C143" s="21" t="n"/>
      <c r="D143" s="21" t="n"/>
      <c r="E143" s="21" t="n"/>
      <c r="F143" s="21" t="n"/>
      <c r="G143" s="21" t="n"/>
      <c r="H143" s="24" t="n"/>
      <c r="I143" s="24" t="n"/>
      <c r="J143" s="22">
        <f>IFERROR((I143-H143)/30,0)</f>
        <v/>
      </c>
      <c r="K143" s="23">
        <f>IFERROR(VLOOKUP(F143,'Property Registry'!B5:G154,6,FALSE),0)</f>
        <v/>
      </c>
      <c r="L143" s="23" t="n"/>
      <c r="M143" s="21" t="n"/>
      <c r="N143" s="21" t="n"/>
      <c r="O143" s="21" t="n"/>
      <c r="P143" s="21" t="n"/>
    </row>
    <row r="144" ht="22" customHeight="1">
      <c r="B144" s="25" t="n"/>
      <c r="C144" s="25" t="n"/>
      <c r="D144" s="25" t="n"/>
      <c r="E144" s="25" t="n"/>
      <c r="F144" s="25" t="n"/>
      <c r="G144" s="25" t="n"/>
      <c r="H144" s="28" t="n"/>
      <c r="I144" s="28" t="n"/>
      <c r="J144" s="26">
        <f>IFERROR((I144-H144)/30,0)</f>
        <v/>
      </c>
      <c r="K144" s="27">
        <f>IFERROR(VLOOKUP(F144,'Property Registry'!B5:G154,6,FALSE),0)</f>
        <v/>
      </c>
      <c r="L144" s="27" t="n"/>
      <c r="M144" s="25" t="n"/>
      <c r="N144" s="25" t="n"/>
      <c r="O144" s="25" t="n"/>
      <c r="P144" s="25" t="n"/>
    </row>
    <row r="145" ht="22" customHeight="1">
      <c r="B145" s="21" t="n"/>
      <c r="C145" s="21" t="n"/>
      <c r="D145" s="21" t="n"/>
      <c r="E145" s="21" t="n"/>
      <c r="F145" s="21" t="n"/>
      <c r="G145" s="21" t="n"/>
      <c r="H145" s="24" t="n"/>
      <c r="I145" s="24" t="n"/>
      <c r="J145" s="22">
        <f>IFERROR((I145-H145)/30,0)</f>
        <v/>
      </c>
      <c r="K145" s="23">
        <f>IFERROR(VLOOKUP(F145,'Property Registry'!B5:G154,6,FALSE),0)</f>
        <v/>
      </c>
      <c r="L145" s="23" t="n"/>
      <c r="M145" s="21" t="n"/>
      <c r="N145" s="21" t="n"/>
      <c r="O145" s="21" t="n"/>
      <c r="P145" s="21" t="n"/>
    </row>
    <row r="146" ht="22" customHeight="1">
      <c r="B146" s="25" t="n"/>
      <c r="C146" s="25" t="n"/>
      <c r="D146" s="25" t="n"/>
      <c r="E146" s="25" t="n"/>
      <c r="F146" s="25" t="n"/>
      <c r="G146" s="25" t="n"/>
      <c r="H146" s="28" t="n"/>
      <c r="I146" s="28" t="n"/>
      <c r="J146" s="26">
        <f>IFERROR((I146-H146)/30,0)</f>
        <v/>
      </c>
      <c r="K146" s="27">
        <f>IFERROR(VLOOKUP(F146,'Property Registry'!B5:G154,6,FALSE),0)</f>
        <v/>
      </c>
      <c r="L146" s="27" t="n"/>
      <c r="M146" s="25" t="n"/>
      <c r="N146" s="25" t="n"/>
      <c r="O146" s="25" t="n"/>
      <c r="P146" s="25" t="n"/>
    </row>
    <row r="147" ht="22" customHeight="1">
      <c r="B147" s="21" t="n"/>
      <c r="C147" s="21" t="n"/>
      <c r="D147" s="21" t="n"/>
      <c r="E147" s="21" t="n"/>
      <c r="F147" s="21" t="n"/>
      <c r="G147" s="21" t="n"/>
      <c r="H147" s="24" t="n"/>
      <c r="I147" s="24" t="n"/>
      <c r="J147" s="22">
        <f>IFERROR((I147-H147)/30,0)</f>
        <v/>
      </c>
      <c r="K147" s="23">
        <f>IFERROR(VLOOKUP(F147,'Property Registry'!B5:G154,6,FALSE),0)</f>
        <v/>
      </c>
      <c r="L147" s="23" t="n"/>
      <c r="M147" s="21" t="n"/>
      <c r="N147" s="21" t="n"/>
      <c r="O147" s="21" t="n"/>
      <c r="P147" s="21" t="n"/>
    </row>
    <row r="148" ht="22" customHeight="1">
      <c r="B148" s="25" t="n"/>
      <c r="C148" s="25" t="n"/>
      <c r="D148" s="25" t="n"/>
      <c r="E148" s="25" t="n"/>
      <c r="F148" s="25" t="n"/>
      <c r="G148" s="25" t="n"/>
      <c r="H148" s="28" t="n"/>
      <c r="I148" s="28" t="n"/>
      <c r="J148" s="26">
        <f>IFERROR((I148-H148)/30,0)</f>
        <v/>
      </c>
      <c r="K148" s="27">
        <f>IFERROR(VLOOKUP(F148,'Property Registry'!B5:G154,6,FALSE),0)</f>
        <v/>
      </c>
      <c r="L148" s="27" t="n"/>
      <c r="M148" s="25" t="n"/>
      <c r="N148" s="25" t="n"/>
      <c r="O148" s="25" t="n"/>
      <c r="P148" s="25" t="n"/>
    </row>
    <row r="149" ht="22" customHeight="1">
      <c r="B149" s="21" t="n"/>
      <c r="C149" s="21" t="n"/>
      <c r="D149" s="21" t="n"/>
      <c r="E149" s="21" t="n"/>
      <c r="F149" s="21" t="n"/>
      <c r="G149" s="21" t="n"/>
      <c r="H149" s="24" t="n"/>
      <c r="I149" s="24" t="n"/>
      <c r="J149" s="22">
        <f>IFERROR((I149-H149)/30,0)</f>
        <v/>
      </c>
      <c r="K149" s="23">
        <f>IFERROR(VLOOKUP(F149,'Property Registry'!B5:G154,6,FALSE),0)</f>
        <v/>
      </c>
      <c r="L149" s="23" t="n"/>
      <c r="M149" s="21" t="n"/>
      <c r="N149" s="21" t="n"/>
      <c r="O149" s="21" t="n"/>
      <c r="P149" s="21" t="n"/>
    </row>
    <row r="150" ht="22" customHeight="1">
      <c r="B150" s="25" t="n"/>
      <c r="C150" s="25" t="n"/>
      <c r="D150" s="25" t="n"/>
      <c r="E150" s="25" t="n"/>
      <c r="F150" s="25" t="n"/>
      <c r="G150" s="25" t="n"/>
      <c r="H150" s="28" t="n"/>
      <c r="I150" s="28" t="n"/>
      <c r="J150" s="26">
        <f>IFERROR((I150-H150)/30,0)</f>
        <v/>
      </c>
      <c r="K150" s="27">
        <f>IFERROR(VLOOKUP(F150,'Property Registry'!B5:G154,6,FALSE),0)</f>
        <v/>
      </c>
      <c r="L150" s="27" t="n"/>
      <c r="M150" s="25" t="n"/>
      <c r="N150" s="25" t="n"/>
      <c r="O150" s="25" t="n"/>
      <c r="P150" s="25" t="n"/>
    </row>
    <row r="151" ht="22" customHeight="1">
      <c r="B151" s="21" t="n"/>
      <c r="C151" s="21" t="n"/>
      <c r="D151" s="21" t="n"/>
      <c r="E151" s="21" t="n"/>
      <c r="F151" s="21" t="n"/>
      <c r="G151" s="21" t="n"/>
      <c r="H151" s="24" t="n"/>
      <c r="I151" s="24" t="n"/>
      <c r="J151" s="22">
        <f>IFERROR((I151-H151)/30,0)</f>
        <v/>
      </c>
      <c r="K151" s="23">
        <f>IFERROR(VLOOKUP(F151,'Property Registry'!B5:G154,6,FALSE),0)</f>
        <v/>
      </c>
      <c r="L151" s="23" t="n"/>
      <c r="M151" s="21" t="n"/>
      <c r="N151" s="21" t="n"/>
      <c r="O151" s="21" t="n"/>
      <c r="P151" s="21" t="n"/>
    </row>
    <row r="152" ht="22" customHeight="1">
      <c r="B152" s="25" t="n"/>
      <c r="C152" s="25" t="n"/>
      <c r="D152" s="25" t="n"/>
      <c r="E152" s="25" t="n"/>
      <c r="F152" s="25" t="n"/>
      <c r="G152" s="25" t="n"/>
      <c r="H152" s="28" t="n"/>
      <c r="I152" s="28" t="n"/>
      <c r="J152" s="26">
        <f>IFERROR((I152-H152)/30,0)</f>
        <v/>
      </c>
      <c r="K152" s="27">
        <f>IFERROR(VLOOKUP(F152,'Property Registry'!B5:G154,6,FALSE),0)</f>
        <v/>
      </c>
      <c r="L152" s="27" t="n"/>
      <c r="M152" s="25" t="n"/>
      <c r="N152" s="25" t="n"/>
      <c r="O152" s="25" t="n"/>
      <c r="P152" s="25" t="n"/>
    </row>
    <row r="153" ht="22" customHeight="1">
      <c r="B153" s="21" t="n"/>
      <c r="C153" s="21" t="n"/>
      <c r="D153" s="21" t="n"/>
      <c r="E153" s="21" t="n"/>
      <c r="F153" s="21" t="n"/>
      <c r="G153" s="21" t="n"/>
      <c r="H153" s="24" t="n"/>
      <c r="I153" s="24" t="n"/>
      <c r="J153" s="22">
        <f>IFERROR((I153-H153)/30,0)</f>
        <v/>
      </c>
      <c r="K153" s="23">
        <f>IFERROR(VLOOKUP(F153,'Property Registry'!B5:G154,6,FALSE),0)</f>
        <v/>
      </c>
      <c r="L153" s="23" t="n"/>
      <c r="M153" s="21" t="n"/>
      <c r="N153" s="21" t="n"/>
      <c r="O153" s="21" t="n"/>
      <c r="P153" s="21" t="n"/>
    </row>
    <row r="154" ht="22" customHeight="1">
      <c r="B154" s="25" t="n"/>
      <c r="C154" s="25" t="n"/>
      <c r="D154" s="25" t="n"/>
      <c r="E154" s="25" t="n"/>
      <c r="F154" s="25" t="n"/>
      <c r="G154" s="25" t="n"/>
      <c r="H154" s="28" t="n"/>
      <c r="I154" s="28" t="n"/>
      <c r="J154" s="26">
        <f>IFERROR((I154-H154)/30,0)</f>
        <v/>
      </c>
      <c r="K154" s="27">
        <f>IFERROR(VLOOKUP(F154,'Property Registry'!B5:G154,6,FALSE),0)</f>
        <v/>
      </c>
      <c r="L154" s="27" t="n"/>
      <c r="M154" s="25" t="n"/>
      <c r="N154" s="25" t="n"/>
      <c r="O154" s="25" t="n"/>
      <c r="P154" s="25" t="n"/>
    </row>
    <row r="155" ht="26" customHeight="1">
      <c r="B155" s="29" t="inlineStr">
        <is>
          <t>TOTALS</t>
        </is>
      </c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31">
        <f>IFERROR(SUM(K5:K154),0)</f>
        <v/>
      </c>
      <c r="L155" s="31">
        <f>IFERROR(SUM(L5:L154),0)</f>
        <v/>
      </c>
      <c r="M155" s="29" t="n"/>
      <c r="N155" s="29" t="n"/>
      <c r="O155" s="29" t="n"/>
      <c r="P155" s="29" t="n"/>
    </row>
  </sheetData>
  <mergeCells count="1">
    <mergeCell ref="B2:P2"/>
  </mergeCells>
  <conditionalFormatting sqref="I5:I154">
    <cfRule type="expression" priority="1" dxfId="1">
      <formula>AND(I5&lt;TODAY(),I5&lt;&gt;"")</formula>
    </cfRule>
    <cfRule type="expression" priority="2" dxfId="2">
      <formula>AND(I5-TODAY()&lt;=30,I5-TODAY()&gt;0,I5&lt;&gt;"")</formula>
    </cfRule>
  </conditionalFormatting>
  <dataValidations count="1">
    <dataValidation sqref="L5:L154" showDropDown="0" showInputMessage="0" showErrorMessage="0" allowBlank="1" promptTitle="Payment Method" prompt="Select Payment Method" type="list">
      <formula1>"Cash,Bank Transfer,Cheque,Online"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M1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2" customWidth="1" min="10" max="10"/>
    <col width="16" customWidth="1" min="11" max="11"/>
    <col width="12" customWidth="1" min="12" max="12"/>
    <col width="24" customWidth="1" min="13" max="13"/>
  </cols>
  <sheetData>
    <row r="1" ht="15" customHeight="1"/>
    <row r="2" ht="32" customHeight="1">
      <c r="B2" s="1" t="inlineStr">
        <is>
          <t>Rent Collection — [Month/Year]</t>
        </is>
      </c>
    </row>
    <row r="3" ht="8" customHeight="1"/>
    <row r="4" ht="28" customHeight="1">
      <c r="B4" s="20" t="inlineStr">
        <is>
          <t>Unit ID</t>
        </is>
      </c>
      <c r="C4" s="20" t="inlineStr">
        <is>
          <t>Tenant Name</t>
        </is>
      </c>
      <c r="D4" s="20" t="inlineStr">
        <is>
          <t>Monthly Rent</t>
        </is>
      </c>
      <c r="E4" s="20" t="inlineStr">
        <is>
          <t>Due Date</t>
        </is>
      </c>
      <c r="F4" s="20" t="inlineStr">
        <is>
          <t>Payment Date</t>
        </is>
      </c>
      <c r="G4" s="20" t="inlineStr">
        <is>
          <t>Amount Paid</t>
        </is>
      </c>
      <c r="H4" s="20" t="inlineStr">
        <is>
          <t>Outstanding</t>
        </is>
      </c>
      <c r="I4" s="20" t="inlineStr">
        <is>
          <t>Payment Status</t>
        </is>
      </c>
      <c r="J4" s="20" t="inlineStr">
        <is>
          <t>Days Late</t>
        </is>
      </c>
      <c r="K4" s="20" t="inlineStr">
        <is>
          <t>Payment Method</t>
        </is>
      </c>
      <c r="L4" s="20" t="inlineStr">
        <is>
          <t>Receipt #</t>
        </is>
      </c>
      <c r="M4" s="20" t="inlineStr">
        <is>
          <t>Notes</t>
        </is>
      </c>
    </row>
    <row r="5" ht="22" customHeight="1">
      <c r="B5" s="21" t="n"/>
      <c r="C5" s="21" t="n"/>
      <c r="D5" s="23" t="n"/>
      <c r="E5" s="24" t="n"/>
      <c r="F5" s="24" t="n"/>
      <c r="G5" s="23" t="n"/>
      <c r="H5" s="23">
        <f>IFERROR(D5-G5,0)</f>
        <v/>
      </c>
      <c r="I5" s="21">
        <f>IF(G5&gt;=D5,"Paid",IF(G5&gt;0,"Partial","Unpaid"))</f>
        <v/>
      </c>
      <c r="J5" s="22">
        <f>IFERROR(IF(I5="Unpaid",MAX(0,TODAY()-E5),IF(I5="Partial",MAX(0,TODAY()-E5),0)),0)</f>
        <v/>
      </c>
      <c r="K5" s="21" t="n"/>
      <c r="L5" s="21" t="n"/>
      <c r="M5" s="21" t="n"/>
    </row>
    <row r="6" ht="22" customHeight="1">
      <c r="B6" s="25" t="n"/>
      <c r="C6" s="25" t="n"/>
      <c r="D6" s="27" t="n"/>
      <c r="E6" s="28" t="n"/>
      <c r="F6" s="28" t="n"/>
      <c r="G6" s="27" t="n"/>
      <c r="H6" s="27">
        <f>IFERROR(D6-G6,0)</f>
        <v/>
      </c>
      <c r="I6" s="25">
        <f>IF(G6&gt;=D6,"Paid",IF(G6&gt;0,"Partial","Unpaid"))</f>
        <v/>
      </c>
      <c r="J6" s="26">
        <f>IFERROR(IF(I6="Unpaid",MAX(0,TODAY()-E6),IF(I6="Partial",MAX(0,TODAY()-E6),0)),0)</f>
        <v/>
      </c>
      <c r="K6" s="25" t="n"/>
      <c r="L6" s="25" t="n"/>
      <c r="M6" s="25" t="n"/>
    </row>
    <row r="7" ht="22" customHeight="1">
      <c r="B7" s="21" t="n"/>
      <c r="C7" s="21" t="n"/>
      <c r="D7" s="23" t="n"/>
      <c r="E7" s="24" t="n"/>
      <c r="F7" s="24" t="n"/>
      <c r="G7" s="23" t="n"/>
      <c r="H7" s="23">
        <f>IFERROR(D7-G7,0)</f>
        <v/>
      </c>
      <c r="I7" s="21">
        <f>IF(G7&gt;=D7,"Paid",IF(G7&gt;0,"Partial","Unpaid"))</f>
        <v/>
      </c>
      <c r="J7" s="22">
        <f>IFERROR(IF(I7="Unpaid",MAX(0,TODAY()-E7),IF(I7="Partial",MAX(0,TODAY()-E7),0)),0)</f>
        <v/>
      </c>
      <c r="K7" s="21" t="n"/>
      <c r="L7" s="21" t="n"/>
      <c r="M7" s="21" t="n"/>
    </row>
    <row r="8" ht="22" customHeight="1">
      <c r="B8" s="25" t="n"/>
      <c r="C8" s="25" t="n"/>
      <c r="D8" s="27" t="n"/>
      <c r="E8" s="28" t="n"/>
      <c r="F8" s="28" t="n"/>
      <c r="G8" s="27" t="n"/>
      <c r="H8" s="27">
        <f>IFERROR(D8-G8,0)</f>
        <v/>
      </c>
      <c r="I8" s="25">
        <f>IF(G8&gt;=D8,"Paid",IF(G8&gt;0,"Partial","Unpaid"))</f>
        <v/>
      </c>
      <c r="J8" s="26">
        <f>IFERROR(IF(I8="Unpaid",MAX(0,TODAY()-E8),IF(I8="Partial",MAX(0,TODAY()-E8),0)),0)</f>
        <v/>
      </c>
      <c r="K8" s="25" t="n"/>
      <c r="L8" s="25" t="n"/>
      <c r="M8" s="25" t="n"/>
    </row>
    <row r="9" ht="22" customHeight="1">
      <c r="B9" s="21" t="n"/>
      <c r="C9" s="21" t="n"/>
      <c r="D9" s="23" t="n"/>
      <c r="E9" s="24" t="n"/>
      <c r="F9" s="24" t="n"/>
      <c r="G9" s="23" t="n"/>
      <c r="H9" s="23">
        <f>IFERROR(D9-G9,0)</f>
        <v/>
      </c>
      <c r="I9" s="21">
        <f>IF(G9&gt;=D9,"Paid",IF(G9&gt;0,"Partial","Unpaid"))</f>
        <v/>
      </c>
      <c r="J9" s="22">
        <f>IFERROR(IF(I9="Unpaid",MAX(0,TODAY()-E9),IF(I9="Partial",MAX(0,TODAY()-E9),0)),0)</f>
        <v/>
      </c>
      <c r="K9" s="21" t="n"/>
      <c r="L9" s="21" t="n"/>
      <c r="M9" s="21" t="n"/>
    </row>
    <row r="10" ht="22" customHeight="1">
      <c r="B10" s="25" t="n"/>
      <c r="C10" s="25" t="n"/>
      <c r="D10" s="27" t="n"/>
      <c r="E10" s="28" t="n"/>
      <c r="F10" s="28" t="n"/>
      <c r="G10" s="27" t="n"/>
      <c r="H10" s="27">
        <f>IFERROR(D10-G10,0)</f>
        <v/>
      </c>
      <c r="I10" s="25">
        <f>IF(G10&gt;=D10,"Paid",IF(G10&gt;0,"Partial","Unpaid"))</f>
        <v/>
      </c>
      <c r="J10" s="26">
        <f>IFERROR(IF(I10="Unpaid",MAX(0,TODAY()-E10),IF(I10="Partial",MAX(0,TODAY()-E10),0)),0)</f>
        <v/>
      </c>
      <c r="K10" s="25" t="n"/>
      <c r="L10" s="25" t="n"/>
      <c r="M10" s="25" t="n"/>
    </row>
    <row r="11" ht="22" customHeight="1">
      <c r="B11" s="21" t="n"/>
      <c r="C11" s="21" t="n"/>
      <c r="D11" s="23" t="n"/>
      <c r="E11" s="24" t="n"/>
      <c r="F11" s="24" t="n"/>
      <c r="G11" s="23" t="n"/>
      <c r="H11" s="23">
        <f>IFERROR(D11-G11,0)</f>
        <v/>
      </c>
      <c r="I11" s="21">
        <f>IF(G11&gt;=D11,"Paid",IF(G11&gt;0,"Partial","Unpaid"))</f>
        <v/>
      </c>
      <c r="J11" s="22">
        <f>IFERROR(IF(I11="Unpaid",MAX(0,TODAY()-E11),IF(I11="Partial",MAX(0,TODAY()-E11),0)),0)</f>
        <v/>
      </c>
      <c r="K11" s="21" t="n"/>
      <c r="L11" s="21" t="n"/>
      <c r="M11" s="21" t="n"/>
    </row>
    <row r="12" ht="22" customHeight="1">
      <c r="B12" s="25" t="n"/>
      <c r="C12" s="25" t="n"/>
      <c r="D12" s="27" t="n"/>
      <c r="E12" s="28" t="n"/>
      <c r="F12" s="28" t="n"/>
      <c r="G12" s="27" t="n"/>
      <c r="H12" s="27">
        <f>IFERROR(D12-G12,0)</f>
        <v/>
      </c>
      <c r="I12" s="25">
        <f>IF(G12&gt;=D12,"Paid",IF(G12&gt;0,"Partial","Unpaid"))</f>
        <v/>
      </c>
      <c r="J12" s="26">
        <f>IFERROR(IF(I12="Unpaid",MAX(0,TODAY()-E12),IF(I12="Partial",MAX(0,TODAY()-E12),0)),0)</f>
        <v/>
      </c>
      <c r="K12" s="25" t="n"/>
      <c r="L12" s="25" t="n"/>
      <c r="M12" s="25" t="n"/>
    </row>
    <row r="13" ht="22" customHeight="1">
      <c r="B13" s="21" t="n"/>
      <c r="C13" s="21" t="n"/>
      <c r="D13" s="23" t="n"/>
      <c r="E13" s="24" t="n"/>
      <c r="F13" s="24" t="n"/>
      <c r="G13" s="23" t="n"/>
      <c r="H13" s="23">
        <f>IFERROR(D13-G13,0)</f>
        <v/>
      </c>
      <c r="I13" s="21">
        <f>IF(G13&gt;=D13,"Paid",IF(G13&gt;0,"Partial","Unpaid"))</f>
        <v/>
      </c>
      <c r="J13" s="22">
        <f>IFERROR(IF(I13="Unpaid",MAX(0,TODAY()-E13),IF(I13="Partial",MAX(0,TODAY()-E13),0)),0)</f>
        <v/>
      </c>
      <c r="K13" s="21" t="n"/>
      <c r="L13" s="21" t="n"/>
      <c r="M13" s="21" t="n"/>
    </row>
    <row r="14" ht="22" customHeight="1">
      <c r="B14" s="25" t="n"/>
      <c r="C14" s="25" t="n"/>
      <c r="D14" s="27" t="n"/>
      <c r="E14" s="28" t="n"/>
      <c r="F14" s="28" t="n"/>
      <c r="G14" s="27" t="n"/>
      <c r="H14" s="27">
        <f>IFERROR(D14-G14,0)</f>
        <v/>
      </c>
      <c r="I14" s="25">
        <f>IF(G14&gt;=D14,"Paid",IF(G14&gt;0,"Partial","Unpaid"))</f>
        <v/>
      </c>
      <c r="J14" s="26">
        <f>IFERROR(IF(I14="Unpaid",MAX(0,TODAY()-E14),IF(I14="Partial",MAX(0,TODAY()-E14),0)),0)</f>
        <v/>
      </c>
      <c r="K14" s="25" t="n"/>
      <c r="L14" s="25" t="n"/>
      <c r="M14" s="25" t="n"/>
    </row>
    <row r="15" ht="22" customHeight="1">
      <c r="B15" s="21" t="n"/>
      <c r="C15" s="21" t="n"/>
      <c r="D15" s="23" t="n"/>
      <c r="E15" s="24" t="n"/>
      <c r="F15" s="24" t="n"/>
      <c r="G15" s="23" t="n"/>
      <c r="H15" s="23">
        <f>IFERROR(D15-G15,0)</f>
        <v/>
      </c>
      <c r="I15" s="21">
        <f>IF(G15&gt;=D15,"Paid",IF(G15&gt;0,"Partial","Unpaid"))</f>
        <v/>
      </c>
      <c r="J15" s="22">
        <f>IFERROR(IF(I15="Unpaid",MAX(0,TODAY()-E15),IF(I15="Partial",MAX(0,TODAY()-E15),0)),0)</f>
        <v/>
      </c>
      <c r="K15" s="21" t="n"/>
      <c r="L15" s="21" t="n"/>
      <c r="M15" s="21" t="n"/>
    </row>
    <row r="16" ht="22" customHeight="1">
      <c r="B16" s="25" t="n"/>
      <c r="C16" s="25" t="n"/>
      <c r="D16" s="27" t="n"/>
      <c r="E16" s="28" t="n"/>
      <c r="F16" s="28" t="n"/>
      <c r="G16" s="27" t="n"/>
      <c r="H16" s="27">
        <f>IFERROR(D16-G16,0)</f>
        <v/>
      </c>
      <c r="I16" s="25">
        <f>IF(G16&gt;=D16,"Paid",IF(G16&gt;0,"Partial","Unpaid"))</f>
        <v/>
      </c>
      <c r="J16" s="26">
        <f>IFERROR(IF(I16="Unpaid",MAX(0,TODAY()-E16),IF(I16="Partial",MAX(0,TODAY()-E16),0)),0)</f>
        <v/>
      </c>
      <c r="K16" s="25" t="n"/>
      <c r="L16" s="25" t="n"/>
      <c r="M16" s="25" t="n"/>
    </row>
    <row r="17" ht="22" customHeight="1">
      <c r="B17" s="21" t="n"/>
      <c r="C17" s="21" t="n"/>
      <c r="D17" s="23" t="n"/>
      <c r="E17" s="24" t="n"/>
      <c r="F17" s="24" t="n"/>
      <c r="G17" s="23" t="n"/>
      <c r="H17" s="23">
        <f>IFERROR(D17-G17,0)</f>
        <v/>
      </c>
      <c r="I17" s="21">
        <f>IF(G17&gt;=D17,"Paid",IF(G17&gt;0,"Partial","Unpaid"))</f>
        <v/>
      </c>
      <c r="J17" s="22">
        <f>IFERROR(IF(I17="Unpaid",MAX(0,TODAY()-E17),IF(I17="Partial",MAX(0,TODAY()-E17),0)),0)</f>
        <v/>
      </c>
      <c r="K17" s="21" t="n"/>
      <c r="L17" s="21" t="n"/>
      <c r="M17" s="21" t="n"/>
    </row>
    <row r="18" ht="22" customHeight="1">
      <c r="B18" s="25" t="n"/>
      <c r="C18" s="25" t="n"/>
      <c r="D18" s="27" t="n"/>
      <c r="E18" s="28" t="n"/>
      <c r="F18" s="28" t="n"/>
      <c r="G18" s="27" t="n"/>
      <c r="H18" s="27">
        <f>IFERROR(D18-G18,0)</f>
        <v/>
      </c>
      <c r="I18" s="25">
        <f>IF(G18&gt;=D18,"Paid",IF(G18&gt;0,"Partial","Unpaid"))</f>
        <v/>
      </c>
      <c r="J18" s="26">
        <f>IFERROR(IF(I18="Unpaid",MAX(0,TODAY()-E18),IF(I18="Partial",MAX(0,TODAY()-E18),0)),0)</f>
        <v/>
      </c>
      <c r="K18" s="25" t="n"/>
      <c r="L18" s="25" t="n"/>
      <c r="M18" s="25" t="n"/>
    </row>
    <row r="19" ht="22" customHeight="1">
      <c r="B19" s="21" t="n"/>
      <c r="C19" s="21" t="n"/>
      <c r="D19" s="23" t="n"/>
      <c r="E19" s="24" t="n"/>
      <c r="F19" s="24" t="n"/>
      <c r="G19" s="23" t="n"/>
      <c r="H19" s="23">
        <f>IFERROR(D19-G19,0)</f>
        <v/>
      </c>
      <c r="I19" s="21">
        <f>IF(G19&gt;=D19,"Paid",IF(G19&gt;0,"Partial","Unpaid"))</f>
        <v/>
      </c>
      <c r="J19" s="22">
        <f>IFERROR(IF(I19="Unpaid",MAX(0,TODAY()-E19),IF(I19="Partial",MAX(0,TODAY()-E19),0)),0)</f>
        <v/>
      </c>
      <c r="K19" s="21" t="n"/>
      <c r="L19" s="21" t="n"/>
      <c r="M19" s="21" t="n"/>
    </row>
    <row r="20" ht="22" customHeight="1">
      <c r="B20" s="25" t="n"/>
      <c r="C20" s="25" t="n"/>
      <c r="D20" s="27" t="n"/>
      <c r="E20" s="28" t="n"/>
      <c r="F20" s="28" t="n"/>
      <c r="G20" s="27" t="n"/>
      <c r="H20" s="27">
        <f>IFERROR(D20-G20,0)</f>
        <v/>
      </c>
      <c r="I20" s="25">
        <f>IF(G20&gt;=D20,"Paid",IF(G20&gt;0,"Partial","Unpaid"))</f>
        <v/>
      </c>
      <c r="J20" s="26">
        <f>IFERROR(IF(I20="Unpaid",MAX(0,TODAY()-E20),IF(I20="Partial",MAX(0,TODAY()-E20),0)),0)</f>
        <v/>
      </c>
      <c r="K20" s="25" t="n"/>
      <c r="L20" s="25" t="n"/>
      <c r="M20" s="25" t="n"/>
    </row>
    <row r="21" ht="22" customHeight="1">
      <c r="B21" s="21" t="n"/>
      <c r="C21" s="21" t="n"/>
      <c r="D21" s="23" t="n"/>
      <c r="E21" s="24" t="n"/>
      <c r="F21" s="24" t="n"/>
      <c r="G21" s="23" t="n"/>
      <c r="H21" s="23">
        <f>IFERROR(D21-G21,0)</f>
        <v/>
      </c>
      <c r="I21" s="21">
        <f>IF(G21&gt;=D21,"Paid",IF(G21&gt;0,"Partial","Unpaid"))</f>
        <v/>
      </c>
      <c r="J21" s="22">
        <f>IFERROR(IF(I21="Unpaid",MAX(0,TODAY()-E21),IF(I21="Partial",MAX(0,TODAY()-E21),0)),0)</f>
        <v/>
      </c>
      <c r="K21" s="21" t="n"/>
      <c r="L21" s="21" t="n"/>
      <c r="M21" s="21" t="n"/>
    </row>
    <row r="22" ht="22" customHeight="1">
      <c r="B22" s="25" t="n"/>
      <c r="C22" s="25" t="n"/>
      <c r="D22" s="27" t="n"/>
      <c r="E22" s="28" t="n"/>
      <c r="F22" s="28" t="n"/>
      <c r="G22" s="27" t="n"/>
      <c r="H22" s="27">
        <f>IFERROR(D22-G22,0)</f>
        <v/>
      </c>
      <c r="I22" s="25">
        <f>IF(G22&gt;=D22,"Paid",IF(G22&gt;0,"Partial","Unpaid"))</f>
        <v/>
      </c>
      <c r="J22" s="26">
        <f>IFERROR(IF(I22="Unpaid",MAX(0,TODAY()-E22),IF(I22="Partial",MAX(0,TODAY()-E22),0)),0)</f>
        <v/>
      </c>
      <c r="K22" s="25" t="n"/>
      <c r="L22" s="25" t="n"/>
      <c r="M22" s="25" t="n"/>
    </row>
    <row r="23" ht="22" customHeight="1">
      <c r="B23" s="21" t="n"/>
      <c r="C23" s="21" t="n"/>
      <c r="D23" s="23" t="n"/>
      <c r="E23" s="24" t="n"/>
      <c r="F23" s="24" t="n"/>
      <c r="G23" s="23" t="n"/>
      <c r="H23" s="23">
        <f>IFERROR(D23-G23,0)</f>
        <v/>
      </c>
      <c r="I23" s="21">
        <f>IF(G23&gt;=D23,"Paid",IF(G23&gt;0,"Partial","Unpaid"))</f>
        <v/>
      </c>
      <c r="J23" s="22">
        <f>IFERROR(IF(I23="Unpaid",MAX(0,TODAY()-E23),IF(I23="Partial",MAX(0,TODAY()-E23),0)),0)</f>
        <v/>
      </c>
      <c r="K23" s="21" t="n"/>
      <c r="L23" s="21" t="n"/>
      <c r="M23" s="21" t="n"/>
    </row>
    <row r="24" ht="22" customHeight="1">
      <c r="B24" s="25" t="n"/>
      <c r="C24" s="25" t="n"/>
      <c r="D24" s="27" t="n"/>
      <c r="E24" s="28" t="n"/>
      <c r="F24" s="28" t="n"/>
      <c r="G24" s="27" t="n"/>
      <c r="H24" s="27">
        <f>IFERROR(D24-G24,0)</f>
        <v/>
      </c>
      <c r="I24" s="25">
        <f>IF(G24&gt;=D24,"Paid",IF(G24&gt;0,"Partial","Unpaid"))</f>
        <v/>
      </c>
      <c r="J24" s="26">
        <f>IFERROR(IF(I24="Unpaid",MAX(0,TODAY()-E24),IF(I24="Partial",MAX(0,TODAY()-E24),0)),0)</f>
        <v/>
      </c>
      <c r="K24" s="25" t="n"/>
      <c r="L24" s="25" t="n"/>
      <c r="M24" s="25" t="n"/>
    </row>
    <row r="25" ht="22" customHeight="1">
      <c r="B25" s="21" t="n"/>
      <c r="C25" s="21" t="n"/>
      <c r="D25" s="23" t="n"/>
      <c r="E25" s="24" t="n"/>
      <c r="F25" s="24" t="n"/>
      <c r="G25" s="23" t="n"/>
      <c r="H25" s="23">
        <f>IFERROR(D25-G25,0)</f>
        <v/>
      </c>
      <c r="I25" s="21">
        <f>IF(G25&gt;=D25,"Paid",IF(G25&gt;0,"Partial","Unpaid"))</f>
        <v/>
      </c>
      <c r="J25" s="22">
        <f>IFERROR(IF(I25="Unpaid",MAX(0,TODAY()-E25),IF(I25="Partial",MAX(0,TODAY()-E25),0)),0)</f>
        <v/>
      </c>
      <c r="K25" s="21" t="n"/>
      <c r="L25" s="21" t="n"/>
      <c r="M25" s="21" t="n"/>
    </row>
    <row r="26" ht="22" customHeight="1">
      <c r="B26" s="25" t="n"/>
      <c r="C26" s="25" t="n"/>
      <c r="D26" s="27" t="n"/>
      <c r="E26" s="28" t="n"/>
      <c r="F26" s="28" t="n"/>
      <c r="G26" s="27" t="n"/>
      <c r="H26" s="27">
        <f>IFERROR(D26-G26,0)</f>
        <v/>
      </c>
      <c r="I26" s="25">
        <f>IF(G26&gt;=D26,"Paid",IF(G26&gt;0,"Partial","Unpaid"))</f>
        <v/>
      </c>
      <c r="J26" s="26">
        <f>IFERROR(IF(I26="Unpaid",MAX(0,TODAY()-E26),IF(I26="Partial",MAX(0,TODAY()-E26),0)),0)</f>
        <v/>
      </c>
      <c r="K26" s="25" t="n"/>
      <c r="L26" s="25" t="n"/>
      <c r="M26" s="25" t="n"/>
    </row>
    <row r="27" ht="22" customHeight="1">
      <c r="B27" s="21" t="n"/>
      <c r="C27" s="21" t="n"/>
      <c r="D27" s="23" t="n"/>
      <c r="E27" s="24" t="n"/>
      <c r="F27" s="24" t="n"/>
      <c r="G27" s="23" t="n"/>
      <c r="H27" s="23">
        <f>IFERROR(D27-G27,0)</f>
        <v/>
      </c>
      <c r="I27" s="21">
        <f>IF(G27&gt;=D27,"Paid",IF(G27&gt;0,"Partial","Unpaid"))</f>
        <v/>
      </c>
      <c r="J27" s="22">
        <f>IFERROR(IF(I27="Unpaid",MAX(0,TODAY()-E27),IF(I27="Partial",MAX(0,TODAY()-E27),0)),0)</f>
        <v/>
      </c>
      <c r="K27" s="21" t="n"/>
      <c r="L27" s="21" t="n"/>
      <c r="M27" s="21" t="n"/>
    </row>
    <row r="28" ht="22" customHeight="1">
      <c r="B28" s="25" t="n"/>
      <c r="C28" s="25" t="n"/>
      <c r="D28" s="27" t="n"/>
      <c r="E28" s="28" t="n"/>
      <c r="F28" s="28" t="n"/>
      <c r="G28" s="27" t="n"/>
      <c r="H28" s="27">
        <f>IFERROR(D28-G28,0)</f>
        <v/>
      </c>
      <c r="I28" s="25">
        <f>IF(G28&gt;=D28,"Paid",IF(G28&gt;0,"Partial","Unpaid"))</f>
        <v/>
      </c>
      <c r="J28" s="26">
        <f>IFERROR(IF(I28="Unpaid",MAX(0,TODAY()-E28),IF(I28="Partial",MAX(0,TODAY()-E28),0)),0)</f>
        <v/>
      </c>
      <c r="K28" s="25" t="n"/>
      <c r="L28" s="25" t="n"/>
      <c r="M28" s="25" t="n"/>
    </row>
    <row r="29" ht="22" customHeight="1">
      <c r="B29" s="21" t="n"/>
      <c r="C29" s="21" t="n"/>
      <c r="D29" s="23" t="n"/>
      <c r="E29" s="24" t="n"/>
      <c r="F29" s="24" t="n"/>
      <c r="G29" s="23" t="n"/>
      <c r="H29" s="23">
        <f>IFERROR(D29-G29,0)</f>
        <v/>
      </c>
      <c r="I29" s="21">
        <f>IF(G29&gt;=D29,"Paid",IF(G29&gt;0,"Partial","Unpaid"))</f>
        <v/>
      </c>
      <c r="J29" s="22">
        <f>IFERROR(IF(I29="Unpaid",MAX(0,TODAY()-E29),IF(I29="Partial",MAX(0,TODAY()-E29),0)),0)</f>
        <v/>
      </c>
      <c r="K29" s="21" t="n"/>
      <c r="L29" s="21" t="n"/>
      <c r="M29" s="21" t="n"/>
    </row>
    <row r="30" ht="22" customHeight="1">
      <c r="B30" s="25" t="n"/>
      <c r="C30" s="25" t="n"/>
      <c r="D30" s="27" t="n"/>
      <c r="E30" s="28" t="n"/>
      <c r="F30" s="28" t="n"/>
      <c r="G30" s="27" t="n"/>
      <c r="H30" s="27">
        <f>IFERROR(D30-G30,0)</f>
        <v/>
      </c>
      <c r="I30" s="25">
        <f>IF(G30&gt;=D30,"Paid",IF(G30&gt;0,"Partial","Unpaid"))</f>
        <v/>
      </c>
      <c r="J30" s="26">
        <f>IFERROR(IF(I30="Unpaid",MAX(0,TODAY()-E30),IF(I30="Partial",MAX(0,TODAY()-E30),0)),0)</f>
        <v/>
      </c>
      <c r="K30" s="25" t="n"/>
      <c r="L30" s="25" t="n"/>
      <c r="M30" s="25" t="n"/>
    </row>
    <row r="31" ht="22" customHeight="1">
      <c r="B31" s="21" t="n"/>
      <c r="C31" s="21" t="n"/>
      <c r="D31" s="23" t="n"/>
      <c r="E31" s="24" t="n"/>
      <c r="F31" s="24" t="n"/>
      <c r="G31" s="23" t="n"/>
      <c r="H31" s="23">
        <f>IFERROR(D31-G31,0)</f>
        <v/>
      </c>
      <c r="I31" s="21">
        <f>IF(G31&gt;=D31,"Paid",IF(G31&gt;0,"Partial","Unpaid"))</f>
        <v/>
      </c>
      <c r="J31" s="22">
        <f>IFERROR(IF(I31="Unpaid",MAX(0,TODAY()-E31),IF(I31="Partial",MAX(0,TODAY()-E31),0)),0)</f>
        <v/>
      </c>
      <c r="K31" s="21" t="n"/>
      <c r="L31" s="21" t="n"/>
      <c r="M31" s="21" t="n"/>
    </row>
    <row r="32" ht="22" customHeight="1">
      <c r="B32" s="25" t="n"/>
      <c r="C32" s="25" t="n"/>
      <c r="D32" s="27" t="n"/>
      <c r="E32" s="28" t="n"/>
      <c r="F32" s="28" t="n"/>
      <c r="G32" s="27" t="n"/>
      <c r="H32" s="27">
        <f>IFERROR(D32-G32,0)</f>
        <v/>
      </c>
      <c r="I32" s="25">
        <f>IF(G32&gt;=D32,"Paid",IF(G32&gt;0,"Partial","Unpaid"))</f>
        <v/>
      </c>
      <c r="J32" s="26">
        <f>IFERROR(IF(I32="Unpaid",MAX(0,TODAY()-E32),IF(I32="Partial",MAX(0,TODAY()-E32),0)),0)</f>
        <v/>
      </c>
      <c r="K32" s="25" t="n"/>
      <c r="L32" s="25" t="n"/>
      <c r="M32" s="25" t="n"/>
    </row>
    <row r="33" ht="22" customHeight="1">
      <c r="B33" s="21" t="n"/>
      <c r="C33" s="21" t="n"/>
      <c r="D33" s="23" t="n"/>
      <c r="E33" s="24" t="n"/>
      <c r="F33" s="24" t="n"/>
      <c r="G33" s="23" t="n"/>
      <c r="H33" s="23">
        <f>IFERROR(D33-G33,0)</f>
        <v/>
      </c>
      <c r="I33" s="21">
        <f>IF(G33&gt;=D33,"Paid",IF(G33&gt;0,"Partial","Unpaid"))</f>
        <v/>
      </c>
      <c r="J33" s="22">
        <f>IFERROR(IF(I33="Unpaid",MAX(0,TODAY()-E33),IF(I33="Partial",MAX(0,TODAY()-E33),0)),0)</f>
        <v/>
      </c>
      <c r="K33" s="21" t="n"/>
      <c r="L33" s="21" t="n"/>
      <c r="M33" s="21" t="n"/>
    </row>
    <row r="34" ht="22" customHeight="1">
      <c r="B34" s="25" t="n"/>
      <c r="C34" s="25" t="n"/>
      <c r="D34" s="27" t="n"/>
      <c r="E34" s="28" t="n"/>
      <c r="F34" s="28" t="n"/>
      <c r="G34" s="27" t="n"/>
      <c r="H34" s="27">
        <f>IFERROR(D34-G34,0)</f>
        <v/>
      </c>
      <c r="I34" s="25">
        <f>IF(G34&gt;=D34,"Paid",IF(G34&gt;0,"Partial","Unpaid"))</f>
        <v/>
      </c>
      <c r="J34" s="26">
        <f>IFERROR(IF(I34="Unpaid",MAX(0,TODAY()-E34),IF(I34="Partial",MAX(0,TODAY()-E34),0)),0)</f>
        <v/>
      </c>
      <c r="K34" s="25" t="n"/>
      <c r="L34" s="25" t="n"/>
      <c r="M34" s="25" t="n"/>
    </row>
    <row r="35" ht="22" customHeight="1">
      <c r="B35" s="21" t="n"/>
      <c r="C35" s="21" t="n"/>
      <c r="D35" s="23" t="n"/>
      <c r="E35" s="24" t="n"/>
      <c r="F35" s="24" t="n"/>
      <c r="G35" s="23" t="n"/>
      <c r="H35" s="23">
        <f>IFERROR(D35-G35,0)</f>
        <v/>
      </c>
      <c r="I35" s="21">
        <f>IF(G35&gt;=D35,"Paid",IF(G35&gt;0,"Partial","Unpaid"))</f>
        <v/>
      </c>
      <c r="J35" s="22">
        <f>IFERROR(IF(I35="Unpaid",MAX(0,TODAY()-E35),IF(I35="Partial",MAX(0,TODAY()-E35),0)),0)</f>
        <v/>
      </c>
      <c r="K35" s="21" t="n"/>
      <c r="L35" s="21" t="n"/>
      <c r="M35" s="21" t="n"/>
    </row>
    <row r="36" ht="22" customHeight="1">
      <c r="B36" s="25" t="n"/>
      <c r="C36" s="25" t="n"/>
      <c r="D36" s="27" t="n"/>
      <c r="E36" s="28" t="n"/>
      <c r="F36" s="28" t="n"/>
      <c r="G36" s="27" t="n"/>
      <c r="H36" s="27">
        <f>IFERROR(D36-G36,0)</f>
        <v/>
      </c>
      <c r="I36" s="25">
        <f>IF(G36&gt;=D36,"Paid",IF(G36&gt;0,"Partial","Unpaid"))</f>
        <v/>
      </c>
      <c r="J36" s="26">
        <f>IFERROR(IF(I36="Unpaid",MAX(0,TODAY()-E36),IF(I36="Partial",MAX(0,TODAY()-E36),0)),0)</f>
        <v/>
      </c>
      <c r="K36" s="25" t="n"/>
      <c r="L36" s="25" t="n"/>
      <c r="M36" s="25" t="n"/>
    </row>
    <row r="37" ht="22" customHeight="1">
      <c r="B37" s="21" t="n"/>
      <c r="C37" s="21" t="n"/>
      <c r="D37" s="23" t="n"/>
      <c r="E37" s="24" t="n"/>
      <c r="F37" s="24" t="n"/>
      <c r="G37" s="23" t="n"/>
      <c r="H37" s="23">
        <f>IFERROR(D37-G37,0)</f>
        <v/>
      </c>
      <c r="I37" s="21">
        <f>IF(G37&gt;=D37,"Paid",IF(G37&gt;0,"Partial","Unpaid"))</f>
        <v/>
      </c>
      <c r="J37" s="22">
        <f>IFERROR(IF(I37="Unpaid",MAX(0,TODAY()-E37),IF(I37="Partial",MAX(0,TODAY()-E37),0)),0)</f>
        <v/>
      </c>
      <c r="K37" s="21" t="n"/>
      <c r="L37" s="21" t="n"/>
      <c r="M37" s="21" t="n"/>
    </row>
    <row r="38" ht="22" customHeight="1">
      <c r="B38" s="25" t="n"/>
      <c r="C38" s="25" t="n"/>
      <c r="D38" s="27" t="n"/>
      <c r="E38" s="28" t="n"/>
      <c r="F38" s="28" t="n"/>
      <c r="G38" s="27" t="n"/>
      <c r="H38" s="27">
        <f>IFERROR(D38-G38,0)</f>
        <v/>
      </c>
      <c r="I38" s="25">
        <f>IF(G38&gt;=D38,"Paid",IF(G38&gt;0,"Partial","Unpaid"))</f>
        <v/>
      </c>
      <c r="J38" s="26">
        <f>IFERROR(IF(I38="Unpaid",MAX(0,TODAY()-E38),IF(I38="Partial",MAX(0,TODAY()-E38),0)),0)</f>
        <v/>
      </c>
      <c r="K38" s="25" t="n"/>
      <c r="L38" s="25" t="n"/>
      <c r="M38" s="25" t="n"/>
    </row>
    <row r="39" ht="22" customHeight="1">
      <c r="B39" s="21" t="n"/>
      <c r="C39" s="21" t="n"/>
      <c r="D39" s="23" t="n"/>
      <c r="E39" s="24" t="n"/>
      <c r="F39" s="24" t="n"/>
      <c r="G39" s="23" t="n"/>
      <c r="H39" s="23">
        <f>IFERROR(D39-G39,0)</f>
        <v/>
      </c>
      <c r="I39" s="21">
        <f>IF(G39&gt;=D39,"Paid",IF(G39&gt;0,"Partial","Unpaid"))</f>
        <v/>
      </c>
      <c r="J39" s="22">
        <f>IFERROR(IF(I39="Unpaid",MAX(0,TODAY()-E39),IF(I39="Partial",MAX(0,TODAY()-E39),0)),0)</f>
        <v/>
      </c>
      <c r="K39" s="21" t="n"/>
      <c r="L39" s="21" t="n"/>
      <c r="M39" s="21" t="n"/>
    </row>
    <row r="40" ht="22" customHeight="1">
      <c r="B40" s="25" t="n"/>
      <c r="C40" s="25" t="n"/>
      <c r="D40" s="27" t="n"/>
      <c r="E40" s="28" t="n"/>
      <c r="F40" s="28" t="n"/>
      <c r="G40" s="27" t="n"/>
      <c r="H40" s="27">
        <f>IFERROR(D40-G40,0)</f>
        <v/>
      </c>
      <c r="I40" s="25">
        <f>IF(G40&gt;=D40,"Paid",IF(G40&gt;0,"Partial","Unpaid"))</f>
        <v/>
      </c>
      <c r="J40" s="26">
        <f>IFERROR(IF(I40="Unpaid",MAX(0,TODAY()-E40),IF(I40="Partial",MAX(0,TODAY()-E40),0)),0)</f>
        <v/>
      </c>
      <c r="K40" s="25" t="n"/>
      <c r="L40" s="25" t="n"/>
      <c r="M40" s="25" t="n"/>
    </row>
    <row r="41" ht="22" customHeight="1">
      <c r="B41" s="21" t="n"/>
      <c r="C41" s="21" t="n"/>
      <c r="D41" s="23" t="n"/>
      <c r="E41" s="24" t="n"/>
      <c r="F41" s="24" t="n"/>
      <c r="G41" s="23" t="n"/>
      <c r="H41" s="23">
        <f>IFERROR(D41-G41,0)</f>
        <v/>
      </c>
      <c r="I41" s="21">
        <f>IF(G41&gt;=D41,"Paid",IF(G41&gt;0,"Partial","Unpaid"))</f>
        <v/>
      </c>
      <c r="J41" s="22">
        <f>IFERROR(IF(I41="Unpaid",MAX(0,TODAY()-E41),IF(I41="Partial",MAX(0,TODAY()-E41),0)),0)</f>
        <v/>
      </c>
      <c r="K41" s="21" t="n"/>
      <c r="L41" s="21" t="n"/>
      <c r="M41" s="21" t="n"/>
    </row>
    <row r="42" ht="22" customHeight="1">
      <c r="B42" s="25" t="n"/>
      <c r="C42" s="25" t="n"/>
      <c r="D42" s="27" t="n"/>
      <c r="E42" s="28" t="n"/>
      <c r="F42" s="28" t="n"/>
      <c r="G42" s="27" t="n"/>
      <c r="H42" s="27">
        <f>IFERROR(D42-G42,0)</f>
        <v/>
      </c>
      <c r="I42" s="25">
        <f>IF(G42&gt;=D42,"Paid",IF(G42&gt;0,"Partial","Unpaid"))</f>
        <v/>
      </c>
      <c r="J42" s="26">
        <f>IFERROR(IF(I42="Unpaid",MAX(0,TODAY()-E42),IF(I42="Partial",MAX(0,TODAY()-E42),0)),0)</f>
        <v/>
      </c>
      <c r="K42" s="25" t="n"/>
      <c r="L42" s="25" t="n"/>
      <c r="M42" s="25" t="n"/>
    </row>
    <row r="43" ht="22" customHeight="1">
      <c r="B43" s="21" t="n"/>
      <c r="C43" s="21" t="n"/>
      <c r="D43" s="23" t="n"/>
      <c r="E43" s="24" t="n"/>
      <c r="F43" s="24" t="n"/>
      <c r="G43" s="23" t="n"/>
      <c r="H43" s="23">
        <f>IFERROR(D43-G43,0)</f>
        <v/>
      </c>
      <c r="I43" s="21">
        <f>IF(G43&gt;=D43,"Paid",IF(G43&gt;0,"Partial","Unpaid"))</f>
        <v/>
      </c>
      <c r="J43" s="22">
        <f>IFERROR(IF(I43="Unpaid",MAX(0,TODAY()-E43),IF(I43="Partial",MAX(0,TODAY()-E43),0)),0)</f>
        <v/>
      </c>
      <c r="K43" s="21" t="n"/>
      <c r="L43" s="21" t="n"/>
      <c r="M43" s="21" t="n"/>
    </row>
    <row r="44" ht="22" customHeight="1">
      <c r="B44" s="25" t="n"/>
      <c r="C44" s="25" t="n"/>
      <c r="D44" s="27" t="n"/>
      <c r="E44" s="28" t="n"/>
      <c r="F44" s="28" t="n"/>
      <c r="G44" s="27" t="n"/>
      <c r="H44" s="27">
        <f>IFERROR(D44-G44,0)</f>
        <v/>
      </c>
      <c r="I44" s="25">
        <f>IF(G44&gt;=D44,"Paid",IF(G44&gt;0,"Partial","Unpaid"))</f>
        <v/>
      </c>
      <c r="J44" s="26">
        <f>IFERROR(IF(I44="Unpaid",MAX(0,TODAY()-E44),IF(I44="Partial",MAX(0,TODAY()-E44),0)),0)</f>
        <v/>
      </c>
      <c r="K44" s="25" t="n"/>
      <c r="L44" s="25" t="n"/>
      <c r="M44" s="25" t="n"/>
    </row>
    <row r="45" ht="22" customHeight="1">
      <c r="B45" s="21" t="n"/>
      <c r="C45" s="21" t="n"/>
      <c r="D45" s="23" t="n"/>
      <c r="E45" s="24" t="n"/>
      <c r="F45" s="24" t="n"/>
      <c r="G45" s="23" t="n"/>
      <c r="H45" s="23">
        <f>IFERROR(D45-G45,0)</f>
        <v/>
      </c>
      <c r="I45" s="21">
        <f>IF(G45&gt;=D45,"Paid",IF(G45&gt;0,"Partial","Unpaid"))</f>
        <v/>
      </c>
      <c r="J45" s="22">
        <f>IFERROR(IF(I45="Unpaid",MAX(0,TODAY()-E45),IF(I45="Partial",MAX(0,TODAY()-E45),0)),0)</f>
        <v/>
      </c>
      <c r="K45" s="21" t="n"/>
      <c r="L45" s="21" t="n"/>
      <c r="M45" s="21" t="n"/>
    </row>
    <row r="46" ht="22" customHeight="1">
      <c r="B46" s="25" t="n"/>
      <c r="C46" s="25" t="n"/>
      <c r="D46" s="27" t="n"/>
      <c r="E46" s="28" t="n"/>
      <c r="F46" s="28" t="n"/>
      <c r="G46" s="27" t="n"/>
      <c r="H46" s="27">
        <f>IFERROR(D46-G46,0)</f>
        <v/>
      </c>
      <c r="I46" s="25">
        <f>IF(G46&gt;=D46,"Paid",IF(G46&gt;0,"Partial","Unpaid"))</f>
        <v/>
      </c>
      <c r="J46" s="26">
        <f>IFERROR(IF(I46="Unpaid",MAX(0,TODAY()-E46),IF(I46="Partial",MAX(0,TODAY()-E46),0)),0)</f>
        <v/>
      </c>
      <c r="K46" s="25" t="n"/>
      <c r="L46" s="25" t="n"/>
      <c r="M46" s="25" t="n"/>
    </row>
    <row r="47" ht="22" customHeight="1">
      <c r="B47" s="21" t="n"/>
      <c r="C47" s="21" t="n"/>
      <c r="D47" s="23" t="n"/>
      <c r="E47" s="24" t="n"/>
      <c r="F47" s="24" t="n"/>
      <c r="G47" s="23" t="n"/>
      <c r="H47" s="23">
        <f>IFERROR(D47-G47,0)</f>
        <v/>
      </c>
      <c r="I47" s="21">
        <f>IF(G47&gt;=D47,"Paid",IF(G47&gt;0,"Partial","Unpaid"))</f>
        <v/>
      </c>
      <c r="J47" s="22">
        <f>IFERROR(IF(I47="Unpaid",MAX(0,TODAY()-E47),IF(I47="Partial",MAX(0,TODAY()-E47),0)),0)</f>
        <v/>
      </c>
      <c r="K47" s="21" t="n"/>
      <c r="L47" s="21" t="n"/>
      <c r="M47" s="21" t="n"/>
    </row>
    <row r="48" ht="22" customHeight="1">
      <c r="B48" s="25" t="n"/>
      <c r="C48" s="25" t="n"/>
      <c r="D48" s="27" t="n"/>
      <c r="E48" s="28" t="n"/>
      <c r="F48" s="28" t="n"/>
      <c r="G48" s="27" t="n"/>
      <c r="H48" s="27">
        <f>IFERROR(D48-G48,0)</f>
        <v/>
      </c>
      <c r="I48" s="25">
        <f>IF(G48&gt;=D48,"Paid",IF(G48&gt;0,"Partial","Unpaid"))</f>
        <v/>
      </c>
      <c r="J48" s="26">
        <f>IFERROR(IF(I48="Unpaid",MAX(0,TODAY()-E48),IF(I48="Partial",MAX(0,TODAY()-E48),0)),0)</f>
        <v/>
      </c>
      <c r="K48" s="25" t="n"/>
      <c r="L48" s="25" t="n"/>
      <c r="M48" s="25" t="n"/>
    </row>
    <row r="49" ht="22" customHeight="1">
      <c r="B49" s="21" t="n"/>
      <c r="C49" s="21" t="n"/>
      <c r="D49" s="23" t="n"/>
      <c r="E49" s="24" t="n"/>
      <c r="F49" s="24" t="n"/>
      <c r="G49" s="23" t="n"/>
      <c r="H49" s="23">
        <f>IFERROR(D49-G49,0)</f>
        <v/>
      </c>
      <c r="I49" s="21">
        <f>IF(G49&gt;=D49,"Paid",IF(G49&gt;0,"Partial","Unpaid"))</f>
        <v/>
      </c>
      <c r="J49" s="22">
        <f>IFERROR(IF(I49="Unpaid",MAX(0,TODAY()-E49),IF(I49="Partial",MAX(0,TODAY()-E49),0)),0)</f>
        <v/>
      </c>
      <c r="K49" s="21" t="n"/>
      <c r="L49" s="21" t="n"/>
      <c r="M49" s="21" t="n"/>
    </row>
    <row r="50" ht="22" customHeight="1">
      <c r="B50" s="25" t="n"/>
      <c r="C50" s="25" t="n"/>
      <c r="D50" s="27" t="n"/>
      <c r="E50" s="28" t="n"/>
      <c r="F50" s="28" t="n"/>
      <c r="G50" s="27" t="n"/>
      <c r="H50" s="27">
        <f>IFERROR(D50-G50,0)</f>
        <v/>
      </c>
      <c r="I50" s="25">
        <f>IF(G50&gt;=D50,"Paid",IF(G50&gt;0,"Partial","Unpaid"))</f>
        <v/>
      </c>
      <c r="J50" s="26">
        <f>IFERROR(IF(I50="Unpaid",MAX(0,TODAY()-E50),IF(I50="Partial",MAX(0,TODAY()-E50),0)),0)</f>
        <v/>
      </c>
      <c r="K50" s="25" t="n"/>
      <c r="L50" s="25" t="n"/>
      <c r="M50" s="25" t="n"/>
    </row>
    <row r="51" ht="22" customHeight="1">
      <c r="B51" s="21" t="n"/>
      <c r="C51" s="21" t="n"/>
      <c r="D51" s="23" t="n"/>
      <c r="E51" s="24" t="n"/>
      <c r="F51" s="24" t="n"/>
      <c r="G51" s="23" t="n"/>
      <c r="H51" s="23">
        <f>IFERROR(D51-G51,0)</f>
        <v/>
      </c>
      <c r="I51" s="21">
        <f>IF(G51&gt;=D51,"Paid",IF(G51&gt;0,"Partial","Unpaid"))</f>
        <v/>
      </c>
      <c r="J51" s="22">
        <f>IFERROR(IF(I51="Unpaid",MAX(0,TODAY()-E51),IF(I51="Partial",MAX(0,TODAY()-E51),0)),0)</f>
        <v/>
      </c>
      <c r="K51" s="21" t="n"/>
      <c r="L51" s="21" t="n"/>
      <c r="M51" s="21" t="n"/>
    </row>
    <row r="52" ht="22" customHeight="1">
      <c r="B52" s="25" t="n"/>
      <c r="C52" s="25" t="n"/>
      <c r="D52" s="27" t="n"/>
      <c r="E52" s="28" t="n"/>
      <c r="F52" s="28" t="n"/>
      <c r="G52" s="27" t="n"/>
      <c r="H52" s="27">
        <f>IFERROR(D52-G52,0)</f>
        <v/>
      </c>
      <c r="I52" s="25">
        <f>IF(G52&gt;=D52,"Paid",IF(G52&gt;0,"Partial","Unpaid"))</f>
        <v/>
      </c>
      <c r="J52" s="26">
        <f>IFERROR(IF(I52="Unpaid",MAX(0,TODAY()-E52),IF(I52="Partial",MAX(0,TODAY()-E52),0)),0)</f>
        <v/>
      </c>
      <c r="K52" s="25" t="n"/>
      <c r="L52" s="25" t="n"/>
      <c r="M52" s="25" t="n"/>
    </row>
    <row r="53" ht="22" customHeight="1">
      <c r="B53" s="21" t="n"/>
      <c r="C53" s="21" t="n"/>
      <c r="D53" s="23" t="n"/>
      <c r="E53" s="24" t="n"/>
      <c r="F53" s="24" t="n"/>
      <c r="G53" s="23" t="n"/>
      <c r="H53" s="23">
        <f>IFERROR(D53-G53,0)</f>
        <v/>
      </c>
      <c r="I53" s="21">
        <f>IF(G53&gt;=D53,"Paid",IF(G53&gt;0,"Partial","Unpaid"))</f>
        <v/>
      </c>
      <c r="J53" s="22">
        <f>IFERROR(IF(I53="Unpaid",MAX(0,TODAY()-E53),IF(I53="Partial",MAX(0,TODAY()-E53),0)),0)</f>
        <v/>
      </c>
      <c r="K53" s="21" t="n"/>
      <c r="L53" s="21" t="n"/>
      <c r="M53" s="21" t="n"/>
    </row>
    <row r="54" ht="22" customHeight="1">
      <c r="B54" s="25" t="n"/>
      <c r="C54" s="25" t="n"/>
      <c r="D54" s="27" t="n"/>
      <c r="E54" s="28" t="n"/>
      <c r="F54" s="28" t="n"/>
      <c r="G54" s="27" t="n"/>
      <c r="H54" s="27">
        <f>IFERROR(D54-G54,0)</f>
        <v/>
      </c>
      <c r="I54" s="25">
        <f>IF(G54&gt;=D54,"Paid",IF(G54&gt;0,"Partial","Unpaid"))</f>
        <v/>
      </c>
      <c r="J54" s="26">
        <f>IFERROR(IF(I54="Unpaid",MAX(0,TODAY()-E54),IF(I54="Partial",MAX(0,TODAY()-E54),0)),0)</f>
        <v/>
      </c>
      <c r="K54" s="25" t="n"/>
      <c r="L54" s="25" t="n"/>
      <c r="M54" s="25" t="n"/>
    </row>
    <row r="55" ht="22" customHeight="1">
      <c r="B55" s="21" t="n"/>
      <c r="C55" s="21" t="n"/>
      <c r="D55" s="23" t="n"/>
      <c r="E55" s="24" t="n"/>
      <c r="F55" s="24" t="n"/>
      <c r="G55" s="23" t="n"/>
      <c r="H55" s="23">
        <f>IFERROR(D55-G55,0)</f>
        <v/>
      </c>
      <c r="I55" s="21">
        <f>IF(G55&gt;=D55,"Paid",IF(G55&gt;0,"Partial","Unpaid"))</f>
        <v/>
      </c>
      <c r="J55" s="22">
        <f>IFERROR(IF(I55="Unpaid",MAX(0,TODAY()-E55),IF(I55="Partial",MAX(0,TODAY()-E55),0)),0)</f>
        <v/>
      </c>
      <c r="K55" s="21" t="n"/>
      <c r="L55" s="21" t="n"/>
      <c r="M55" s="21" t="n"/>
    </row>
    <row r="56" ht="22" customHeight="1">
      <c r="B56" s="25" t="n"/>
      <c r="C56" s="25" t="n"/>
      <c r="D56" s="27" t="n"/>
      <c r="E56" s="28" t="n"/>
      <c r="F56" s="28" t="n"/>
      <c r="G56" s="27" t="n"/>
      <c r="H56" s="27">
        <f>IFERROR(D56-G56,0)</f>
        <v/>
      </c>
      <c r="I56" s="25">
        <f>IF(G56&gt;=D56,"Paid",IF(G56&gt;0,"Partial","Unpaid"))</f>
        <v/>
      </c>
      <c r="J56" s="26">
        <f>IFERROR(IF(I56="Unpaid",MAX(0,TODAY()-E56),IF(I56="Partial",MAX(0,TODAY()-E56),0)),0)</f>
        <v/>
      </c>
      <c r="K56" s="25" t="n"/>
      <c r="L56" s="25" t="n"/>
      <c r="M56" s="25" t="n"/>
    </row>
    <row r="57" ht="22" customHeight="1">
      <c r="B57" s="21" t="n"/>
      <c r="C57" s="21" t="n"/>
      <c r="D57" s="23" t="n"/>
      <c r="E57" s="24" t="n"/>
      <c r="F57" s="24" t="n"/>
      <c r="G57" s="23" t="n"/>
      <c r="H57" s="23">
        <f>IFERROR(D57-G57,0)</f>
        <v/>
      </c>
      <c r="I57" s="21">
        <f>IF(G57&gt;=D57,"Paid",IF(G57&gt;0,"Partial","Unpaid"))</f>
        <v/>
      </c>
      <c r="J57" s="22">
        <f>IFERROR(IF(I57="Unpaid",MAX(0,TODAY()-E57),IF(I57="Partial",MAX(0,TODAY()-E57),0)),0)</f>
        <v/>
      </c>
      <c r="K57" s="21" t="n"/>
      <c r="L57" s="21" t="n"/>
      <c r="M57" s="21" t="n"/>
    </row>
    <row r="58" ht="22" customHeight="1">
      <c r="B58" s="25" t="n"/>
      <c r="C58" s="25" t="n"/>
      <c r="D58" s="27" t="n"/>
      <c r="E58" s="28" t="n"/>
      <c r="F58" s="28" t="n"/>
      <c r="G58" s="27" t="n"/>
      <c r="H58" s="27">
        <f>IFERROR(D58-G58,0)</f>
        <v/>
      </c>
      <c r="I58" s="25">
        <f>IF(G58&gt;=D58,"Paid",IF(G58&gt;0,"Partial","Unpaid"))</f>
        <v/>
      </c>
      <c r="J58" s="26">
        <f>IFERROR(IF(I58="Unpaid",MAX(0,TODAY()-E58),IF(I58="Partial",MAX(0,TODAY()-E58),0)),0)</f>
        <v/>
      </c>
      <c r="K58" s="25" t="n"/>
      <c r="L58" s="25" t="n"/>
      <c r="M58" s="25" t="n"/>
    </row>
    <row r="59" ht="22" customHeight="1">
      <c r="B59" s="21" t="n"/>
      <c r="C59" s="21" t="n"/>
      <c r="D59" s="23" t="n"/>
      <c r="E59" s="24" t="n"/>
      <c r="F59" s="24" t="n"/>
      <c r="G59" s="23" t="n"/>
      <c r="H59" s="23">
        <f>IFERROR(D59-G59,0)</f>
        <v/>
      </c>
      <c r="I59" s="21">
        <f>IF(G59&gt;=D59,"Paid",IF(G59&gt;0,"Partial","Unpaid"))</f>
        <v/>
      </c>
      <c r="J59" s="22">
        <f>IFERROR(IF(I59="Unpaid",MAX(0,TODAY()-E59),IF(I59="Partial",MAX(0,TODAY()-E59),0)),0)</f>
        <v/>
      </c>
      <c r="K59" s="21" t="n"/>
      <c r="L59" s="21" t="n"/>
      <c r="M59" s="21" t="n"/>
    </row>
    <row r="60" ht="22" customHeight="1">
      <c r="B60" s="25" t="n"/>
      <c r="C60" s="25" t="n"/>
      <c r="D60" s="27" t="n"/>
      <c r="E60" s="28" t="n"/>
      <c r="F60" s="28" t="n"/>
      <c r="G60" s="27" t="n"/>
      <c r="H60" s="27">
        <f>IFERROR(D60-G60,0)</f>
        <v/>
      </c>
      <c r="I60" s="25">
        <f>IF(G60&gt;=D60,"Paid",IF(G60&gt;0,"Partial","Unpaid"))</f>
        <v/>
      </c>
      <c r="J60" s="26">
        <f>IFERROR(IF(I60="Unpaid",MAX(0,TODAY()-E60),IF(I60="Partial",MAX(0,TODAY()-E60),0)),0)</f>
        <v/>
      </c>
      <c r="K60" s="25" t="n"/>
      <c r="L60" s="25" t="n"/>
      <c r="M60" s="25" t="n"/>
    </row>
    <row r="61" ht="22" customHeight="1">
      <c r="B61" s="21" t="n"/>
      <c r="C61" s="21" t="n"/>
      <c r="D61" s="23" t="n"/>
      <c r="E61" s="24" t="n"/>
      <c r="F61" s="24" t="n"/>
      <c r="G61" s="23" t="n"/>
      <c r="H61" s="23">
        <f>IFERROR(D61-G61,0)</f>
        <v/>
      </c>
      <c r="I61" s="21">
        <f>IF(G61&gt;=D61,"Paid",IF(G61&gt;0,"Partial","Unpaid"))</f>
        <v/>
      </c>
      <c r="J61" s="22">
        <f>IFERROR(IF(I61="Unpaid",MAX(0,TODAY()-E61),IF(I61="Partial",MAX(0,TODAY()-E61),0)),0)</f>
        <v/>
      </c>
      <c r="K61" s="21" t="n"/>
      <c r="L61" s="21" t="n"/>
      <c r="M61" s="21" t="n"/>
    </row>
    <row r="62" ht="22" customHeight="1">
      <c r="B62" s="25" t="n"/>
      <c r="C62" s="25" t="n"/>
      <c r="D62" s="27" t="n"/>
      <c r="E62" s="28" t="n"/>
      <c r="F62" s="28" t="n"/>
      <c r="G62" s="27" t="n"/>
      <c r="H62" s="27">
        <f>IFERROR(D62-G62,0)</f>
        <v/>
      </c>
      <c r="I62" s="25">
        <f>IF(G62&gt;=D62,"Paid",IF(G62&gt;0,"Partial","Unpaid"))</f>
        <v/>
      </c>
      <c r="J62" s="26">
        <f>IFERROR(IF(I62="Unpaid",MAX(0,TODAY()-E62),IF(I62="Partial",MAX(0,TODAY()-E62),0)),0)</f>
        <v/>
      </c>
      <c r="K62" s="25" t="n"/>
      <c r="L62" s="25" t="n"/>
      <c r="M62" s="25" t="n"/>
    </row>
    <row r="63" ht="22" customHeight="1">
      <c r="B63" s="21" t="n"/>
      <c r="C63" s="21" t="n"/>
      <c r="D63" s="23" t="n"/>
      <c r="E63" s="24" t="n"/>
      <c r="F63" s="24" t="n"/>
      <c r="G63" s="23" t="n"/>
      <c r="H63" s="23">
        <f>IFERROR(D63-G63,0)</f>
        <v/>
      </c>
      <c r="I63" s="21">
        <f>IF(G63&gt;=D63,"Paid",IF(G63&gt;0,"Partial","Unpaid"))</f>
        <v/>
      </c>
      <c r="J63" s="22">
        <f>IFERROR(IF(I63="Unpaid",MAX(0,TODAY()-E63),IF(I63="Partial",MAX(0,TODAY()-E63),0)),0)</f>
        <v/>
      </c>
      <c r="K63" s="21" t="n"/>
      <c r="L63" s="21" t="n"/>
      <c r="M63" s="21" t="n"/>
    </row>
    <row r="64" ht="22" customHeight="1">
      <c r="B64" s="25" t="n"/>
      <c r="C64" s="25" t="n"/>
      <c r="D64" s="27" t="n"/>
      <c r="E64" s="28" t="n"/>
      <c r="F64" s="28" t="n"/>
      <c r="G64" s="27" t="n"/>
      <c r="H64" s="27">
        <f>IFERROR(D64-G64,0)</f>
        <v/>
      </c>
      <c r="I64" s="25">
        <f>IF(G64&gt;=D64,"Paid",IF(G64&gt;0,"Partial","Unpaid"))</f>
        <v/>
      </c>
      <c r="J64" s="26">
        <f>IFERROR(IF(I64="Unpaid",MAX(0,TODAY()-E64),IF(I64="Partial",MAX(0,TODAY()-E64),0)),0)</f>
        <v/>
      </c>
      <c r="K64" s="25" t="n"/>
      <c r="L64" s="25" t="n"/>
      <c r="M64" s="25" t="n"/>
    </row>
    <row r="65" ht="22" customHeight="1">
      <c r="B65" s="21" t="n"/>
      <c r="C65" s="21" t="n"/>
      <c r="D65" s="23" t="n"/>
      <c r="E65" s="24" t="n"/>
      <c r="F65" s="24" t="n"/>
      <c r="G65" s="23" t="n"/>
      <c r="H65" s="23">
        <f>IFERROR(D65-G65,0)</f>
        <v/>
      </c>
      <c r="I65" s="21">
        <f>IF(G65&gt;=D65,"Paid",IF(G65&gt;0,"Partial","Unpaid"))</f>
        <v/>
      </c>
      <c r="J65" s="22">
        <f>IFERROR(IF(I65="Unpaid",MAX(0,TODAY()-E65),IF(I65="Partial",MAX(0,TODAY()-E65),0)),0)</f>
        <v/>
      </c>
      <c r="K65" s="21" t="n"/>
      <c r="L65" s="21" t="n"/>
      <c r="M65" s="21" t="n"/>
    </row>
    <row r="66" ht="22" customHeight="1">
      <c r="B66" s="25" t="n"/>
      <c r="C66" s="25" t="n"/>
      <c r="D66" s="27" t="n"/>
      <c r="E66" s="28" t="n"/>
      <c r="F66" s="28" t="n"/>
      <c r="G66" s="27" t="n"/>
      <c r="H66" s="27">
        <f>IFERROR(D66-G66,0)</f>
        <v/>
      </c>
      <c r="I66" s="25">
        <f>IF(G66&gt;=D66,"Paid",IF(G66&gt;0,"Partial","Unpaid"))</f>
        <v/>
      </c>
      <c r="J66" s="26">
        <f>IFERROR(IF(I66="Unpaid",MAX(0,TODAY()-E66),IF(I66="Partial",MAX(0,TODAY()-E66),0)),0)</f>
        <v/>
      </c>
      <c r="K66" s="25" t="n"/>
      <c r="L66" s="25" t="n"/>
      <c r="M66" s="25" t="n"/>
    </row>
    <row r="67" ht="22" customHeight="1">
      <c r="B67" s="21" t="n"/>
      <c r="C67" s="21" t="n"/>
      <c r="D67" s="23" t="n"/>
      <c r="E67" s="24" t="n"/>
      <c r="F67" s="24" t="n"/>
      <c r="G67" s="23" t="n"/>
      <c r="H67" s="23">
        <f>IFERROR(D67-G67,0)</f>
        <v/>
      </c>
      <c r="I67" s="21">
        <f>IF(G67&gt;=D67,"Paid",IF(G67&gt;0,"Partial","Unpaid"))</f>
        <v/>
      </c>
      <c r="J67" s="22">
        <f>IFERROR(IF(I67="Unpaid",MAX(0,TODAY()-E67),IF(I67="Partial",MAX(0,TODAY()-E67),0)),0)</f>
        <v/>
      </c>
      <c r="K67" s="21" t="n"/>
      <c r="L67" s="21" t="n"/>
      <c r="M67" s="21" t="n"/>
    </row>
    <row r="68" ht="22" customHeight="1">
      <c r="B68" s="25" t="n"/>
      <c r="C68" s="25" t="n"/>
      <c r="D68" s="27" t="n"/>
      <c r="E68" s="28" t="n"/>
      <c r="F68" s="28" t="n"/>
      <c r="G68" s="27" t="n"/>
      <c r="H68" s="27">
        <f>IFERROR(D68-G68,0)</f>
        <v/>
      </c>
      <c r="I68" s="25">
        <f>IF(G68&gt;=D68,"Paid",IF(G68&gt;0,"Partial","Unpaid"))</f>
        <v/>
      </c>
      <c r="J68" s="26">
        <f>IFERROR(IF(I68="Unpaid",MAX(0,TODAY()-E68),IF(I68="Partial",MAX(0,TODAY()-E68),0)),0)</f>
        <v/>
      </c>
      <c r="K68" s="25" t="n"/>
      <c r="L68" s="25" t="n"/>
      <c r="M68" s="25" t="n"/>
    </row>
    <row r="69" ht="22" customHeight="1">
      <c r="B69" s="21" t="n"/>
      <c r="C69" s="21" t="n"/>
      <c r="D69" s="23" t="n"/>
      <c r="E69" s="24" t="n"/>
      <c r="F69" s="24" t="n"/>
      <c r="G69" s="23" t="n"/>
      <c r="H69" s="23">
        <f>IFERROR(D69-G69,0)</f>
        <v/>
      </c>
      <c r="I69" s="21">
        <f>IF(G69&gt;=D69,"Paid",IF(G69&gt;0,"Partial","Unpaid"))</f>
        <v/>
      </c>
      <c r="J69" s="22">
        <f>IFERROR(IF(I69="Unpaid",MAX(0,TODAY()-E69),IF(I69="Partial",MAX(0,TODAY()-E69),0)),0)</f>
        <v/>
      </c>
      <c r="K69" s="21" t="n"/>
      <c r="L69" s="21" t="n"/>
      <c r="M69" s="21" t="n"/>
    </row>
    <row r="70" ht="22" customHeight="1">
      <c r="B70" s="25" t="n"/>
      <c r="C70" s="25" t="n"/>
      <c r="D70" s="27" t="n"/>
      <c r="E70" s="28" t="n"/>
      <c r="F70" s="28" t="n"/>
      <c r="G70" s="27" t="n"/>
      <c r="H70" s="27">
        <f>IFERROR(D70-G70,0)</f>
        <v/>
      </c>
      <c r="I70" s="25">
        <f>IF(G70&gt;=D70,"Paid",IF(G70&gt;0,"Partial","Unpaid"))</f>
        <v/>
      </c>
      <c r="J70" s="26">
        <f>IFERROR(IF(I70="Unpaid",MAX(0,TODAY()-E70),IF(I70="Partial",MAX(0,TODAY()-E70),0)),0)</f>
        <v/>
      </c>
      <c r="K70" s="25" t="n"/>
      <c r="L70" s="25" t="n"/>
      <c r="M70" s="25" t="n"/>
    </row>
    <row r="71" ht="22" customHeight="1">
      <c r="B71" s="21" t="n"/>
      <c r="C71" s="21" t="n"/>
      <c r="D71" s="23" t="n"/>
      <c r="E71" s="24" t="n"/>
      <c r="F71" s="24" t="n"/>
      <c r="G71" s="23" t="n"/>
      <c r="H71" s="23">
        <f>IFERROR(D71-G71,0)</f>
        <v/>
      </c>
      <c r="I71" s="21">
        <f>IF(G71&gt;=D71,"Paid",IF(G71&gt;0,"Partial","Unpaid"))</f>
        <v/>
      </c>
      <c r="J71" s="22">
        <f>IFERROR(IF(I71="Unpaid",MAX(0,TODAY()-E71),IF(I71="Partial",MAX(0,TODAY()-E71),0)),0)</f>
        <v/>
      </c>
      <c r="K71" s="21" t="n"/>
      <c r="L71" s="21" t="n"/>
      <c r="M71" s="21" t="n"/>
    </row>
    <row r="72" ht="22" customHeight="1">
      <c r="B72" s="25" t="n"/>
      <c r="C72" s="25" t="n"/>
      <c r="D72" s="27" t="n"/>
      <c r="E72" s="28" t="n"/>
      <c r="F72" s="28" t="n"/>
      <c r="G72" s="27" t="n"/>
      <c r="H72" s="27">
        <f>IFERROR(D72-G72,0)</f>
        <v/>
      </c>
      <c r="I72" s="25">
        <f>IF(G72&gt;=D72,"Paid",IF(G72&gt;0,"Partial","Unpaid"))</f>
        <v/>
      </c>
      <c r="J72" s="26">
        <f>IFERROR(IF(I72="Unpaid",MAX(0,TODAY()-E72),IF(I72="Partial",MAX(0,TODAY()-E72),0)),0)</f>
        <v/>
      </c>
      <c r="K72" s="25" t="n"/>
      <c r="L72" s="25" t="n"/>
      <c r="M72" s="25" t="n"/>
    </row>
    <row r="73" ht="22" customHeight="1">
      <c r="B73" s="21" t="n"/>
      <c r="C73" s="21" t="n"/>
      <c r="D73" s="23" t="n"/>
      <c r="E73" s="24" t="n"/>
      <c r="F73" s="24" t="n"/>
      <c r="G73" s="23" t="n"/>
      <c r="H73" s="23">
        <f>IFERROR(D73-G73,0)</f>
        <v/>
      </c>
      <c r="I73" s="21">
        <f>IF(G73&gt;=D73,"Paid",IF(G73&gt;0,"Partial","Unpaid"))</f>
        <v/>
      </c>
      <c r="J73" s="22">
        <f>IFERROR(IF(I73="Unpaid",MAX(0,TODAY()-E73),IF(I73="Partial",MAX(0,TODAY()-E73),0)),0)</f>
        <v/>
      </c>
      <c r="K73" s="21" t="n"/>
      <c r="L73" s="21" t="n"/>
      <c r="M73" s="21" t="n"/>
    </row>
    <row r="74" ht="22" customHeight="1">
      <c r="B74" s="25" t="n"/>
      <c r="C74" s="25" t="n"/>
      <c r="D74" s="27" t="n"/>
      <c r="E74" s="28" t="n"/>
      <c r="F74" s="28" t="n"/>
      <c r="G74" s="27" t="n"/>
      <c r="H74" s="27">
        <f>IFERROR(D74-G74,0)</f>
        <v/>
      </c>
      <c r="I74" s="25">
        <f>IF(G74&gt;=D74,"Paid",IF(G74&gt;0,"Partial","Unpaid"))</f>
        <v/>
      </c>
      <c r="J74" s="26">
        <f>IFERROR(IF(I74="Unpaid",MAX(0,TODAY()-E74),IF(I74="Partial",MAX(0,TODAY()-E74),0)),0)</f>
        <v/>
      </c>
      <c r="K74" s="25" t="n"/>
      <c r="L74" s="25" t="n"/>
      <c r="M74" s="25" t="n"/>
    </row>
    <row r="75" ht="22" customHeight="1">
      <c r="B75" s="21" t="n"/>
      <c r="C75" s="21" t="n"/>
      <c r="D75" s="23" t="n"/>
      <c r="E75" s="24" t="n"/>
      <c r="F75" s="24" t="n"/>
      <c r="G75" s="23" t="n"/>
      <c r="H75" s="23">
        <f>IFERROR(D75-G75,0)</f>
        <v/>
      </c>
      <c r="I75" s="21">
        <f>IF(G75&gt;=D75,"Paid",IF(G75&gt;0,"Partial","Unpaid"))</f>
        <v/>
      </c>
      <c r="J75" s="22">
        <f>IFERROR(IF(I75="Unpaid",MAX(0,TODAY()-E75),IF(I75="Partial",MAX(0,TODAY()-E75),0)),0)</f>
        <v/>
      </c>
      <c r="K75" s="21" t="n"/>
      <c r="L75" s="21" t="n"/>
      <c r="M75" s="21" t="n"/>
    </row>
    <row r="76" ht="22" customHeight="1">
      <c r="B76" s="25" t="n"/>
      <c r="C76" s="25" t="n"/>
      <c r="D76" s="27" t="n"/>
      <c r="E76" s="28" t="n"/>
      <c r="F76" s="28" t="n"/>
      <c r="G76" s="27" t="n"/>
      <c r="H76" s="27">
        <f>IFERROR(D76-G76,0)</f>
        <v/>
      </c>
      <c r="I76" s="25">
        <f>IF(G76&gt;=D76,"Paid",IF(G76&gt;0,"Partial","Unpaid"))</f>
        <v/>
      </c>
      <c r="J76" s="26">
        <f>IFERROR(IF(I76="Unpaid",MAX(0,TODAY()-E76),IF(I76="Partial",MAX(0,TODAY()-E76),0)),0)</f>
        <v/>
      </c>
      <c r="K76" s="25" t="n"/>
      <c r="L76" s="25" t="n"/>
      <c r="M76" s="25" t="n"/>
    </row>
    <row r="77" ht="22" customHeight="1">
      <c r="B77" s="21" t="n"/>
      <c r="C77" s="21" t="n"/>
      <c r="D77" s="23" t="n"/>
      <c r="E77" s="24" t="n"/>
      <c r="F77" s="24" t="n"/>
      <c r="G77" s="23" t="n"/>
      <c r="H77" s="23">
        <f>IFERROR(D77-G77,0)</f>
        <v/>
      </c>
      <c r="I77" s="21">
        <f>IF(G77&gt;=D77,"Paid",IF(G77&gt;0,"Partial","Unpaid"))</f>
        <v/>
      </c>
      <c r="J77" s="22">
        <f>IFERROR(IF(I77="Unpaid",MAX(0,TODAY()-E77),IF(I77="Partial",MAX(0,TODAY()-E77),0)),0)</f>
        <v/>
      </c>
      <c r="K77" s="21" t="n"/>
      <c r="L77" s="21" t="n"/>
      <c r="M77" s="21" t="n"/>
    </row>
    <row r="78" ht="22" customHeight="1">
      <c r="B78" s="25" t="n"/>
      <c r="C78" s="25" t="n"/>
      <c r="D78" s="27" t="n"/>
      <c r="E78" s="28" t="n"/>
      <c r="F78" s="28" t="n"/>
      <c r="G78" s="27" t="n"/>
      <c r="H78" s="27">
        <f>IFERROR(D78-G78,0)</f>
        <v/>
      </c>
      <c r="I78" s="25">
        <f>IF(G78&gt;=D78,"Paid",IF(G78&gt;0,"Partial","Unpaid"))</f>
        <v/>
      </c>
      <c r="J78" s="26">
        <f>IFERROR(IF(I78="Unpaid",MAX(0,TODAY()-E78),IF(I78="Partial",MAX(0,TODAY()-E78),0)),0)</f>
        <v/>
      </c>
      <c r="K78" s="25" t="n"/>
      <c r="L78" s="25" t="n"/>
      <c r="M78" s="25" t="n"/>
    </row>
    <row r="79" ht="22" customHeight="1">
      <c r="B79" s="21" t="n"/>
      <c r="C79" s="21" t="n"/>
      <c r="D79" s="23" t="n"/>
      <c r="E79" s="24" t="n"/>
      <c r="F79" s="24" t="n"/>
      <c r="G79" s="23" t="n"/>
      <c r="H79" s="23">
        <f>IFERROR(D79-G79,0)</f>
        <v/>
      </c>
      <c r="I79" s="21">
        <f>IF(G79&gt;=D79,"Paid",IF(G79&gt;0,"Partial","Unpaid"))</f>
        <v/>
      </c>
      <c r="J79" s="22">
        <f>IFERROR(IF(I79="Unpaid",MAX(0,TODAY()-E79),IF(I79="Partial",MAX(0,TODAY()-E79),0)),0)</f>
        <v/>
      </c>
      <c r="K79" s="21" t="n"/>
      <c r="L79" s="21" t="n"/>
      <c r="M79" s="21" t="n"/>
    </row>
    <row r="80" ht="22" customHeight="1">
      <c r="B80" s="25" t="n"/>
      <c r="C80" s="25" t="n"/>
      <c r="D80" s="27" t="n"/>
      <c r="E80" s="28" t="n"/>
      <c r="F80" s="28" t="n"/>
      <c r="G80" s="27" t="n"/>
      <c r="H80" s="27">
        <f>IFERROR(D80-G80,0)</f>
        <v/>
      </c>
      <c r="I80" s="25">
        <f>IF(G80&gt;=D80,"Paid",IF(G80&gt;0,"Partial","Unpaid"))</f>
        <v/>
      </c>
      <c r="J80" s="26">
        <f>IFERROR(IF(I80="Unpaid",MAX(0,TODAY()-E80),IF(I80="Partial",MAX(0,TODAY()-E80),0)),0)</f>
        <v/>
      </c>
      <c r="K80" s="25" t="n"/>
      <c r="L80" s="25" t="n"/>
      <c r="M80" s="25" t="n"/>
    </row>
    <row r="81" ht="22" customHeight="1">
      <c r="B81" s="21" t="n"/>
      <c r="C81" s="21" t="n"/>
      <c r="D81" s="23" t="n"/>
      <c r="E81" s="24" t="n"/>
      <c r="F81" s="24" t="n"/>
      <c r="G81" s="23" t="n"/>
      <c r="H81" s="23">
        <f>IFERROR(D81-G81,0)</f>
        <v/>
      </c>
      <c r="I81" s="21">
        <f>IF(G81&gt;=D81,"Paid",IF(G81&gt;0,"Partial","Unpaid"))</f>
        <v/>
      </c>
      <c r="J81" s="22">
        <f>IFERROR(IF(I81="Unpaid",MAX(0,TODAY()-E81),IF(I81="Partial",MAX(0,TODAY()-E81),0)),0)</f>
        <v/>
      </c>
      <c r="K81" s="21" t="n"/>
      <c r="L81" s="21" t="n"/>
      <c r="M81" s="21" t="n"/>
    </row>
    <row r="82" ht="22" customHeight="1">
      <c r="B82" s="25" t="n"/>
      <c r="C82" s="25" t="n"/>
      <c r="D82" s="27" t="n"/>
      <c r="E82" s="28" t="n"/>
      <c r="F82" s="28" t="n"/>
      <c r="G82" s="27" t="n"/>
      <c r="H82" s="27">
        <f>IFERROR(D82-G82,0)</f>
        <v/>
      </c>
      <c r="I82" s="25">
        <f>IF(G82&gt;=D82,"Paid",IF(G82&gt;0,"Partial","Unpaid"))</f>
        <v/>
      </c>
      <c r="J82" s="26">
        <f>IFERROR(IF(I82="Unpaid",MAX(0,TODAY()-E82),IF(I82="Partial",MAX(0,TODAY()-E82),0)),0)</f>
        <v/>
      </c>
      <c r="K82" s="25" t="n"/>
      <c r="L82" s="25" t="n"/>
      <c r="M82" s="25" t="n"/>
    </row>
    <row r="83" ht="22" customHeight="1">
      <c r="B83" s="21" t="n"/>
      <c r="C83" s="21" t="n"/>
      <c r="D83" s="23" t="n"/>
      <c r="E83" s="24" t="n"/>
      <c r="F83" s="24" t="n"/>
      <c r="G83" s="23" t="n"/>
      <c r="H83" s="23">
        <f>IFERROR(D83-G83,0)</f>
        <v/>
      </c>
      <c r="I83" s="21">
        <f>IF(G83&gt;=D83,"Paid",IF(G83&gt;0,"Partial","Unpaid"))</f>
        <v/>
      </c>
      <c r="J83" s="22">
        <f>IFERROR(IF(I83="Unpaid",MAX(0,TODAY()-E83),IF(I83="Partial",MAX(0,TODAY()-E83),0)),0)</f>
        <v/>
      </c>
      <c r="K83" s="21" t="n"/>
      <c r="L83" s="21" t="n"/>
      <c r="M83" s="21" t="n"/>
    </row>
    <row r="84" ht="22" customHeight="1">
      <c r="B84" s="25" t="n"/>
      <c r="C84" s="25" t="n"/>
      <c r="D84" s="27" t="n"/>
      <c r="E84" s="28" t="n"/>
      <c r="F84" s="28" t="n"/>
      <c r="G84" s="27" t="n"/>
      <c r="H84" s="27">
        <f>IFERROR(D84-G84,0)</f>
        <v/>
      </c>
      <c r="I84" s="25">
        <f>IF(G84&gt;=D84,"Paid",IF(G84&gt;0,"Partial","Unpaid"))</f>
        <v/>
      </c>
      <c r="J84" s="26">
        <f>IFERROR(IF(I84="Unpaid",MAX(0,TODAY()-E84),IF(I84="Partial",MAX(0,TODAY()-E84),0)),0)</f>
        <v/>
      </c>
      <c r="K84" s="25" t="n"/>
      <c r="L84" s="25" t="n"/>
      <c r="M84" s="25" t="n"/>
    </row>
    <row r="85" ht="22" customHeight="1">
      <c r="B85" s="21" t="n"/>
      <c r="C85" s="21" t="n"/>
      <c r="D85" s="23" t="n"/>
      <c r="E85" s="24" t="n"/>
      <c r="F85" s="24" t="n"/>
      <c r="G85" s="23" t="n"/>
      <c r="H85" s="23">
        <f>IFERROR(D85-G85,0)</f>
        <v/>
      </c>
      <c r="I85" s="21">
        <f>IF(G85&gt;=D85,"Paid",IF(G85&gt;0,"Partial","Unpaid"))</f>
        <v/>
      </c>
      <c r="J85" s="22">
        <f>IFERROR(IF(I85="Unpaid",MAX(0,TODAY()-E85),IF(I85="Partial",MAX(0,TODAY()-E85),0)),0)</f>
        <v/>
      </c>
      <c r="K85" s="21" t="n"/>
      <c r="L85" s="21" t="n"/>
      <c r="M85" s="21" t="n"/>
    </row>
    <row r="86" ht="22" customHeight="1">
      <c r="B86" s="25" t="n"/>
      <c r="C86" s="25" t="n"/>
      <c r="D86" s="27" t="n"/>
      <c r="E86" s="28" t="n"/>
      <c r="F86" s="28" t="n"/>
      <c r="G86" s="27" t="n"/>
      <c r="H86" s="27">
        <f>IFERROR(D86-G86,0)</f>
        <v/>
      </c>
      <c r="I86" s="25">
        <f>IF(G86&gt;=D86,"Paid",IF(G86&gt;0,"Partial","Unpaid"))</f>
        <v/>
      </c>
      <c r="J86" s="26">
        <f>IFERROR(IF(I86="Unpaid",MAX(0,TODAY()-E86),IF(I86="Partial",MAX(0,TODAY()-E86),0)),0)</f>
        <v/>
      </c>
      <c r="K86" s="25" t="n"/>
      <c r="L86" s="25" t="n"/>
      <c r="M86" s="25" t="n"/>
    </row>
    <row r="87" ht="22" customHeight="1">
      <c r="B87" s="21" t="n"/>
      <c r="C87" s="21" t="n"/>
      <c r="D87" s="23" t="n"/>
      <c r="E87" s="24" t="n"/>
      <c r="F87" s="24" t="n"/>
      <c r="G87" s="23" t="n"/>
      <c r="H87" s="23">
        <f>IFERROR(D87-G87,0)</f>
        <v/>
      </c>
      <c r="I87" s="21">
        <f>IF(G87&gt;=D87,"Paid",IF(G87&gt;0,"Partial","Unpaid"))</f>
        <v/>
      </c>
      <c r="J87" s="22">
        <f>IFERROR(IF(I87="Unpaid",MAX(0,TODAY()-E87),IF(I87="Partial",MAX(0,TODAY()-E87),0)),0)</f>
        <v/>
      </c>
      <c r="K87" s="21" t="n"/>
      <c r="L87" s="21" t="n"/>
      <c r="M87" s="21" t="n"/>
    </row>
    <row r="88" ht="22" customHeight="1">
      <c r="B88" s="25" t="n"/>
      <c r="C88" s="25" t="n"/>
      <c r="D88" s="27" t="n"/>
      <c r="E88" s="28" t="n"/>
      <c r="F88" s="28" t="n"/>
      <c r="G88" s="27" t="n"/>
      <c r="H88" s="27">
        <f>IFERROR(D88-G88,0)</f>
        <v/>
      </c>
      <c r="I88" s="25">
        <f>IF(G88&gt;=D88,"Paid",IF(G88&gt;0,"Partial","Unpaid"))</f>
        <v/>
      </c>
      <c r="J88" s="26">
        <f>IFERROR(IF(I88="Unpaid",MAX(0,TODAY()-E88),IF(I88="Partial",MAX(0,TODAY()-E88),0)),0)</f>
        <v/>
      </c>
      <c r="K88" s="25" t="n"/>
      <c r="L88" s="25" t="n"/>
      <c r="M88" s="25" t="n"/>
    </row>
    <row r="89" ht="22" customHeight="1">
      <c r="B89" s="21" t="n"/>
      <c r="C89" s="21" t="n"/>
      <c r="D89" s="23" t="n"/>
      <c r="E89" s="24" t="n"/>
      <c r="F89" s="24" t="n"/>
      <c r="G89" s="23" t="n"/>
      <c r="H89" s="23">
        <f>IFERROR(D89-G89,0)</f>
        <v/>
      </c>
      <c r="I89" s="21">
        <f>IF(G89&gt;=D89,"Paid",IF(G89&gt;0,"Partial","Unpaid"))</f>
        <v/>
      </c>
      <c r="J89" s="22">
        <f>IFERROR(IF(I89="Unpaid",MAX(0,TODAY()-E89),IF(I89="Partial",MAX(0,TODAY()-E89),0)),0)</f>
        <v/>
      </c>
      <c r="K89" s="21" t="n"/>
      <c r="L89" s="21" t="n"/>
      <c r="M89" s="21" t="n"/>
    </row>
    <row r="90" ht="22" customHeight="1">
      <c r="B90" s="25" t="n"/>
      <c r="C90" s="25" t="n"/>
      <c r="D90" s="27" t="n"/>
      <c r="E90" s="28" t="n"/>
      <c r="F90" s="28" t="n"/>
      <c r="G90" s="27" t="n"/>
      <c r="H90" s="27">
        <f>IFERROR(D90-G90,0)</f>
        <v/>
      </c>
      <c r="I90" s="25">
        <f>IF(G90&gt;=D90,"Paid",IF(G90&gt;0,"Partial","Unpaid"))</f>
        <v/>
      </c>
      <c r="J90" s="26">
        <f>IFERROR(IF(I90="Unpaid",MAX(0,TODAY()-E90),IF(I90="Partial",MAX(0,TODAY()-E90),0)),0)</f>
        <v/>
      </c>
      <c r="K90" s="25" t="n"/>
      <c r="L90" s="25" t="n"/>
      <c r="M90" s="25" t="n"/>
    </row>
    <row r="91" ht="22" customHeight="1">
      <c r="B91" s="21" t="n"/>
      <c r="C91" s="21" t="n"/>
      <c r="D91" s="23" t="n"/>
      <c r="E91" s="24" t="n"/>
      <c r="F91" s="24" t="n"/>
      <c r="G91" s="23" t="n"/>
      <c r="H91" s="23">
        <f>IFERROR(D91-G91,0)</f>
        <v/>
      </c>
      <c r="I91" s="21">
        <f>IF(G91&gt;=D91,"Paid",IF(G91&gt;0,"Partial","Unpaid"))</f>
        <v/>
      </c>
      <c r="J91" s="22">
        <f>IFERROR(IF(I91="Unpaid",MAX(0,TODAY()-E91),IF(I91="Partial",MAX(0,TODAY()-E91),0)),0)</f>
        <v/>
      </c>
      <c r="K91" s="21" t="n"/>
      <c r="L91" s="21" t="n"/>
      <c r="M91" s="21" t="n"/>
    </row>
    <row r="92" ht="22" customHeight="1">
      <c r="B92" s="25" t="n"/>
      <c r="C92" s="25" t="n"/>
      <c r="D92" s="27" t="n"/>
      <c r="E92" s="28" t="n"/>
      <c r="F92" s="28" t="n"/>
      <c r="G92" s="27" t="n"/>
      <c r="H92" s="27">
        <f>IFERROR(D92-G92,0)</f>
        <v/>
      </c>
      <c r="I92" s="25">
        <f>IF(G92&gt;=D92,"Paid",IF(G92&gt;0,"Partial","Unpaid"))</f>
        <v/>
      </c>
      <c r="J92" s="26">
        <f>IFERROR(IF(I92="Unpaid",MAX(0,TODAY()-E92),IF(I92="Partial",MAX(0,TODAY()-E92),0)),0)</f>
        <v/>
      </c>
      <c r="K92" s="25" t="n"/>
      <c r="L92" s="25" t="n"/>
      <c r="M92" s="25" t="n"/>
    </row>
    <row r="93" ht="22" customHeight="1">
      <c r="B93" s="21" t="n"/>
      <c r="C93" s="21" t="n"/>
      <c r="D93" s="23" t="n"/>
      <c r="E93" s="24" t="n"/>
      <c r="F93" s="24" t="n"/>
      <c r="G93" s="23" t="n"/>
      <c r="H93" s="23">
        <f>IFERROR(D93-G93,0)</f>
        <v/>
      </c>
      <c r="I93" s="21">
        <f>IF(G93&gt;=D93,"Paid",IF(G93&gt;0,"Partial","Unpaid"))</f>
        <v/>
      </c>
      <c r="J93" s="22">
        <f>IFERROR(IF(I93="Unpaid",MAX(0,TODAY()-E93),IF(I93="Partial",MAX(0,TODAY()-E93),0)),0)</f>
        <v/>
      </c>
      <c r="K93" s="21" t="n"/>
      <c r="L93" s="21" t="n"/>
      <c r="M93" s="21" t="n"/>
    </row>
    <row r="94" ht="22" customHeight="1">
      <c r="B94" s="25" t="n"/>
      <c r="C94" s="25" t="n"/>
      <c r="D94" s="27" t="n"/>
      <c r="E94" s="28" t="n"/>
      <c r="F94" s="28" t="n"/>
      <c r="G94" s="27" t="n"/>
      <c r="H94" s="27">
        <f>IFERROR(D94-G94,0)</f>
        <v/>
      </c>
      <c r="I94" s="25">
        <f>IF(G94&gt;=D94,"Paid",IF(G94&gt;0,"Partial","Unpaid"))</f>
        <v/>
      </c>
      <c r="J94" s="26">
        <f>IFERROR(IF(I94="Unpaid",MAX(0,TODAY()-E94),IF(I94="Partial",MAX(0,TODAY()-E94),0)),0)</f>
        <v/>
      </c>
      <c r="K94" s="25" t="n"/>
      <c r="L94" s="25" t="n"/>
      <c r="M94" s="25" t="n"/>
    </row>
    <row r="95" ht="22" customHeight="1">
      <c r="B95" s="21" t="n"/>
      <c r="C95" s="21" t="n"/>
      <c r="D95" s="23" t="n"/>
      <c r="E95" s="24" t="n"/>
      <c r="F95" s="24" t="n"/>
      <c r="G95" s="23" t="n"/>
      <c r="H95" s="23">
        <f>IFERROR(D95-G95,0)</f>
        <v/>
      </c>
      <c r="I95" s="21">
        <f>IF(G95&gt;=D95,"Paid",IF(G95&gt;0,"Partial","Unpaid"))</f>
        <v/>
      </c>
      <c r="J95" s="22">
        <f>IFERROR(IF(I95="Unpaid",MAX(0,TODAY()-E95),IF(I95="Partial",MAX(0,TODAY()-E95),0)),0)</f>
        <v/>
      </c>
      <c r="K95" s="21" t="n"/>
      <c r="L95" s="21" t="n"/>
      <c r="M95" s="21" t="n"/>
    </row>
    <row r="96" ht="22" customHeight="1">
      <c r="B96" s="25" t="n"/>
      <c r="C96" s="25" t="n"/>
      <c r="D96" s="27" t="n"/>
      <c r="E96" s="28" t="n"/>
      <c r="F96" s="28" t="n"/>
      <c r="G96" s="27" t="n"/>
      <c r="H96" s="27">
        <f>IFERROR(D96-G96,0)</f>
        <v/>
      </c>
      <c r="I96" s="25">
        <f>IF(G96&gt;=D96,"Paid",IF(G96&gt;0,"Partial","Unpaid"))</f>
        <v/>
      </c>
      <c r="J96" s="26">
        <f>IFERROR(IF(I96="Unpaid",MAX(0,TODAY()-E96),IF(I96="Partial",MAX(0,TODAY()-E96),0)),0)</f>
        <v/>
      </c>
      <c r="K96" s="25" t="n"/>
      <c r="L96" s="25" t="n"/>
      <c r="M96" s="25" t="n"/>
    </row>
    <row r="97" ht="22" customHeight="1">
      <c r="B97" s="21" t="n"/>
      <c r="C97" s="21" t="n"/>
      <c r="D97" s="23" t="n"/>
      <c r="E97" s="24" t="n"/>
      <c r="F97" s="24" t="n"/>
      <c r="G97" s="23" t="n"/>
      <c r="H97" s="23">
        <f>IFERROR(D97-G97,0)</f>
        <v/>
      </c>
      <c r="I97" s="21">
        <f>IF(G97&gt;=D97,"Paid",IF(G97&gt;0,"Partial","Unpaid"))</f>
        <v/>
      </c>
      <c r="J97" s="22">
        <f>IFERROR(IF(I97="Unpaid",MAX(0,TODAY()-E97),IF(I97="Partial",MAX(0,TODAY()-E97),0)),0)</f>
        <v/>
      </c>
      <c r="K97" s="21" t="n"/>
      <c r="L97" s="21" t="n"/>
      <c r="M97" s="21" t="n"/>
    </row>
    <row r="98" ht="22" customHeight="1">
      <c r="B98" s="25" t="n"/>
      <c r="C98" s="25" t="n"/>
      <c r="D98" s="27" t="n"/>
      <c r="E98" s="28" t="n"/>
      <c r="F98" s="28" t="n"/>
      <c r="G98" s="27" t="n"/>
      <c r="H98" s="27">
        <f>IFERROR(D98-G98,0)</f>
        <v/>
      </c>
      <c r="I98" s="25">
        <f>IF(G98&gt;=D98,"Paid",IF(G98&gt;0,"Partial","Unpaid"))</f>
        <v/>
      </c>
      <c r="J98" s="26">
        <f>IFERROR(IF(I98="Unpaid",MAX(0,TODAY()-E98),IF(I98="Partial",MAX(0,TODAY()-E98),0)),0)</f>
        <v/>
      </c>
      <c r="K98" s="25" t="n"/>
      <c r="L98" s="25" t="n"/>
      <c r="M98" s="25" t="n"/>
    </row>
    <row r="99" ht="22" customHeight="1">
      <c r="B99" s="21" t="n"/>
      <c r="C99" s="21" t="n"/>
      <c r="D99" s="23" t="n"/>
      <c r="E99" s="24" t="n"/>
      <c r="F99" s="24" t="n"/>
      <c r="G99" s="23" t="n"/>
      <c r="H99" s="23">
        <f>IFERROR(D99-G99,0)</f>
        <v/>
      </c>
      <c r="I99" s="21">
        <f>IF(G99&gt;=D99,"Paid",IF(G99&gt;0,"Partial","Unpaid"))</f>
        <v/>
      </c>
      <c r="J99" s="22">
        <f>IFERROR(IF(I99="Unpaid",MAX(0,TODAY()-E99),IF(I99="Partial",MAX(0,TODAY()-E99),0)),0)</f>
        <v/>
      </c>
      <c r="K99" s="21" t="n"/>
      <c r="L99" s="21" t="n"/>
      <c r="M99" s="21" t="n"/>
    </row>
    <row r="100" ht="22" customHeight="1">
      <c r="B100" s="25" t="n"/>
      <c r="C100" s="25" t="n"/>
      <c r="D100" s="27" t="n"/>
      <c r="E100" s="28" t="n"/>
      <c r="F100" s="28" t="n"/>
      <c r="G100" s="27" t="n"/>
      <c r="H100" s="27">
        <f>IFERROR(D100-G100,0)</f>
        <v/>
      </c>
      <c r="I100" s="25">
        <f>IF(G100&gt;=D100,"Paid",IF(G100&gt;0,"Partial","Unpaid"))</f>
        <v/>
      </c>
      <c r="J100" s="26">
        <f>IFERROR(IF(I100="Unpaid",MAX(0,TODAY()-E100),IF(I100="Partial",MAX(0,TODAY()-E100),0)),0)</f>
        <v/>
      </c>
      <c r="K100" s="25" t="n"/>
      <c r="L100" s="25" t="n"/>
      <c r="M100" s="25" t="n"/>
    </row>
    <row r="101" ht="22" customHeight="1">
      <c r="B101" s="21" t="n"/>
      <c r="C101" s="21" t="n"/>
      <c r="D101" s="23" t="n"/>
      <c r="E101" s="24" t="n"/>
      <c r="F101" s="24" t="n"/>
      <c r="G101" s="23" t="n"/>
      <c r="H101" s="23">
        <f>IFERROR(D101-G101,0)</f>
        <v/>
      </c>
      <c r="I101" s="21">
        <f>IF(G101&gt;=D101,"Paid",IF(G101&gt;0,"Partial","Unpaid"))</f>
        <v/>
      </c>
      <c r="J101" s="22">
        <f>IFERROR(IF(I101="Unpaid",MAX(0,TODAY()-E101),IF(I101="Partial",MAX(0,TODAY()-E101),0)),0)</f>
        <v/>
      </c>
      <c r="K101" s="21" t="n"/>
      <c r="L101" s="21" t="n"/>
      <c r="M101" s="21" t="n"/>
    </row>
    <row r="102" ht="22" customHeight="1">
      <c r="B102" s="25" t="n"/>
      <c r="C102" s="25" t="n"/>
      <c r="D102" s="27" t="n"/>
      <c r="E102" s="28" t="n"/>
      <c r="F102" s="28" t="n"/>
      <c r="G102" s="27" t="n"/>
      <c r="H102" s="27">
        <f>IFERROR(D102-G102,0)</f>
        <v/>
      </c>
      <c r="I102" s="25">
        <f>IF(G102&gt;=D102,"Paid",IF(G102&gt;0,"Partial","Unpaid"))</f>
        <v/>
      </c>
      <c r="J102" s="26">
        <f>IFERROR(IF(I102="Unpaid",MAX(0,TODAY()-E102),IF(I102="Partial",MAX(0,TODAY()-E102),0)),0)</f>
        <v/>
      </c>
      <c r="K102" s="25" t="n"/>
      <c r="L102" s="25" t="n"/>
      <c r="M102" s="25" t="n"/>
    </row>
    <row r="103" ht="22" customHeight="1">
      <c r="B103" s="21" t="n"/>
      <c r="C103" s="21" t="n"/>
      <c r="D103" s="23" t="n"/>
      <c r="E103" s="24" t="n"/>
      <c r="F103" s="24" t="n"/>
      <c r="G103" s="23" t="n"/>
      <c r="H103" s="23">
        <f>IFERROR(D103-G103,0)</f>
        <v/>
      </c>
      <c r="I103" s="21">
        <f>IF(G103&gt;=D103,"Paid",IF(G103&gt;0,"Partial","Unpaid"))</f>
        <v/>
      </c>
      <c r="J103" s="22">
        <f>IFERROR(IF(I103="Unpaid",MAX(0,TODAY()-E103),IF(I103="Partial",MAX(0,TODAY()-E103),0)),0)</f>
        <v/>
      </c>
      <c r="K103" s="21" t="n"/>
      <c r="L103" s="21" t="n"/>
      <c r="M103" s="21" t="n"/>
    </row>
    <row r="104" ht="22" customHeight="1">
      <c r="B104" s="25" t="n"/>
      <c r="C104" s="25" t="n"/>
      <c r="D104" s="27" t="n"/>
      <c r="E104" s="28" t="n"/>
      <c r="F104" s="28" t="n"/>
      <c r="G104" s="27" t="n"/>
      <c r="H104" s="27">
        <f>IFERROR(D104-G104,0)</f>
        <v/>
      </c>
      <c r="I104" s="25">
        <f>IF(G104&gt;=D104,"Paid",IF(G104&gt;0,"Partial","Unpaid"))</f>
        <v/>
      </c>
      <c r="J104" s="26">
        <f>IFERROR(IF(I104="Unpaid",MAX(0,TODAY()-E104),IF(I104="Partial",MAX(0,TODAY()-E104),0)),0)</f>
        <v/>
      </c>
      <c r="K104" s="25" t="n"/>
      <c r="L104" s="25" t="n"/>
      <c r="M104" s="25" t="n"/>
    </row>
    <row r="105" ht="22" customHeight="1">
      <c r="B105" s="21" t="n"/>
      <c r="C105" s="21" t="n"/>
      <c r="D105" s="23" t="n"/>
      <c r="E105" s="24" t="n"/>
      <c r="F105" s="24" t="n"/>
      <c r="G105" s="23" t="n"/>
      <c r="H105" s="23">
        <f>IFERROR(D105-G105,0)</f>
        <v/>
      </c>
      <c r="I105" s="21">
        <f>IF(G105&gt;=D105,"Paid",IF(G105&gt;0,"Partial","Unpaid"))</f>
        <v/>
      </c>
      <c r="J105" s="22">
        <f>IFERROR(IF(I105="Unpaid",MAX(0,TODAY()-E105),IF(I105="Partial",MAX(0,TODAY()-E105),0)),0)</f>
        <v/>
      </c>
      <c r="K105" s="21" t="n"/>
      <c r="L105" s="21" t="n"/>
      <c r="M105" s="21" t="n"/>
    </row>
    <row r="106" ht="22" customHeight="1">
      <c r="B106" s="25" t="n"/>
      <c r="C106" s="25" t="n"/>
      <c r="D106" s="27" t="n"/>
      <c r="E106" s="28" t="n"/>
      <c r="F106" s="28" t="n"/>
      <c r="G106" s="27" t="n"/>
      <c r="H106" s="27">
        <f>IFERROR(D106-G106,0)</f>
        <v/>
      </c>
      <c r="I106" s="25">
        <f>IF(G106&gt;=D106,"Paid",IF(G106&gt;0,"Partial","Unpaid"))</f>
        <v/>
      </c>
      <c r="J106" s="26">
        <f>IFERROR(IF(I106="Unpaid",MAX(0,TODAY()-E106),IF(I106="Partial",MAX(0,TODAY()-E106),0)),0)</f>
        <v/>
      </c>
      <c r="K106" s="25" t="n"/>
      <c r="L106" s="25" t="n"/>
      <c r="M106" s="25" t="n"/>
    </row>
    <row r="107" ht="22" customHeight="1">
      <c r="B107" s="21" t="n"/>
      <c r="C107" s="21" t="n"/>
      <c r="D107" s="23" t="n"/>
      <c r="E107" s="24" t="n"/>
      <c r="F107" s="24" t="n"/>
      <c r="G107" s="23" t="n"/>
      <c r="H107" s="23">
        <f>IFERROR(D107-G107,0)</f>
        <v/>
      </c>
      <c r="I107" s="21">
        <f>IF(G107&gt;=D107,"Paid",IF(G107&gt;0,"Partial","Unpaid"))</f>
        <v/>
      </c>
      <c r="J107" s="22">
        <f>IFERROR(IF(I107="Unpaid",MAX(0,TODAY()-E107),IF(I107="Partial",MAX(0,TODAY()-E107),0)),0)</f>
        <v/>
      </c>
      <c r="K107" s="21" t="n"/>
      <c r="L107" s="21" t="n"/>
      <c r="M107" s="21" t="n"/>
    </row>
    <row r="108" ht="22" customHeight="1">
      <c r="B108" s="25" t="n"/>
      <c r="C108" s="25" t="n"/>
      <c r="D108" s="27" t="n"/>
      <c r="E108" s="28" t="n"/>
      <c r="F108" s="28" t="n"/>
      <c r="G108" s="27" t="n"/>
      <c r="H108" s="27">
        <f>IFERROR(D108-G108,0)</f>
        <v/>
      </c>
      <c r="I108" s="25">
        <f>IF(G108&gt;=D108,"Paid",IF(G108&gt;0,"Partial","Unpaid"))</f>
        <v/>
      </c>
      <c r="J108" s="26">
        <f>IFERROR(IF(I108="Unpaid",MAX(0,TODAY()-E108),IF(I108="Partial",MAX(0,TODAY()-E108),0)),0)</f>
        <v/>
      </c>
      <c r="K108" s="25" t="n"/>
      <c r="L108" s="25" t="n"/>
      <c r="M108" s="25" t="n"/>
    </row>
    <row r="109" ht="22" customHeight="1">
      <c r="B109" s="21" t="n"/>
      <c r="C109" s="21" t="n"/>
      <c r="D109" s="23" t="n"/>
      <c r="E109" s="24" t="n"/>
      <c r="F109" s="24" t="n"/>
      <c r="G109" s="23" t="n"/>
      <c r="H109" s="23">
        <f>IFERROR(D109-G109,0)</f>
        <v/>
      </c>
      <c r="I109" s="21">
        <f>IF(G109&gt;=D109,"Paid",IF(G109&gt;0,"Partial","Unpaid"))</f>
        <v/>
      </c>
      <c r="J109" s="22">
        <f>IFERROR(IF(I109="Unpaid",MAX(0,TODAY()-E109),IF(I109="Partial",MAX(0,TODAY()-E109),0)),0)</f>
        <v/>
      </c>
      <c r="K109" s="21" t="n"/>
      <c r="L109" s="21" t="n"/>
      <c r="M109" s="21" t="n"/>
    </row>
    <row r="110" ht="22" customHeight="1">
      <c r="B110" s="25" t="n"/>
      <c r="C110" s="25" t="n"/>
      <c r="D110" s="27" t="n"/>
      <c r="E110" s="28" t="n"/>
      <c r="F110" s="28" t="n"/>
      <c r="G110" s="27" t="n"/>
      <c r="H110" s="27">
        <f>IFERROR(D110-G110,0)</f>
        <v/>
      </c>
      <c r="I110" s="25">
        <f>IF(G110&gt;=D110,"Paid",IF(G110&gt;0,"Partial","Unpaid"))</f>
        <v/>
      </c>
      <c r="J110" s="26">
        <f>IFERROR(IF(I110="Unpaid",MAX(0,TODAY()-E110),IF(I110="Partial",MAX(0,TODAY()-E110),0)),0)</f>
        <v/>
      </c>
      <c r="K110" s="25" t="n"/>
      <c r="L110" s="25" t="n"/>
      <c r="M110" s="25" t="n"/>
    </row>
    <row r="111" ht="22" customHeight="1">
      <c r="B111" s="21" t="n"/>
      <c r="C111" s="21" t="n"/>
      <c r="D111" s="23" t="n"/>
      <c r="E111" s="24" t="n"/>
      <c r="F111" s="24" t="n"/>
      <c r="G111" s="23" t="n"/>
      <c r="H111" s="23">
        <f>IFERROR(D111-G111,0)</f>
        <v/>
      </c>
      <c r="I111" s="21">
        <f>IF(G111&gt;=D111,"Paid",IF(G111&gt;0,"Partial","Unpaid"))</f>
        <v/>
      </c>
      <c r="J111" s="22">
        <f>IFERROR(IF(I111="Unpaid",MAX(0,TODAY()-E111),IF(I111="Partial",MAX(0,TODAY()-E111),0)),0)</f>
        <v/>
      </c>
      <c r="K111" s="21" t="n"/>
      <c r="L111" s="21" t="n"/>
      <c r="M111" s="21" t="n"/>
    </row>
    <row r="112" ht="22" customHeight="1">
      <c r="B112" s="25" t="n"/>
      <c r="C112" s="25" t="n"/>
      <c r="D112" s="27" t="n"/>
      <c r="E112" s="28" t="n"/>
      <c r="F112" s="28" t="n"/>
      <c r="G112" s="27" t="n"/>
      <c r="H112" s="27">
        <f>IFERROR(D112-G112,0)</f>
        <v/>
      </c>
      <c r="I112" s="25">
        <f>IF(G112&gt;=D112,"Paid",IF(G112&gt;0,"Partial","Unpaid"))</f>
        <v/>
      </c>
      <c r="J112" s="26">
        <f>IFERROR(IF(I112="Unpaid",MAX(0,TODAY()-E112),IF(I112="Partial",MAX(0,TODAY()-E112),0)),0)</f>
        <v/>
      </c>
      <c r="K112" s="25" t="n"/>
      <c r="L112" s="25" t="n"/>
      <c r="M112" s="25" t="n"/>
    </row>
    <row r="113" ht="22" customHeight="1">
      <c r="B113" s="21" t="n"/>
      <c r="C113" s="21" t="n"/>
      <c r="D113" s="23" t="n"/>
      <c r="E113" s="24" t="n"/>
      <c r="F113" s="24" t="n"/>
      <c r="G113" s="23" t="n"/>
      <c r="H113" s="23">
        <f>IFERROR(D113-G113,0)</f>
        <v/>
      </c>
      <c r="I113" s="21">
        <f>IF(G113&gt;=D113,"Paid",IF(G113&gt;0,"Partial","Unpaid"))</f>
        <v/>
      </c>
      <c r="J113" s="22">
        <f>IFERROR(IF(I113="Unpaid",MAX(0,TODAY()-E113),IF(I113="Partial",MAX(0,TODAY()-E113),0)),0)</f>
        <v/>
      </c>
      <c r="K113" s="21" t="n"/>
      <c r="L113" s="21" t="n"/>
      <c r="M113" s="21" t="n"/>
    </row>
    <row r="114" ht="22" customHeight="1">
      <c r="B114" s="25" t="n"/>
      <c r="C114" s="25" t="n"/>
      <c r="D114" s="27" t="n"/>
      <c r="E114" s="28" t="n"/>
      <c r="F114" s="28" t="n"/>
      <c r="G114" s="27" t="n"/>
      <c r="H114" s="27">
        <f>IFERROR(D114-G114,0)</f>
        <v/>
      </c>
      <c r="I114" s="25">
        <f>IF(G114&gt;=D114,"Paid",IF(G114&gt;0,"Partial","Unpaid"))</f>
        <v/>
      </c>
      <c r="J114" s="26">
        <f>IFERROR(IF(I114="Unpaid",MAX(0,TODAY()-E114),IF(I114="Partial",MAX(0,TODAY()-E114),0)),0)</f>
        <v/>
      </c>
      <c r="K114" s="25" t="n"/>
      <c r="L114" s="25" t="n"/>
      <c r="M114" s="25" t="n"/>
    </row>
    <row r="115" ht="22" customHeight="1">
      <c r="B115" s="21" t="n"/>
      <c r="C115" s="21" t="n"/>
      <c r="D115" s="23" t="n"/>
      <c r="E115" s="24" t="n"/>
      <c r="F115" s="24" t="n"/>
      <c r="G115" s="23" t="n"/>
      <c r="H115" s="23">
        <f>IFERROR(D115-G115,0)</f>
        <v/>
      </c>
      <c r="I115" s="21">
        <f>IF(G115&gt;=D115,"Paid",IF(G115&gt;0,"Partial","Unpaid"))</f>
        <v/>
      </c>
      <c r="J115" s="22">
        <f>IFERROR(IF(I115="Unpaid",MAX(0,TODAY()-E115),IF(I115="Partial",MAX(0,TODAY()-E115),0)),0)</f>
        <v/>
      </c>
      <c r="K115" s="21" t="n"/>
      <c r="L115" s="21" t="n"/>
      <c r="M115" s="21" t="n"/>
    </row>
    <row r="116" ht="22" customHeight="1">
      <c r="B116" s="25" t="n"/>
      <c r="C116" s="25" t="n"/>
      <c r="D116" s="27" t="n"/>
      <c r="E116" s="28" t="n"/>
      <c r="F116" s="28" t="n"/>
      <c r="G116" s="27" t="n"/>
      <c r="H116" s="27">
        <f>IFERROR(D116-G116,0)</f>
        <v/>
      </c>
      <c r="I116" s="25">
        <f>IF(G116&gt;=D116,"Paid",IF(G116&gt;0,"Partial","Unpaid"))</f>
        <v/>
      </c>
      <c r="J116" s="26">
        <f>IFERROR(IF(I116="Unpaid",MAX(0,TODAY()-E116),IF(I116="Partial",MAX(0,TODAY()-E116),0)),0)</f>
        <v/>
      </c>
      <c r="K116" s="25" t="n"/>
      <c r="L116" s="25" t="n"/>
      <c r="M116" s="25" t="n"/>
    </row>
    <row r="117" ht="22" customHeight="1">
      <c r="B117" s="21" t="n"/>
      <c r="C117" s="21" t="n"/>
      <c r="D117" s="23" t="n"/>
      <c r="E117" s="24" t="n"/>
      <c r="F117" s="24" t="n"/>
      <c r="G117" s="23" t="n"/>
      <c r="H117" s="23">
        <f>IFERROR(D117-G117,0)</f>
        <v/>
      </c>
      <c r="I117" s="21">
        <f>IF(G117&gt;=D117,"Paid",IF(G117&gt;0,"Partial","Unpaid"))</f>
        <v/>
      </c>
      <c r="J117" s="22">
        <f>IFERROR(IF(I117="Unpaid",MAX(0,TODAY()-E117),IF(I117="Partial",MAX(0,TODAY()-E117),0)),0)</f>
        <v/>
      </c>
      <c r="K117" s="21" t="n"/>
      <c r="L117" s="21" t="n"/>
      <c r="M117" s="21" t="n"/>
    </row>
    <row r="118" ht="22" customHeight="1">
      <c r="B118" s="25" t="n"/>
      <c r="C118" s="25" t="n"/>
      <c r="D118" s="27" t="n"/>
      <c r="E118" s="28" t="n"/>
      <c r="F118" s="28" t="n"/>
      <c r="G118" s="27" t="n"/>
      <c r="H118" s="27">
        <f>IFERROR(D118-G118,0)</f>
        <v/>
      </c>
      <c r="I118" s="25">
        <f>IF(G118&gt;=D118,"Paid",IF(G118&gt;0,"Partial","Unpaid"))</f>
        <v/>
      </c>
      <c r="J118" s="26">
        <f>IFERROR(IF(I118="Unpaid",MAX(0,TODAY()-E118),IF(I118="Partial",MAX(0,TODAY()-E118),0)),0)</f>
        <v/>
      </c>
      <c r="K118" s="25" t="n"/>
      <c r="L118" s="25" t="n"/>
      <c r="M118" s="25" t="n"/>
    </row>
    <row r="119" ht="22" customHeight="1">
      <c r="B119" s="21" t="n"/>
      <c r="C119" s="21" t="n"/>
      <c r="D119" s="23" t="n"/>
      <c r="E119" s="24" t="n"/>
      <c r="F119" s="24" t="n"/>
      <c r="G119" s="23" t="n"/>
      <c r="H119" s="23">
        <f>IFERROR(D119-G119,0)</f>
        <v/>
      </c>
      <c r="I119" s="21">
        <f>IF(G119&gt;=D119,"Paid",IF(G119&gt;0,"Partial","Unpaid"))</f>
        <v/>
      </c>
      <c r="J119" s="22">
        <f>IFERROR(IF(I119="Unpaid",MAX(0,TODAY()-E119),IF(I119="Partial",MAX(0,TODAY()-E119),0)),0)</f>
        <v/>
      </c>
      <c r="K119" s="21" t="n"/>
      <c r="L119" s="21" t="n"/>
      <c r="M119" s="21" t="n"/>
    </row>
    <row r="120" ht="22" customHeight="1">
      <c r="B120" s="25" t="n"/>
      <c r="C120" s="25" t="n"/>
      <c r="D120" s="27" t="n"/>
      <c r="E120" s="28" t="n"/>
      <c r="F120" s="28" t="n"/>
      <c r="G120" s="27" t="n"/>
      <c r="H120" s="27">
        <f>IFERROR(D120-G120,0)</f>
        <v/>
      </c>
      <c r="I120" s="25">
        <f>IF(G120&gt;=D120,"Paid",IF(G120&gt;0,"Partial","Unpaid"))</f>
        <v/>
      </c>
      <c r="J120" s="26">
        <f>IFERROR(IF(I120="Unpaid",MAX(0,TODAY()-E120),IF(I120="Partial",MAX(0,TODAY()-E120),0)),0)</f>
        <v/>
      </c>
      <c r="K120" s="25" t="n"/>
      <c r="L120" s="25" t="n"/>
      <c r="M120" s="25" t="n"/>
    </row>
    <row r="121" ht="22" customHeight="1">
      <c r="B121" s="21" t="n"/>
      <c r="C121" s="21" t="n"/>
      <c r="D121" s="23" t="n"/>
      <c r="E121" s="24" t="n"/>
      <c r="F121" s="24" t="n"/>
      <c r="G121" s="23" t="n"/>
      <c r="H121" s="23">
        <f>IFERROR(D121-G121,0)</f>
        <v/>
      </c>
      <c r="I121" s="21">
        <f>IF(G121&gt;=D121,"Paid",IF(G121&gt;0,"Partial","Unpaid"))</f>
        <v/>
      </c>
      <c r="J121" s="22">
        <f>IFERROR(IF(I121="Unpaid",MAX(0,TODAY()-E121),IF(I121="Partial",MAX(0,TODAY()-E121),0)),0)</f>
        <v/>
      </c>
      <c r="K121" s="21" t="n"/>
      <c r="L121" s="21" t="n"/>
      <c r="M121" s="21" t="n"/>
    </row>
    <row r="122" ht="22" customHeight="1">
      <c r="B122" s="25" t="n"/>
      <c r="C122" s="25" t="n"/>
      <c r="D122" s="27" t="n"/>
      <c r="E122" s="28" t="n"/>
      <c r="F122" s="28" t="n"/>
      <c r="G122" s="27" t="n"/>
      <c r="H122" s="27">
        <f>IFERROR(D122-G122,0)</f>
        <v/>
      </c>
      <c r="I122" s="25">
        <f>IF(G122&gt;=D122,"Paid",IF(G122&gt;0,"Partial","Unpaid"))</f>
        <v/>
      </c>
      <c r="J122" s="26">
        <f>IFERROR(IF(I122="Unpaid",MAX(0,TODAY()-E122),IF(I122="Partial",MAX(0,TODAY()-E122),0)),0)</f>
        <v/>
      </c>
      <c r="K122" s="25" t="n"/>
      <c r="L122" s="25" t="n"/>
      <c r="M122" s="25" t="n"/>
    </row>
    <row r="123" ht="22" customHeight="1">
      <c r="B123" s="21" t="n"/>
      <c r="C123" s="21" t="n"/>
      <c r="D123" s="23" t="n"/>
      <c r="E123" s="24" t="n"/>
      <c r="F123" s="24" t="n"/>
      <c r="G123" s="23" t="n"/>
      <c r="H123" s="23">
        <f>IFERROR(D123-G123,0)</f>
        <v/>
      </c>
      <c r="I123" s="21">
        <f>IF(G123&gt;=D123,"Paid",IF(G123&gt;0,"Partial","Unpaid"))</f>
        <v/>
      </c>
      <c r="J123" s="22">
        <f>IFERROR(IF(I123="Unpaid",MAX(0,TODAY()-E123),IF(I123="Partial",MAX(0,TODAY()-E123),0)),0)</f>
        <v/>
      </c>
      <c r="K123" s="21" t="n"/>
      <c r="L123" s="21" t="n"/>
      <c r="M123" s="21" t="n"/>
    </row>
    <row r="124" ht="22" customHeight="1">
      <c r="B124" s="25" t="n"/>
      <c r="C124" s="25" t="n"/>
      <c r="D124" s="27" t="n"/>
      <c r="E124" s="28" t="n"/>
      <c r="F124" s="28" t="n"/>
      <c r="G124" s="27" t="n"/>
      <c r="H124" s="27">
        <f>IFERROR(D124-G124,0)</f>
        <v/>
      </c>
      <c r="I124" s="25">
        <f>IF(G124&gt;=D124,"Paid",IF(G124&gt;0,"Partial","Unpaid"))</f>
        <v/>
      </c>
      <c r="J124" s="26">
        <f>IFERROR(IF(I124="Unpaid",MAX(0,TODAY()-E124),IF(I124="Partial",MAX(0,TODAY()-E124),0)),0)</f>
        <v/>
      </c>
      <c r="K124" s="25" t="n"/>
      <c r="L124" s="25" t="n"/>
      <c r="M124" s="25" t="n"/>
    </row>
    <row r="125" ht="22" customHeight="1">
      <c r="B125" s="21" t="n"/>
      <c r="C125" s="21" t="n"/>
      <c r="D125" s="23" t="n"/>
      <c r="E125" s="24" t="n"/>
      <c r="F125" s="24" t="n"/>
      <c r="G125" s="23" t="n"/>
      <c r="H125" s="23">
        <f>IFERROR(D125-G125,0)</f>
        <v/>
      </c>
      <c r="I125" s="21">
        <f>IF(G125&gt;=D125,"Paid",IF(G125&gt;0,"Partial","Unpaid"))</f>
        <v/>
      </c>
      <c r="J125" s="22">
        <f>IFERROR(IF(I125="Unpaid",MAX(0,TODAY()-E125),IF(I125="Partial",MAX(0,TODAY()-E125),0)),0)</f>
        <v/>
      </c>
      <c r="K125" s="21" t="n"/>
      <c r="L125" s="21" t="n"/>
      <c r="M125" s="21" t="n"/>
    </row>
    <row r="126" ht="22" customHeight="1">
      <c r="B126" s="25" t="n"/>
      <c r="C126" s="25" t="n"/>
      <c r="D126" s="27" t="n"/>
      <c r="E126" s="28" t="n"/>
      <c r="F126" s="28" t="n"/>
      <c r="G126" s="27" t="n"/>
      <c r="H126" s="27">
        <f>IFERROR(D126-G126,0)</f>
        <v/>
      </c>
      <c r="I126" s="25">
        <f>IF(G126&gt;=D126,"Paid",IF(G126&gt;0,"Partial","Unpaid"))</f>
        <v/>
      </c>
      <c r="J126" s="26">
        <f>IFERROR(IF(I126="Unpaid",MAX(0,TODAY()-E126),IF(I126="Partial",MAX(0,TODAY()-E126),0)),0)</f>
        <v/>
      </c>
      <c r="K126" s="25" t="n"/>
      <c r="L126" s="25" t="n"/>
      <c r="M126" s="25" t="n"/>
    </row>
    <row r="127" ht="22" customHeight="1">
      <c r="B127" s="21" t="n"/>
      <c r="C127" s="21" t="n"/>
      <c r="D127" s="23" t="n"/>
      <c r="E127" s="24" t="n"/>
      <c r="F127" s="24" t="n"/>
      <c r="G127" s="23" t="n"/>
      <c r="H127" s="23">
        <f>IFERROR(D127-G127,0)</f>
        <v/>
      </c>
      <c r="I127" s="21">
        <f>IF(G127&gt;=D127,"Paid",IF(G127&gt;0,"Partial","Unpaid"))</f>
        <v/>
      </c>
      <c r="J127" s="22">
        <f>IFERROR(IF(I127="Unpaid",MAX(0,TODAY()-E127),IF(I127="Partial",MAX(0,TODAY()-E127),0)),0)</f>
        <v/>
      </c>
      <c r="K127" s="21" t="n"/>
      <c r="L127" s="21" t="n"/>
      <c r="M127" s="21" t="n"/>
    </row>
    <row r="128" ht="22" customHeight="1">
      <c r="B128" s="25" t="n"/>
      <c r="C128" s="25" t="n"/>
      <c r="D128" s="27" t="n"/>
      <c r="E128" s="28" t="n"/>
      <c r="F128" s="28" t="n"/>
      <c r="G128" s="27" t="n"/>
      <c r="H128" s="27">
        <f>IFERROR(D128-G128,0)</f>
        <v/>
      </c>
      <c r="I128" s="25">
        <f>IF(G128&gt;=D128,"Paid",IF(G128&gt;0,"Partial","Unpaid"))</f>
        <v/>
      </c>
      <c r="J128" s="26">
        <f>IFERROR(IF(I128="Unpaid",MAX(0,TODAY()-E128),IF(I128="Partial",MAX(0,TODAY()-E128),0)),0)</f>
        <v/>
      </c>
      <c r="K128" s="25" t="n"/>
      <c r="L128" s="25" t="n"/>
      <c r="M128" s="25" t="n"/>
    </row>
    <row r="129" ht="22" customHeight="1">
      <c r="B129" s="21" t="n"/>
      <c r="C129" s="21" t="n"/>
      <c r="D129" s="23" t="n"/>
      <c r="E129" s="24" t="n"/>
      <c r="F129" s="24" t="n"/>
      <c r="G129" s="23" t="n"/>
      <c r="H129" s="23">
        <f>IFERROR(D129-G129,0)</f>
        <v/>
      </c>
      <c r="I129" s="21">
        <f>IF(G129&gt;=D129,"Paid",IF(G129&gt;0,"Partial","Unpaid"))</f>
        <v/>
      </c>
      <c r="J129" s="22">
        <f>IFERROR(IF(I129="Unpaid",MAX(0,TODAY()-E129),IF(I129="Partial",MAX(0,TODAY()-E129),0)),0)</f>
        <v/>
      </c>
      <c r="K129" s="21" t="n"/>
      <c r="L129" s="21" t="n"/>
      <c r="M129" s="21" t="n"/>
    </row>
    <row r="130" ht="22" customHeight="1">
      <c r="B130" s="25" t="n"/>
      <c r="C130" s="25" t="n"/>
      <c r="D130" s="27" t="n"/>
      <c r="E130" s="28" t="n"/>
      <c r="F130" s="28" t="n"/>
      <c r="G130" s="27" t="n"/>
      <c r="H130" s="27">
        <f>IFERROR(D130-G130,0)</f>
        <v/>
      </c>
      <c r="I130" s="25">
        <f>IF(G130&gt;=D130,"Paid",IF(G130&gt;0,"Partial","Unpaid"))</f>
        <v/>
      </c>
      <c r="J130" s="26">
        <f>IFERROR(IF(I130="Unpaid",MAX(0,TODAY()-E130),IF(I130="Partial",MAX(0,TODAY()-E130),0)),0)</f>
        <v/>
      </c>
      <c r="K130" s="25" t="n"/>
      <c r="L130" s="25" t="n"/>
      <c r="M130" s="25" t="n"/>
    </row>
    <row r="131" ht="22" customHeight="1">
      <c r="B131" s="21" t="n"/>
      <c r="C131" s="21" t="n"/>
      <c r="D131" s="23" t="n"/>
      <c r="E131" s="24" t="n"/>
      <c r="F131" s="24" t="n"/>
      <c r="G131" s="23" t="n"/>
      <c r="H131" s="23">
        <f>IFERROR(D131-G131,0)</f>
        <v/>
      </c>
      <c r="I131" s="21">
        <f>IF(G131&gt;=D131,"Paid",IF(G131&gt;0,"Partial","Unpaid"))</f>
        <v/>
      </c>
      <c r="J131" s="22">
        <f>IFERROR(IF(I131="Unpaid",MAX(0,TODAY()-E131),IF(I131="Partial",MAX(0,TODAY()-E131),0)),0)</f>
        <v/>
      </c>
      <c r="K131" s="21" t="n"/>
      <c r="L131" s="21" t="n"/>
      <c r="M131" s="21" t="n"/>
    </row>
    <row r="132" ht="22" customHeight="1">
      <c r="B132" s="25" t="n"/>
      <c r="C132" s="25" t="n"/>
      <c r="D132" s="27" t="n"/>
      <c r="E132" s="28" t="n"/>
      <c r="F132" s="28" t="n"/>
      <c r="G132" s="27" t="n"/>
      <c r="H132" s="27">
        <f>IFERROR(D132-G132,0)</f>
        <v/>
      </c>
      <c r="I132" s="25">
        <f>IF(G132&gt;=D132,"Paid",IF(G132&gt;0,"Partial","Unpaid"))</f>
        <v/>
      </c>
      <c r="J132" s="26">
        <f>IFERROR(IF(I132="Unpaid",MAX(0,TODAY()-E132),IF(I132="Partial",MAX(0,TODAY()-E132),0)),0)</f>
        <v/>
      </c>
      <c r="K132" s="25" t="n"/>
      <c r="L132" s="25" t="n"/>
      <c r="M132" s="25" t="n"/>
    </row>
    <row r="133" ht="22" customHeight="1">
      <c r="B133" s="21" t="n"/>
      <c r="C133" s="21" t="n"/>
      <c r="D133" s="23" t="n"/>
      <c r="E133" s="24" t="n"/>
      <c r="F133" s="24" t="n"/>
      <c r="G133" s="23" t="n"/>
      <c r="H133" s="23">
        <f>IFERROR(D133-G133,0)</f>
        <v/>
      </c>
      <c r="I133" s="21">
        <f>IF(G133&gt;=D133,"Paid",IF(G133&gt;0,"Partial","Unpaid"))</f>
        <v/>
      </c>
      <c r="J133" s="22">
        <f>IFERROR(IF(I133="Unpaid",MAX(0,TODAY()-E133),IF(I133="Partial",MAX(0,TODAY()-E133),0)),0)</f>
        <v/>
      </c>
      <c r="K133" s="21" t="n"/>
      <c r="L133" s="21" t="n"/>
      <c r="M133" s="21" t="n"/>
    </row>
    <row r="134" ht="22" customHeight="1">
      <c r="B134" s="25" t="n"/>
      <c r="C134" s="25" t="n"/>
      <c r="D134" s="27" t="n"/>
      <c r="E134" s="28" t="n"/>
      <c r="F134" s="28" t="n"/>
      <c r="G134" s="27" t="n"/>
      <c r="H134" s="27">
        <f>IFERROR(D134-G134,0)</f>
        <v/>
      </c>
      <c r="I134" s="25">
        <f>IF(G134&gt;=D134,"Paid",IF(G134&gt;0,"Partial","Unpaid"))</f>
        <v/>
      </c>
      <c r="J134" s="26">
        <f>IFERROR(IF(I134="Unpaid",MAX(0,TODAY()-E134),IF(I134="Partial",MAX(0,TODAY()-E134),0)),0)</f>
        <v/>
      </c>
      <c r="K134" s="25" t="n"/>
      <c r="L134" s="25" t="n"/>
      <c r="M134" s="25" t="n"/>
    </row>
    <row r="135" ht="22" customHeight="1">
      <c r="B135" s="21" t="n"/>
      <c r="C135" s="21" t="n"/>
      <c r="D135" s="23" t="n"/>
      <c r="E135" s="24" t="n"/>
      <c r="F135" s="24" t="n"/>
      <c r="G135" s="23" t="n"/>
      <c r="H135" s="23">
        <f>IFERROR(D135-G135,0)</f>
        <v/>
      </c>
      <c r="I135" s="21">
        <f>IF(G135&gt;=D135,"Paid",IF(G135&gt;0,"Partial","Unpaid"))</f>
        <v/>
      </c>
      <c r="J135" s="22">
        <f>IFERROR(IF(I135="Unpaid",MAX(0,TODAY()-E135),IF(I135="Partial",MAX(0,TODAY()-E135),0)),0)</f>
        <v/>
      </c>
      <c r="K135" s="21" t="n"/>
      <c r="L135" s="21" t="n"/>
      <c r="M135" s="21" t="n"/>
    </row>
    <row r="136" ht="22" customHeight="1">
      <c r="B136" s="25" t="n"/>
      <c r="C136" s="25" t="n"/>
      <c r="D136" s="27" t="n"/>
      <c r="E136" s="28" t="n"/>
      <c r="F136" s="28" t="n"/>
      <c r="G136" s="27" t="n"/>
      <c r="H136" s="27">
        <f>IFERROR(D136-G136,0)</f>
        <v/>
      </c>
      <c r="I136" s="25">
        <f>IF(G136&gt;=D136,"Paid",IF(G136&gt;0,"Partial","Unpaid"))</f>
        <v/>
      </c>
      <c r="J136" s="26">
        <f>IFERROR(IF(I136="Unpaid",MAX(0,TODAY()-E136),IF(I136="Partial",MAX(0,TODAY()-E136),0)),0)</f>
        <v/>
      </c>
      <c r="K136" s="25" t="n"/>
      <c r="L136" s="25" t="n"/>
      <c r="M136" s="25" t="n"/>
    </row>
    <row r="137" ht="22" customHeight="1">
      <c r="B137" s="21" t="n"/>
      <c r="C137" s="21" t="n"/>
      <c r="D137" s="23" t="n"/>
      <c r="E137" s="24" t="n"/>
      <c r="F137" s="24" t="n"/>
      <c r="G137" s="23" t="n"/>
      <c r="H137" s="23">
        <f>IFERROR(D137-G137,0)</f>
        <v/>
      </c>
      <c r="I137" s="21">
        <f>IF(G137&gt;=D137,"Paid",IF(G137&gt;0,"Partial","Unpaid"))</f>
        <v/>
      </c>
      <c r="J137" s="22">
        <f>IFERROR(IF(I137="Unpaid",MAX(0,TODAY()-E137),IF(I137="Partial",MAX(0,TODAY()-E137),0)),0)</f>
        <v/>
      </c>
      <c r="K137" s="21" t="n"/>
      <c r="L137" s="21" t="n"/>
      <c r="M137" s="21" t="n"/>
    </row>
    <row r="138" ht="22" customHeight="1">
      <c r="B138" s="25" t="n"/>
      <c r="C138" s="25" t="n"/>
      <c r="D138" s="27" t="n"/>
      <c r="E138" s="28" t="n"/>
      <c r="F138" s="28" t="n"/>
      <c r="G138" s="27" t="n"/>
      <c r="H138" s="27">
        <f>IFERROR(D138-G138,0)</f>
        <v/>
      </c>
      <c r="I138" s="25">
        <f>IF(G138&gt;=D138,"Paid",IF(G138&gt;0,"Partial","Unpaid"))</f>
        <v/>
      </c>
      <c r="J138" s="26">
        <f>IFERROR(IF(I138="Unpaid",MAX(0,TODAY()-E138),IF(I138="Partial",MAX(0,TODAY()-E138),0)),0)</f>
        <v/>
      </c>
      <c r="K138" s="25" t="n"/>
      <c r="L138" s="25" t="n"/>
      <c r="M138" s="25" t="n"/>
    </row>
    <row r="139" ht="22" customHeight="1">
      <c r="B139" s="21" t="n"/>
      <c r="C139" s="21" t="n"/>
      <c r="D139" s="23" t="n"/>
      <c r="E139" s="24" t="n"/>
      <c r="F139" s="24" t="n"/>
      <c r="G139" s="23" t="n"/>
      <c r="H139" s="23">
        <f>IFERROR(D139-G139,0)</f>
        <v/>
      </c>
      <c r="I139" s="21">
        <f>IF(G139&gt;=D139,"Paid",IF(G139&gt;0,"Partial","Unpaid"))</f>
        <v/>
      </c>
      <c r="J139" s="22">
        <f>IFERROR(IF(I139="Unpaid",MAX(0,TODAY()-E139),IF(I139="Partial",MAX(0,TODAY()-E139),0)),0)</f>
        <v/>
      </c>
      <c r="K139" s="21" t="n"/>
      <c r="L139" s="21" t="n"/>
      <c r="M139" s="21" t="n"/>
    </row>
    <row r="140" ht="22" customHeight="1">
      <c r="B140" s="25" t="n"/>
      <c r="C140" s="25" t="n"/>
      <c r="D140" s="27" t="n"/>
      <c r="E140" s="28" t="n"/>
      <c r="F140" s="28" t="n"/>
      <c r="G140" s="27" t="n"/>
      <c r="H140" s="27">
        <f>IFERROR(D140-G140,0)</f>
        <v/>
      </c>
      <c r="I140" s="25">
        <f>IF(G140&gt;=D140,"Paid",IF(G140&gt;0,"Partial","Unpaid"))</f>
        <v/>
      </c>
      <c r="J140" s="26">
        <f>IFERROR(IF(I140="Unpaid",MAX(0,TODAY()-E140),IF(I140="Partial",MAX(0,TODAY()-E140),0)),0)</f>
        <v/>
      </c>
      <c r="K140" s="25" t="n"/>
      <c r="L140" s="25" t="n"/>
      <c r="M140" s="25" t="n"/>
    </row>
    <row r="141" ht="22" customHeight="1">
      <c r="B141" s="21" t="n"/>
      <c r="C141" s="21" t="n"/>
      <c r="D141" s="23" t="n"/>
      <c r="E141" s="24" t="n"/>
      <c r="F141" s="24" t="n"/>
      <c r="G141" s="23" t="n"/>
      <c r="H141" s="23">
        <f>IFERROR(D141-G141,0)</f>
        <v/>
      </c>
      <c r="I141" s="21">
        <f>IF(G141&gt;=D141,"Paid",IF(G141&gt;0,"Partial","Unpaid"))</f>
        <v/>
      </c>
      <c r="J141" s="22">
        <f>IFERROR(IF(I141="Unpaid",MAX(0,TODAY()-E141),IF(I141="Partial",MAX(0,TODAY()-E141),0)),0)</f>
        <v/>
      </c>
      <c r="K141" s="21" t="n"/>
      <c r="L141" s="21" t="n"/>
      <c r="M141" s="21" t="n"/>
    </row>
    <row r="142" ht="22" customHeight="1">
      <c r="B142" s="25" t="n"/>
      <c r="C142" s="25" t="n"/>
      <c r="D142" s="27" t="n"/>
      <c r="E142" s="28" t="n"/>
      <c r="F142" s="28" t="n"/>
      <c r="G142" s="27" t="n"/>
      <c r="H142" s="27">
        <f>IFERROR(D142-G142,0)</f>
        <v/>
      </c>
      <c r="I142" s="25">
        <f>IF(G142&gt;=D142,"Paid",IF(G142&gt;0,"Partial","Unpaid"))</f>
        <v/>
      </c>
      <c r="J142" s="26">
        <f>IFERROR(IF(I142="Unpaid",MAX(0,TODAY()-E142),IF(I142="Partial",MAX(0,TODAY()-E142),0)),0)</f>
        <v/>
      </c>
      <c r="K142" s="25" t="n"/>
      <c r="L142" s="25" t="n"/>
      <c r="M142" s="25" t="n"/>
    </row>
    <row r="143" ht="22" customHeight="1">
      <c r="B143" s="21" t="n"/>
      <c r="C143" s="21" t="n"/>
      <c r="D143" s="23" t="n"/>
      <c r="E143" s="24" t="n"/>
      <c r="F143" s="24" t="n"/>
      <c r="G143" s="23" t="n"/>
      <c r="H143" s="23">
        <f>IFERROR(D143-G143,0)</f>
        <v/>
      </c>
      <c r="I143" s="21">
        <f>IF(G143&gt;=D143,"Paid",IF(G143&gt;0,"Partial","Unpaid"))</f>
        <v/>
      </c>
      <c r="J143" s="22">
        <f>IFERROR(IF(I143="Unpaid",MAX(0,TODAY()-E143),IF(I143="Partial",MAX(0,TODAY()-E143),0)),0)</f>
        <v/>
      </c>
      <c r="K143" s="21" t="n"/>
      <c r="L143" s="21" t="n"/>
      <c r="M143" s="21" t="n"/>
    </row>
    <row r="144" ht="22" customHeight="1">
      <c r="B144" s="25" t="n"/>
      <c r="C144" s="25" t="n"/>
      <c r="D144" s="27" t="n"/>
      <c r="E144" s="28" t="n"/>
      <c r="F144" s="28" t="n"/>
      <c r="G144" s="27" t="n"/>
      <c r="H144" s="27">
        <f>IFERROR(D144-G144,0)</f>
        <v/>
      </c>
      <c r="I144" s="25">
        <f>IF(G144&gt;=D144,"Paid",IF(G144&gt;0,"Partial","Unpaid"))</f>
        <v/>
      </c>
      <c r="J144" s="26">
        <f>IFERROR(IF(I144="Unpaid",MAX(0,TODAY()-E144),IF(I144="Partial",MAX(0,TODAY()-E144),0)),0)</f>
        <v/>
      </c>
      <c r="K144" s="25" t="n"/>
      <c r="L144" s="25" t="n"/>
      <c r="M144" s="25" t="n"/>
    </row>
    <row r="145" ht="22" customHeight="1">
      <c r="B145" s="21" t="n"/>
      <c r="C145" s="21" t="n"/>
      <c r="D145" s="23" t="n"/>
      <c r="E145" s="24" t="n"/>
      <c r="F145" s="24" t="n"/>
      <c r="G145" s="23" t="n"/>
      <c r="H145" s="23">
        <f>IFERROR(D145-G145,0)</f>
        <v/>
      </c>
      <c r="I145" s="21">
        <f>IF(G145&gt;=D145,"Paid",IF(G145&gt;0,"Partial","Unpaid"))</f>
        <v/>
      </c>
      <c r="J145" s="22">
        <f>IFERROR(IF(I145="Unpaid",MAX(0,TODAY()-E145),IF(I145="Partial",MAX(0,TODAY()-E145),0)),0)</f>
        <v/>
      </c>
      <c r="K145" s="21" t="n"/>
      <c r="L145" s="21" t="n"/>
      <c r="M145" s="21" t="n"/>
    </row>
    <row r="146" ht="22" customHeight="1">
      <c r="B146" s="25" t="n"/>
      <c r="C146" s="25" t="n"/>
      <c r="D146" s="27" t="n"/>
      <c r="E146" s="28" t="n"/>
      <c r="F146" s="28" t="n"/>
      <c r="G146" s="27" t="n"/>
      <c r="H146" s="27">
        <f>IFERROR(D146-G146,0)</f>
        <v/>
      </c>
      <c r="I146" s="25">
        <f>IF(G146&gt;=D146,"Paid",IF(G146&gt;0,"Partial","Unpaid"))</f>
        <v/>
      </c>
      <c r="J146" s="26">
        <f>IFERROR(IF(I146="Unpaid",MAX(0,TODAY()-E146),IF(I146="Partial",MAX(0,TODAY()-E146),0)),0)</f>
        <v/>
      </c>
      <c r="K146" s="25" t="n"/>
      <c r="L146" s="25" t="n"/>
      <c r="M146" s="25" t="n"/>
    </row>
    <row r="147" ht="22" customHeight="1">
      <c r="B147" s="21" t="n"/>
      <c r="C147" s="21" t="n"/>
      <c r="D147" s="23" t="n"/>
      <c r="E147" s="24" t="n"/>
      <c r="F147" s="24" t="n"/>
      <c r="G147" s="23" t="n"/>
      <c r="H147" s="23">
        <f>IFERROR(D147-G147,0)</f>
        <v/>
      </c>
      <c r="I147" s="21">
        <f>IF(G147&gt;=D147,"Paid",IF(G147&gt;0,"Partial","Unpaid"))</f>
        <v/>
      </c>
      <c r="J147" s="22">
        <f>IFERROR(IF(I147="Unpaid",MAX(0,TODAY()-E147),IF(I147="Partial",MAX(0,TODAY()-E147),0)),0)</f>
        <v/>
      </c>
      <c r="K147" s="21" t="n"/>
      <c r="L147" s="21" t="n"/>
      <c r="M147" s="21" t="n"/>
    </row>
    <row r="148" ht="22" customHeight="1">
      <c r="B148" s="25" t="n"/>
      <c r="C148" s="25" t="n"/>
      <c r="D148" s="27" t="n"/>
      <c r="E148" s="28" t="n"/>
      <c r="F148" s="28" t="n"/>
      <c r="G148" s="27" t="n"/>
      <c r="H148" s="27">
        <f>IFERROR(D148-G148,0)</f>
        <v/>
      </c>
      <c r="I148" s="25">
        <f>IF(G148&gt;=D148,"Paid",IF(G148&gt;0,"Partial","Unpaid"))</f>
        <v/>
      </c>
      <c r="J148" s="26">
        <f>IFERROR(IF(I148="Unpaid",MAX(0,TODAY()-E148),IF(I148="Partial",MAX(0,TODAY()-E148),0)),0)</f>
        <v/>
      </c>
      <c r="K148" s="25" t="n"/>
      <c r="L148" s="25" t="n"/>
      <c r="M148" s="25" t="n"/>
    </row>
    <row r="149" ht="22" customHeight="1">
      <c r="B149" s="21" t="n"/>
      <c r="C149" s="21" t="n"/>
      <c r="D149" s="23" t="n"/>
      <c r="E149" s="24" t="n"/>
      <c r="F149" s="24" t="n"/>
      <c r="G149" s="23" t="n"/>
      <c r="H149" s="23">
        <f>IFERROR(D149-G149,0)</f>
        <v/>
      </c>
      <c r="I149" s="21">
        <f>IF(G149&gt;=D149,"Paid",IF(G149&gt;0,"Partial","Unpaid"))</f>
        <v/>
      </c>
      <c r="J149" s="22">
        <f>IFERROR(IF(I149="Unpaid",MAX(0,TODAY()-E149),IF(I149="Partial",MAX(0,TODAY()-E149),0)),0)</f>
        <v/>
      </c>
      <c r="K149" s="21" t="n"/>
      <c r="L149" s="21" t="n"/>
      <c r="M149" s="21" t="n"/>
    </row>
    <row r="150" ht="22" customHeight="1">
      <c r="B150" s="25" t="n"/>
      <c r="C150" s="25" t="n"/>
      <c r="D150" s="27" t="n"/>
      <c r="E150" s="28" t="n"/>
      <c r="F150" s="28" t="n"/>
      <c r="G150" s="27" t="n"/>
      <c r="H150" s="27">
        <f>IFERROR(D150-G150,0)</f>
        <v/>
      </c>
      <c r="I150" s="25">
        <f>IF(G150&gt;=D150,"Paid",IF(G150&gt;0,"Partial","Unpaid"))</f>
        <v/>
      </c>
      <c r="J150" s="26">
        <f>IFERROR(IF(I150="Unpaid",MAX(0,TODAY()-E150),IF(I150="Partial",MAX(0,TODAY()-E150),0)),0)</f>
        <v/>
      </c>
      <c r="K150" s="25" t="n"/>
      <c r="L150" s="25" t="n"/>
      <c r="M150" s="25" t="n"/>
    </row>
    <row r="151" ht="22" customHeight="1">
      <c r="B151" s="21" t="n"/>
      <c r="C151" s="21" t="n"/>
      <c r="D151" s="23" t="n"/>
      <c r="E151" s="24" t="n"/>
      <c r="F151" s="24" t="n"/>
      <c r="G151" s="23" t="n"/>
      <c r="H151" s="23">
        <f>IFERROR(D151-G151,0)</f>
        <v/>
      </c>
      <c r="I151" s="21">
        <f>IF(G151&gt;=D151,"Paid",IF(G151&gt;0,"Partial","Unpaid"))</f>
        <v/>
      </c>
      <c r="J151" s="22">
        <f>IFERROR(IF(I151="Unpaid",MAX(0,TODAY()-E151),IF(I151="Partial",MAX(0,TODAY()-E151),0)),0)</f>
        <v/>
      </c>
      <c r="K151" s="21" t="n"/>
      <c r="L151" s="21" t="n"/>
      <c r="M151" s="21" t="n"/>
    </row>
    <row r="152" ht="22" customHeight="1">
      <c r="B152" s="25" t="n"/>
      <c r="C152" s="25" t="n"/>
      <c r="D152" s="27" t="n"/>
      <c r="E152" s="28" t="n"/>
      <c r="F152" s="28" t="n"/>
      <c r="G152" s="27" t="n"/>
      <c r="H152" s="27">
        <f>IFERROR(D152-G152,0)</f>
        <v/>
      </c>
      <c r="I152" s="25">
        <f>IF(G152&gt;=D152,"Paid",IF(G152&gt;0,"Partial","Unpaid"))</f>
        <v/>
      </c>
      <c r="J152" s="26">
        <f>IFERROR(IF(I152="Unpaid",MAX(0,TODAY()-E152),IF(I152="Partial",MAX(0,TODAY()-E152),0)),0)</f>
        <v/>
      </c>
      <c r="K152" s="25" t="n"/>
      <c r="L152" s="25" t="n"/>
      <c r="M152" s="25" t="n"/>
    </row>
    <row r="153" ht="22" customHeight="1">
      <c r="B153" s="21" t="n"/>
      <c r="C153" s="21" t="n"/>
      <c r="D153" s="23" t="n"/>
      <c r="E153" s="24" t="n"/>
      <c r="F153" s="24" t="n"/>
      <c r="G153" s="23" t="n"/>
      <c r="H153" s="23">
        <f>IFERROR(D153-G153,0)</f>
        <v/>
      </c>
      <c r="I153" s="21">
        <f>IF(G153&gt;=D153,"Paid",IF(G153&gt;0,"Partial","Unpaid"))</f>
        <v/>
      </c>
      <c r="J153" s="22">
        <f>IFERROR(IF(I153="Unpaid",MAX(0,TODAY()-E153),IF(I153="Partial",MAX(0,TODAY()-E153),0)),0)</f>
        <v/>
      </c>
      <c r="K153" s="21" t="n"/>
      <c r="L153" s="21" t="n"/>
      <c r="M153" s="21" t="n"/>
    </row>
    <row r="154" ht="22" customHeight="1">
      <c r="B154" s="25" t="n"/>
      <c r="C154" s="25" t="n"/>
      <c r="D154" s="27" t="n"/>
      <c r="E154" s="28" t="n"/>
      <c r="F154" s="28" t="n"/>
      <c r="G154" s="27" t="n"/>
      <c r="H154" s="27">
        <f>IFERROR(D154-G154,0)</f>
        <v/>
      </c>
      <c r="I154" s="25">
        <f>IF(G154&gt;=D154,"Paid",IF(G154&gt;0,"Partial","Unpaid"))</f>
        <v/>
      </c>
      <c r="J154" s="26">
        <f>IFERROR(IF(I154="Unpaid",MAX(0,TODAY()-E154),IF(I154="Partial",MAX(0,TODAY()-E154),0)),0)</f>
        <v/>
      </c>
      <c r="K154" s="25" t="n"/>
      <c r="L154" s="25" t="n"/>
      <c r="M154" s="25" t="n"/>
    </row>
    <row r="157">
      <c r="B157" s="32" t="inlineStr">
        <is>
          <t>COLLECTION SUMMARY</t>
        </is>
      </c>
    </row>
    <row r="158">
      <c r="B158" s="33" t="inlineStr">
        <is>
          <t>Total Expected Rent</t>
        </is>
      </c>
      <c r="C158" s="5" t="n"/>
      <c r="D158" s="34">
        <f>IFERROR(SUM(D5:D154),0)</f>
        <v/>
      </c>
      <c r="E158" s="5" t="n"/>
    </row>
    <row r="159">
      <c r="B159" s="33" t="inlineStr">
        <is>
          <t>Total Collected</t>
        </is>
      </c>
      <c r="C159" s="5" t="n"/>
      <c r="D159" s="34">
        <f>IFERROR(SUM(G5:G154),0)</f>
        <v/>
      </c>
      <c r="E159" s="5" t="n"/>
    </row>
    <row r="160">
      <c r="B160" s="33" t="inlineStr">
        <is>
          <t>Total Outstanding</t>
        </is>
      </c>
      <c r="C160" s="5" t="n"/>
      <c r="D160" s="34">
        <f>IFERROR(SUM(H5:H154),0)</f>
        <v/>
      </c>
      <c r="E160" s="5" t="n"/>
    </row>
    <row r="161">
      <c r="B161" s="33" t="inlineStr">
        <is>
          <t>Collection Rate %</t>
        </is>
      </c>
      <c r="C161" s="5" t="n"/>
      <c r="D161" s="35">
        <f>IFERROR(SUM(G5:G154)/SUM(D5:D154),0)</f>
        <v/>
      </c>
      <c r="E161" s="5" t="n"/>
    </row>
    <row r="162">
      <c r="B162" s="33" t="inlineStr">
        <is>
          <t># Paid</t>
        </is>
      </c>
      <c r="C162" s="5" t="n"/>
      <c r="D162" s="36">
        <f>IFERROR(COUNTIF(I5:I154,"Paid"),0)</f>
        <v/>
      </c>
      <c r="E162" s="5" t="n"/>
    </row>
    <row r="163">
      <c r="B163" s="33" t="inlineStr">
        <is>
          <t># Partial</t>
        </is>
      </c>
      <c r="C163" s="5" t="n"/>
      <c r="D163" s="36">
        <f>IFERROR(COUNTIF(I5:I154,"Partial"),0)</f>
        <v/>
      </c>
      <c r="E163" s="5" t="n"/>
    </row>
    <row r="164">
      <c r="B164" s="33" t="inlineStr">
        <is>
          <t># Unpaid</t>
        </is>
      </c>
      <c r="C164" s="5" t="n"/>
      <c r="D164" s="36">
        <f>IFERROR(COUNTIF(I5:I154,"Unpaid"),0)</f>
        <v/>
      </c>
      <c r="E164" s="5" t="n"/>
    </row>
  </sheetData>
  <mergeCells count="2">
    <mergeCell ref="B2:M2"/>
    <mergeCell ref="B157:E157"/>
  </mergeCells>
  <conditionalFormatting sqref="I5:I154">
    <cfRule type="cellIs" priority="1" operator="equal" dxfId="0">
      <formula>"Paid"</formula>
    </cfRule>
    <cfRule type="cellIs" priority="2" operator="equal" dxfId="2">
      <formula>"Partial"</formula>
    </cfRule>
    <cfRule type="cellIs" priority="3" operator="equal" dxfId="1">
      <formula>"Unpaid"</formula>
    </cfRule>
  </conditionalFormatting>
  <dataValidations count="1">
    <dataValidation sqref="K5:K154" showDropDown="0" showInputMessage="0" showErrorMessage="0" allowBlank="1" promptTitle="Payment Method" prompt="Select Payment Method" type="list">
      <formula1>"Cash,Bank Transfer,Cheque,Online"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6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24" customWidth="1" min="10" max="10"/>
  </cols>
  <sheetData>
    <row r="1" ht="15" customHeight="1"/>
    <row r="2" ht="32" customHeight="1">
      <c r="B2" s="1" t="inlineStr">
        <is>
          <t>Payment Alerts — Tenants Who Haven't Paid by the 5th</t>
        </is>
      </c>
    </row>
    <row r="3" ht="40" customHeight="1">
      <c r="B3" s="37" t="inlineStr">
        <is>
          <t>IMPORTANT: This sheet does NOT send SMS automatically. It is a tracking tool. By the 5th of each month, review the Rent Collection sheet for unpaid tenants, copy their details here, then manually send SMS/WhatsApp/call them. Mark 'Contacted' as Yes once done.</t>
        </is>
      </c>
    </row>
    <row r="4" ht="28" customHeight="1">
      <c r="B4" s="38" t="inlineStr">
        <is>
          <t>Unit ID</t>
        </is>
      </c>
      <c r="C4" s="38" t="inlineStr">
        <is>
          <t>Tenant Name</t>
        </is>
      </c>
      <c r="D4" s="38" t="inlineStr">
        <is>
          <t>Phone</t>
        </is>
      </c>
      <c r="E4" s="38" t="inlineStr">
        <is>
          <t>Monthly Rent</t>
        </is>
      </c>
      <c r="F4" s="38" t="inlineStr">
        <is>
          <t>Due Date</t>
        </is>
      </c>
      <c r="G4" s="38" t="inlineStr">
        <is>
          <t>Days Late</t>
        </is>
      </c>
      <c r="H4" s="38" t="inlineStr">
        <is>
          <t>Contacted?</t>
        </is>
      </c>
      <c r="I4" s="38" t="inlineStr">
        <is>
          <t>Follow-up Date</t>
        </is>
      </c>
      <c r="J4" s="38" t="inlineStr">
        <is>
          <t>Notes</t>
        </is>
      </c>
    </row>
    <row r="5" ht="22" customHeight="1">
      <c r="B5" s="21" t="n"/>
      <c r="C5" s="21" t="n"/>
      <c r="D5" s="21" t="n"/>
      <c r="E5" s="23" t="n"/>
      <c r="F5" s="24" t="n"/>
      <c r="G5" s="22" t="n"/>
      <c r="H5" s="21" t="n"/>
      <c r="I5" s="24" t="n"/>
      <c r="J5" s="21" t="n"/>
    </row>
    <row r="6" ht="22" customHeight="1">
      <c r="B6" s="25" t="n"/>
      <c r="C6" s="25" t="n"/>
      <c r="D6" s="25" t="n"/>
      <c r="E6" s="27" t="n"/>
      <c r="F6" s="28" t="n"/>
      <c r="G6" s="26" t="n"/>
      <c r="H6" s="25" t="n"/>
      <c r="I6" s="28" t="n"/>
      <c r="J6" s="25" t="n"/>
    </row>
    <row r="7" ht="22" customHeight="1">
      <c r="B7" s="21" t="n"/>
      <c r="C7" s="21" t="n"/>
      <c r="D7" s="21" t="n"/>
      <c r="E7" s="23" t="n"/>
      <c r="F7" s="24" t="n"/>
      <c r="G7" s="22" t="n"/>
      <c r="H7" s="21" t="n"/>
      <c r="I7" s="24" t="n"/>
      <c r="J7" s="21" t="n"/>
    </row>
    <row r="8" ht="22" customHeight="1">
      <c r="B8" s="25" t="n"/>
      <c r="C8" s="25" t="n"/>
      <c r="D8" s="25" t="n"/>
      <c r="E8" s="27" t="n"/>
      <c r="F8" s="28" t="n"/>
      <c r="G8" s="26" t="n"/>
      <c r="H8" s="25" t="n"/>
      <c r="I8" s="28" t="n"/>
      <c r="J8" s="25" t="n"/>
    </row>
    <row r="9" ht="22" customHeight="1">
      <c r="B9" s="21" t="n"/>
      <c r="C9" s="21" t="n"/>
      <c r="D9" s="21" t="n"/>
      <c r="E9" s="23" t="n"/>
      <c r="F9" s="24" t="n"/>
      <c r="G9" s="22" t="n"/>
      <c r="H9" s="21" t="n"/>
      <c r="I9" s="24" t="n"/>
      <c r="J9" s="21" t="n"/>
    </row>
    <row r="10" ht="22" customHeight="1">
      <c r="B10" s="25" t="n"/>
      <c r="C10" s="25" t="n"/>
      <c r="D10" s="25" t="n"/>
      <c r="E10" s="27" t="n"/>
      <c r="F10" s="28" t="n"/>
      <c r="G10" s="26" t="n"/>
      <c r="H10" s="25" t="n"/>
      <c r="I10" s="28" t="n"/>
      <c r="J10" s="25" t="n"/>
    </row>
    <row r="11" ht="22" customHeight="1">
      <c r="B11" s="21" t="n"/>
      <c r="C11" s="21" t="n"/>
      <c r="D11" s="21" t="n"/>
      <c r="E11" s="23" t="n"/>
      <c r="F11" s="24" t="n"/>
      <c r="G11" s="22" t="n"/>
      <c r="H11" s="21" t="n"/>
      <c r="I11" s="24" t="n"/>
      <c r="J11" s="21" t="n"/>
    </row>
    <row r="12" ht="22" customHeight="1">
      <c r="B12" s="25" t="n"/>
      <c r="C12" s="25" t="n"/>
      <c r="D12" s="25" t="n"/>
      <c r="E12" s="27" t="n"/>
      <c r="F12" s="28" t="n"/>
      <c r="G12" s="26" t="n"/>
      <c r="H12" s="25" t="n"/>
      <c r="I12" s="28" t="n"/>
      <c r="J12" s="25" t="n"/>
    </row>
    <row r="13" ht="22" customHeight="1">
      <c r="B13" s="21" t="n"/>
      <c r="C13" s="21" t="n"/>
      <c r="D13" s="21" t="n"/>
      <c r="E13" s="23" t="n"/>
      <c r="F13" s="24" t="n"/>
      <c r="G13" s="22" t="n"/>
      <c r="H13" s="21" t="n"/>
      <c r="I13" s="24" t="n"/>
      <c r="J13" s="21" t="n"/>
    </row>
    <row r="14" ht="22" customHeight="1">
      <c r="B14" s="25" t="n"/>
      <c r="C14" s="25" t="n"/>
      <c r="D14" s="25" t="n"/>
      <c r="E14" s="27" t="n"/>
      <c r="F14" s="28" t="n"/>
      <c r="G14" s="26" t="n"/>
      <c r="H14" s="25" t="n"/>
      <c r="I14" s="28" t="n"/>
      <c r="J14" s="25" t="n"/>
    </row>
    <row r="15" ht="22" customHeight="1">
      <c r="B15" s="21" t="n"/>
      <c r="C15" s="21" t="n"/>
      <c r="D15" s="21" t="n"/>
      <c r="E15" s="23" t="n"/>
      <c r="F15" s="24" t="n"/>
      <c r="G15" s="22" t="n"/>
      <c r="H15" s="21" t="n"/>
      <c r="I15" s="24" t="n"/>
      <c r="J15" s="21" t="n"/>
    </row>
    <row r="16" ht="22" customHeight="1">
      <c r="B16" s="25" t="n"/>
      <c r="C16" s="25" t="n"/>
      <c r="D16" s="25" t="n"/>
      <c r="E16" s="27" t="n"/>
      <c r="F16" s="28" t="n"/>
      <c r="G16" s="26" t="n"/>
      <c r="H16" s="25" t="n"/>
      <c r="I16" s="28" t="n"/>
      <c r="J16" s="25" t="n"/>
    </row>
    <row r="17" ht="22" customHeight="1">
      <c r="B17" s="21" t="n"/>
      <c r="C17" s="21" t="n"/>
      <c r="D17" s="21" t="n"/>
      <c r="E17" s="23" t="n"/>
      <c r="F17" s="24" t="n"/>
      <c r="G17" s="22" t="n"/>
      <c r="H17" s="21" t="n"/>
      <c r="I17" s="24" t="n"/>
      <c r="J17" s="21" t="n"/>
    </row>
    <row r="18" ht="22" customHeight="1">
      <c r="B18" s="25" t="n"/>
      <c r="C18" s="25" t="n"/>
      <c r="D18" s="25" t="n"/>
      <c r="E18" s="27" t="n"/>
      <c r="F18" s="28" t="n"/>
      <c r="G18" s="26" t="n"/>
      <c r="H18" s="25" t="n"/>
      <c r="I18" s="28" t="n"/>
      <c r="J18" s="25" t="n"/>
    </row>
    <row r="19" ht="22" customHeight="1">
      <c r="B19" s="21" t="n"/>
      <c r="C19" s="21" t="n"/>
      <c r="D19" s="21" t="n"/>
      <c r="E19" s="23" t="n"/>
      <c r="F19" s="24" t="n"/>
      <c r="G19" s="22" t="n"/>
      <c r="H19" s="21" t="n"/>
      <c r="I19" s="24" t="n"/>
      <c r="J19" s="21" t="n"/>
    </row>
    <row r="20" ht="22" customHeight="1">
      <c r="B20" s="25" t="n"/>
      <c r="C20" s="25" t="n"/>
      <c r="D20" s="25" t="n"/>
      <c r="E20" s="27" t="n"/>
      <c r="F20" s="28" t="n"/>
      <c r="G20" s="26" t="n"/>
      <c r="H20" s="25" t="n"/>
      <c r="I20" s="28" t="n"/>
      <c r="J20" s="25" t="n"/>
    </row>
    <row r="21" ht="22" customHeight="1">
      <c r="B21" s="21" t="n"/>
      <c r="C21" s="21" t="n"/>
      <c r="D21" s="21" t="n"/>
      <c r="E21" s="23" t="n"/>
      <c r="F21" s="24" t="n"/>
      <c r="G21" s="22" t="n"/>
      <c r="H21" s="21" t="n"/>
      <c r="I21" s="24" t="n"/>
      <c r="J21" s="21" t="n"/>
    </row>
    <row r="22" ht="22" customHeight="1">
      <c r="B22" s="25" t="n"/>
      <c r="C22" s="25" t="n"/>
      <c r="D22" s="25" t="n"/>
      <c r="E22" s="27" t="n"/>
      <c r="F22" s="28" t="n"/>
      <c r="G22" s="26" t="n"/>
      <c r="H22" s="25" t="n"/>
      <c r="I22" s="28" t="n"/>
      <c r="J22" s="25" t="n"/>
    </row>
    <row r="23" ht="22" customHeight="1">
      <c r="B23" s="21" t="n"/>
      <c r="C23" s="21" t="n"/>
      <c r="D23" s="21" t="n"/>
      <c r="E23" s="23" t="n"/>
      <c r="F23" s="24" t="n"/>
      <c r="G23" s="22" t="n"/>
      <c r="H23" s="21" t="n"/>
      <c r="I23" s="24" t="n"/>
      <c r="J23" s="21" t="n"/>
    </row>
    <row r="24" ht="22" customHeight="1">
      <c r="B24" s="25" t="n"/>
      <c r="C24" s="25" t="n"/>
      <c r="D24" s="25" t="n"/>
      <c r="E24" s="27" t="n"/>
      <c r="F24" s="28" t="n"/>
      <c r="G24" s="26" t="n"/>
      <c r="H24" s="25" t="n"/>
      <c r="I24" s="28" t="n"/>
      <c r="J24" s="25" t="n"/>
    </row>
    <row r="25" ht="22" customHeight="1">
      <c r="B25" s="21" t="n"/>
      <c r="C25" s="21" t="n"/>
      <c r="D25" s="21" t="n"/>
      <c r="E25" s="23" t="n"/>
      <c r="F25" s="24" t="n"/>
      <c r="G25" s="22" t="n"/>
      <c r="H25" s="21" t="n"/>
      <c r="I25" s="24" t="n"/>
      <c r="J25" s="21" t="n"/>
    </row>
    <row r="26" ht="22" customHeight="1">
      <c r="B26" s="25" t="n"/>
      <c r="C26" s="25" t="n"/>
      <c r="D26" s="25" t="n"/>
      <c r="E26" s="27" t="n"/>
      <c r="F26" s="28" t="n"/>
      <c r="G26" s="26" t="n"/>
      <c r="H26" s="25" t="n"/>
      <c r="I26" s="28" t="n"/>
      <c r="J26" s="25" t="n"/>
    </row>
    <row r="27" ht="22" customHeight="1">
      <c r="B27" s="21" t="n"/>
      <c r="C27" s="21" t="n"/>
      <c r="D27" s="21" t="n"/>
      <c r="E27" s="23" t="n"/>
      <c r="F27" s="24" t="n"/>
      <c r="G27" s="22" t="n"/>
      <c r="H27" s="21" t="n"/>
      <c r="I27" s="24" t="n"/>
      <c r="J27" s="21" t="n"/>
    </row>
    <row r="28" ht="22" customHeight="1">
      <c r="B28" s="25" t="n"/>
      <c r="C28" s="25" t="n"/>
      <c r="D28" s="25" t="n"/>
      <c r="E28" s="27" t="n"/>
      <c r="F28" s="28" t="n"/>
      <c r="G28" s="26" t="n"/>
      <c r="H28" s="25" t="n"/>
      <c r="I28" s="28" t="n"/>
      <c r="J28" s="25" t="n"/>
    </row>
    <row r="29" ht="22" customHeight="1">
      <c r="B29" s="21" t="n"/>
      <c r="C29" s="21" t="n"/>
      <c r="D29" s="21" t="n"/>
      <c r="E29" s="23" t="n"/>
      <c r="F29" s="24" t="n"/>
      <c r="G29" s="22" t="n"/>
      <c r="H29" s="21" t="n"/>
      <c r="I29" s="24" t="n"/>
      <c r="J29" s="21" t="n"/>
    </row>
    <row r="30" ht="22" customHeight="1">
      <c r="B30" s="25" t="n"/>
      <c r="C30" s="25" t="n"/>
      <c r="D30" s="25" t="n"/>
      <c r="E30" s="27" t="n"/>
      <c r="F30" s="28" t="n"/>
      <c r="G30" s="26" t="n"/>
      <c r="H30" s="25" t="n"/>
      <c r="I30" s="28" t="n"/>
      <c r="J30" s="25" t="n"/>
    </row>
    <row r="31" ht="22" customHeight="1">
      <c r="B31" s="21" t="n"/>
      <c r="C31" s="21" t="n"/>
      <c r="D31" s="21" t="n"/>
      <c r="E31" s="23" t="n"/>
      <c r="F31" s="24" t="n"/>
      <c r="G31" s="22" t="n"/>
      <c r="H31" s="21" t="n"/>
      <c r="I31" s="24" t="n"/>
      <c r="J31" s="21" t="n"/>
    </row>
    <row r="32" ht="22" customHeight="1">
      <c r="B32" s="25" t="n"/>
      <c r="C32" s="25" t="n"/>
      <c r="D32" s="25" t="n"/>
      <c r="E32" s="27" t="n"/>
      <c r="F32" s="28" t="n"/>
      <c r="G32" s="26" t="n"/>
      <c r="H32" s="25" t="n"/>
      <c r="I32" s="28" t="n"/>
      <c r="J32" s="25" t="n"/>
    </row>
    <row r="33" ht="22" customHeight="1">
      <c r="B33" s="21" t="n"/>
      <c r="C33" s="21" t="n"/>
      <c r="D33" s="21" t="n"/>
      <c r="E33" s="23" t="n"/>
      <c r="F33" s="24" t="n"/>
      <c r="G33" s="22" t="n"/>
      <c r="H33" s="21" t="n"/>
      <c r="I33" s="24" t="n"/>
      <c r="J33" s="21" t="n"/>
    </row>
    <row r="34" ht="22" customHeight="1">
      <c r="B34" s="25" t="n"/>
      <c r="C34" s="25" t="n"/>
      <c r="D34" s="25" t="n"/>
      <c r="E34" s="27" t="n"/>
      <c r="F34" s="28" t="n"/>
      <c r="G34" s="26" t="n"/>
      <c r="H34" s="25" t="n"/>
      <c r="I34" s="28" t="n"/>
      <c r="J34" s="25" t="n"/>
    </row>
    <row r="35" ht="22" customHeight="1">
      <c r="B35" s="21" t="n"/>
      <c r="C35" s="21" t="n"/>
      <c r="D35" s="21" t="n"/>
      <c r="E35" s="23" t="n"/>
      <c r="F35" s="24" t="n"/>
      <c r="G35" s="22" t="n"/>
      <c r="H35" s="21" t="n"/>
      <c r="I35" s="24" t="n"/>
      <c r="J35" s="21" t="n"/>
    </row>
    <row r="36" ht="22" customHeight="1">
      <c r="B36" s="25" t="n"/>
      <c r="C36" s="25" t="n"/>
      <c r="D36" s="25" t="n"/>
      <c r="E36" s="27" t="n"/>
      <c r="F36" s="28" t="n"/>
      <c r="G36" s="26" t="n"/>
      <c r="H36" s="25" t="n"/>
      <c r="I36" s="28" t="n"/>
      <c r="J36" s="25" t="n"/>
    </row>
    <row r="37" ht="22" customHeight="1">
      <c r="B37" s="21" t="n"/>
      <c r="C37" s="21" t="n"/>
      <c r="D37" s="21" t="n"/>
      <c r="E37" s="23" t="n"/>
      <c r="F37" s="24" t="n"/>
      <c r="G37" s="22" t="n"/>
      <c r="H37" s="21" t="n"/>
      <c r="I37" s="24" t="n"/>
      <c r="J37" s="21" t="n"/>
    </row>
    <row r="38" ht="22" customHeight="1">
      <c r="B38" s="25" t="n"/>
      <c r="C38" s="25" t="n"/>
      <c r="D38" s="25" t="n"/>
      <c r="E38" s="27" t="n"/>
      <c r="F38" s="28" t="n"/>
      <c r="G38" s="26" t="n"/>
      <c r="H38" s="25" t="n"/>
      <c r="I38" s="28" t="n"/>
      <c r="J38" s="25" t="n"/>
    </row>
    <row r="39" ht="22" customHeight="1">
      <c r="B39" s="21" t="n"/>
      <c r="C39" s="21" t="n"/>
      <c r="D39" s="21" t="n"/>
      <c r="E39" s="23" t="n"/>
      <c r="F39" s="24" t="n"/>
      <c r="G39" s="22" t="n"/>
      <c r="H39" s="21" t="n"/>
      <c r="I39" s="24" t="n"/>
      <c r="J39" s="21" t="n"/>
    </row>
    <row r="40" ht="22" customHeight="1">
      <c r="B40" s="25" t="n"/>
      <c r="C40" s="25" t="n"/>
      <c r="D40" s="25" t="n"/>
      <c r="E40" s="27" t="n"/>
      <c r="F40" s="28" t="n"/>
      <c r="G40" s="26" t="n"/>
      <c r="H40" s="25" t="n"/>
      <c r="I40" s="28" t="n"/>
      <c r="J40" s="25" t="n"/>
    </row>
    <row r="41" ht="22" customHeight="1">
      <c r="B41" s="21" t="n"/>
      <c r="C41" s="21" t="n"/>
      <c r="D41" s="21" t="n"/>
      <c r="E41" s="23" t="n"/>
      <c r="F41" s="24" t="n"/>
      <c r="G41" s="22" t="n"/>
      <c r="H41" s="21" t="n"/>
      <c r="I41" s="24" t="n"/>
      <c r="J41" s="21" t="n"/>
    </row>
    <row r="42" ht="22" customHeight="1">
      <c r="B42" s="25" t="n"/>
      <c r="C42" s="25" t="n"/>
      <c r="D42" s="25" t="n"/>
      <c r="E42" s="27" t="n"/>
      <c r="F42" s="28" t="n"/>
      <c r="G42" s="26" t="n"/>
      <c r="H42" s="25" t="n"/>
      <c r="I42" s="28" t="n"/>
      <c r="J42" s="25" t="n"/>
    </row>
    <row r="43" ht="22" customHeight="1">
      <c r="B43" s="21" t="n"/>
      <c r="C43" s="21" t="n"/>
      <c r="D43" s="21" t="n"/>
      <c r="E43" s="23" t="n"/>
      <c r="F43" s="24" t="n"/>
      <c r="G43" s="22" t="n"/>
      <c r="H43" s="21" t="n"/>
      <c r="I43" s="24" t="n"/>
      <c r="J43" s="21" t="n"/>
    </row>
    <row r="44" ht="22" customHeight="1">
      <c r="B44" s="25" t="n"/>
      <c r="C44" s="25" t="n"/>
      <c r="D44" s="25" t="n"/>
      <c r="E44" s="27" t="n"/>
      <c r="F44" s="28" t="n"/>
      <c r="G44" s="26" t="n"/>
      <c r="H44" s="25" t="n"/>
      <c r="I44" s="28" t="n"/>
      <c r="J44" s="25" t="n"/>
    </row>
    <row r="45" ht="22" customHeight="1">
      <c r="B45" s="21" t="n"/>
      <c r="C45" s="21" t="n"/>
      <c r="D45" s="21" t="n"/>
      <c r="E45" s="23" t="n"/>
      <c r="F45" s="24" t="n"/>
      <c r="G45" s="22" t="n"/>
      <c r="H45" s="21" t="n"/>
      <c r="I45" s="24" t="n"/>
      <c r="J45" s="21" t="n"/>
    </row>
    <row r="46" ht="22" customHeight="1">
      <c r="B46" s="25" t="n"/>
      <c r="C46" s="25" t="n"/>
      <c r="D46" s="25" t="n"/>
      <c r="E46" s="27" t="n"/>
      <c r="F46" s="28" t="n"/>
      <c r="G46" s="26" t="n"/>
      <c r="H46" s="25" t="n"/>
      <c r="I46" s="28" t="n"/>
      <c r="J46" s="25" t="n"/>
    </row>
    <row r="47" ht="22" customHeight="1">
      <c r="B47" s="21" t="n"/>
      <c r="C47" s="21" t="n"/>
      <c r="D47" s="21" t="n"/>
      <c r="E47" s="23" t="n"/>
      <c r="F47" s="24" t="n"/>
      <c r="G47" s="22" t="n"/>
      <c r="H47" s="21" t="n"/>
      <c r="I47" s="24" t="n"/>
      <c r="J47" s="21" t="n"/>
    </row>
    <row r="48" ht="22" customHeight="1">
      <c r="B48" s="25" t="n"/>
      <c r="C48" s="25" t="n"/>
      <c r="D48" s="25" t="n"/>
      <c r="E48" s="27" t="n"/>
      <c r="F48" s="28" t="n"/>
      <c r="G48" s="26" t="n"/>
      <c r="H48" s="25" t="n"/>
      <c r="I48" s="28" t="n"/>
      <c r="J48" s="25" t="n"/>
    </row>
    <row r="49" ht="22" customHeight="1">
      <c r="B49" s="21" t="n"/>
      <c r="C49" s="21" t="n"/>
      <c r="D49" s="21" t="n"/>
      <c r="E49" s="23" t="n"/>
      <c r="F49" s="24" t="n"/>
      <c r="G49" s="22" t="n"/>
      <c r="H49" s="21" t="n"/>
      <c r="I49" s="24" t="n"/>
      <c r="J49" s="21" t="n"/>
    </row>
    <row r="50" ht="22" customHeight="1">
      <c r="B50" s="25" t="n"/>
      <c r="C50" s="25" t="n"/>
      <c r="D50" s="25" t="n"/>
      <c r="E50" s="27" t="n"/>
      <c r="F50" s="28" t="n"/>
      <c r="G50" s="26" t="n"/>
      <c r="H50" s="25" t="n"/>
      <c r="I50" s="28" t="n"/>
      <c r="J50" s="25" t="n"/>
    </row>
    <row r="51" ht="22" customHeight="1">
      <c r="B51" s="21" t="n"/>
      <c r="C51" s="21" t="n"/>
      <c r="D51" s="21" t="n"/>
      <c r="E51" s="23" t="n"/>
      <c r="F51" s="24" t="n"/>
      <c r="G51" s="22" t="n"/>
      <c r="H51" s="21" t="n"/>
      <c r="I51" s="24" t="n"/>
      <c r="J51" s="21" t="n"/>
    </row>
    <row r="52" ht="22" customHeight="1">
      <c r="B52" s="25" t="n"/>
      <c r="C52" s="25" t="n"/>
      <c r="D52" s="25" t="n"/>
      <c r="E52" s="27" t="n"/>
      <c r="F52" s="28" t="n"/>
      <c r="G52" s="26" t="n"/>
      <c r="H52" s="25" t="n"/>
      <c r="I52" s="28" t="n"/>
      <c r="J52" s="25" t="n"/>
    </row>
    <row r="53" ht="22" customHeight="1">
      <c r="B53" s="21" t="n"/>
      <c r="C53" s="21" t="n"/>
      <c r="D53" s="21" t="n"/>
      <c r="E53" s="23" t="n"/>
      <c r="F53" s="24" t="n"/>
      <c r="G53" s="22" t="n"/>
      <c r="H53" s="21" t="n"/>
      <c r="I53" s="24" t="n"/>
      <c r="J53" s="21" t="n"/>
    </row>
    <row r="54" ht="22" customHeight="1">
      <c r="B54" s="25" t="n"/>
      <c r="C54" s="25" t="n"/>
      <c r="D54" s="25" t="n"/>
      <c r="E54" s="27" t="n"/>
      <c r="F54" s="28" t="n"/>
      <c r="G54" s="26" t="n"/>
      <c r="H54" s="25" t="n"/>
      <c r="I54" s="28" t="n"/>
      <c r="J54" s="25" t="n"/>
    </row>
  </sheetData>
  <mergeCells count="2">
    <mergeCell ref="B3:J3"/>
    <mergeCell ref="B2:J2"/>
  </mergeCells>
  <conditionalFormatting sqref="G5:G54">
    <cfRule type="cellIs" priority="1" operator="greaterThan" dxfId="1">
      <formula>30</formula>
    </cfRule>
    <cfRule type="cellIs" priority="2" operator="greaterThan" dxfId="2">
      <formula>15</formula>
    </cfRule>
  </conditionalFormatting>
  <dataValidations count="1">
    <dataValidation sqref="H5:H54" showDropDown="0" showInputMessage="0" showErrorMessage="0" allowBlank="1" promptTitle="Contacted?" prompt="Mark as Yes after contacting tenant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M2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2" customWidth="1" min="4" max="4"/>
    <col width="16" customWidth="1" min="5" max="5"/>
    <col width="28" customWidth="1" min="6" max="6"/>
    <col width="20" customWidth="1" min="7" max="7"/>
    <col width="16" customWidth="1" min="8" max="8"/>
    <col width="16" customWidth="1" min="9" max="9"/>
    <col width="14" customWidth="1" min="10" max="10"/>
    <col width="12" customWidth="1" min="11" max="11"/>
    <col width="16" customWidth="1" min="12" max="12"/>
    <col width="24" customWidth="1" min="13" max="13"/>
  </cols>
  <sheetData>
    <row r="1" ht="15" customHeight="1"/>
    <row r="2" ht="32" customHeight="1">
      <c r="B2" s="1" t="inlineStr">
        <is>
          <t>Maintenance Log &amp; Cost Tracker</t>
        </is>
      </c>
    </row>
    <row r="3" ht="8" customHeight="1"/>
    <row r="4" ht="28" customHeight="1">
      <c r="B4" s="20" t="inlineStr">
        <is>
          <t>Request ID</t>
        </is>
      </c>
      <c r="C4" s="20" t="inlineStr">
        <is>
          <t>Date</t>
        </is>
      </c>
      <c r="D4" s="20" t="inlineStr">
        <is>
          <t>Unit ID</t>
        </is>
      </c>
      <c r="E4" s="20" t="inlineStr">
        <is>
          <t>Category</t>
        </is>
      </c>
      <c r="F4" s="20" t="inlineStr">
        <is>
          <t>Description</t>
        </is>
      </c>
      <c r="G4" s="20" t="inlineStr">
        <is>
          <t>Vendor/Technician</t>
        </is>
      </c>
      <c r="H4" s="20" t="inlineStr">
        <is>
          <t>Estimated Cost</t>
        </is>
      </c>
      <c r="I4" s="20" t="inlineStr">
        <is>
          <t>Actual Cost</t>
        </is>
      </c>
      <c r="J4" s="20" t="inlineStr">
        <is>
          <t>Status</t>
        </is>
      </c>
      <c r="K4" s="20" t="inlineStr">
        <is>
          <t>Priority</t>
        </is>
      </c>
      <c r="L4" s="20" t="inlineStr">
        <is>
          <t>Completion Date</t>
        </is>
      </c>
      <c r="M4" s="20" t="inlineStr">
        <is>
          <t>Notes</t>
        </is>
      </c>
    </row>
    <row r="5" ht="22" customHeight="1">
      <c r="B5" s="21" t="n"/>
      <c r="C5" s="24" t="n"/>
      <c r="D5" s="21" t="n"/>
      <c r="E5" s="21" t="n"/>
      <c r="F5" s="21" t="n"/>
      <c r="G5" s="21" t="n"/>
      <c r="H5" s="23" t="n"/>
      <c r="I5" s="23" t="n"/>
      <c r="J5" s="21" t="n"/>
      <c r="K5" s="21" t="n"/>
      <c r="L5" s="21" t="n"/>
      <c r="M5" s="24" t="n"/>
    </row>
    <row r="6" ht="22" customHeight="1">
      <c r="B6" s="25" t="n"/>
      <c r="C6" s="28" t="n"/>
      <c r="D6" s="25" t="n"/>
      <c r="E6" s="25" t="n"/>
      <c r="F6" s="25" t="n"/>
      <c r="G6" s="25" t="n"/>
      <c r="H6" s="27" t="n"/>
      <c r="I6" s="27" t="n"/>
      <c r="J6" s="25" t="n"/>
      <c r="K6" s="25" t="n"/>
      <c r="L6" s="25" t="n"/>
      <c r="M6" s="28" t="n"/>
    </row>
    <row r="7" ht="22" customHeight="1">
      <c r="B7" s="21" t="n"/>
      <c r="C7" s="24" t="n"/>
      <c r="D7" s="21" t="n"/>
      <c r="E7" s="21" t="n"/>
      <c r="F7" s="21" t="n"/>
      <c r="G7" s="21" t="n"/>
      <c r="H7" s="23" t="n"/>
      <c r="I7" s="23" t="n"/>
      <c r="J7" s="21" t="n"/>
      <c r="K7" s="21" t="n"/>
      <c r="L7" s="21" t="n"/>
      <c r="M7" s="24" t="n"/>
    </row>
    <row r="8" ht="22" customHeight="1">
      <c r="B8" s="25" t="n"/>
      <c r="C8" s="28" t="n"/>
      <c r="D8" s="25" t="n"/>
      <c r="E8" s="25" t="n"/>
      <c r="F8" s="25" t="n"/>
      <c r="G8" s="25" t="n"/>
      <c r="H8" s="27" t="n"/>
      <c r="I8" s="27" t="n"/>
      <c r="J8" s="25" t="n"/>
      <c r="K8" s="25" t="n"/>
      <c r="L8" s="25" t="n"/>
      <c r="M8" s="28" t="n"/>
    </row>
    <row r="9" ht="22" customHeight="1">
      <c r="B9" s="21" t="n"/>
      <c r="C9" s="24" t="n"/>
      <c r="D9" s="21" t="n"/>
      <c r="E9" s="21" t="n"/>
      <c r="F9" s="21" t="n"/>
      <c r="G9" s="21" t="n"/>
      <c r="H9" s="23" t="n"/>
      <c r="I9" s="23" t="n"/>
      <c r="J9" s="21" t="n"/>
      <c r="K9" s="21" t="n"/>
      <c r="L9" s="21" t="n"/>
      <c r="M9" s="24" t="n"/>
    </row>
    <row r="10" ht="22" customHeight="1">
      <c r="B10" s="25" t="n"/>
      <c r="C10" s="28" t="n"/>
      <c r="D10" s="25" t="n"/>
      <c r="E10" s="25" t="n"/>
      <c r="F10" s="25" t="n"/>
      <c r="G10" s="25" t="n"/>
      <c r="H10" s="27" t="n"/>
      <c r="I10" s="27" t="n"/>
      <c r="J10" s="25" t="n"/>
      <c r="K10" s="25" t="n"/>
      <c r="L10" s="25" t="n"/>
      <c r="M10" s="28" t="n"/>
    </row>
    <row r="11" ht="22" customHeight="1">
      <c r="B11" s="21" t="n"/>
      <c r="C11" s="24" t="n"/>
      <c r="D11" s="21" t="n"/>
      <c r="E11" s="21" t="n"/>
      <c r="F11" s="21" t="n"/>
      <c r="G11" s="21" t="n"/>
      <c r="H11" s="23" t="n"/>
      <c r="I11" s="23" t="n"/>
      <c r="J11" s="21" t="n"/>
      <c r="K11" s="21" t="n"/>
      <c r="L11" s="21" t="n"/>
      <c r="M11" s="24" t="n"/>
    </row>
    <row r="12" ht="22" customHeight="1">
      <c r="B12" s="25" t="n"/>
      <c r="C12" s="28" t="n"/>
      <c r="D12" s="25" t="n"/>
      <c r="E12" s="25" t="n"/>
      <c r="F12" s="25" t="n"/>
      <c r="G12" s="25" t="n"/>
      <c r="H12" s="27" t="n"/>
      <c r="I12" s="27" t="n"/>
      <c r="J12" s="25" t="n"/>
      <c r="K12" s="25" t="n"/>
      <c r="L12" s="25" t="n"/>
      <c r="M12" s="28" t="n"/>
    </row>
    <row r="13" ht="22" customHeight="1">
      <c r="B13" s="21" t="n"/>
      <c r="C13" s="24" t="n"/>
      <c r="D13" s="21" t="n"/>
      <c r="E13" s="21" t="n"/>
      <c r="F13" s="21" t="n"/>
      <c r="G13" s="21" t="n"/>
      <c r="H13" s="23" t="n"/>
      <c r="I13" s="23" t="n"/>
      <c r="J13" s="21" t="n"/>
      <c r="K13" s="21" t="n"/>
      <c r="L13" s="21" t="n"/>
      <c r="M13" s="24" t="n"/>
    </row>
    <row r="14" ht="22" customHeight="1">
      <c r="B14" s="25" t="n"/>
      <c r="C14" s="28" t="n"/>
      <c r="D14" s="25" t="n"/>
      <c r="E14" s="25" t="n"/>
      <c r="F14" s="25" t="n"/>
      <c r="G14" s="25" t="n"/>
      <c r="H14" s="27" t="n"/>
      <c r="I14" s="27" t="n"/>
      <c r="J14" s="25" t="n"/>
      <c r="K14" s="25" t="n"/>
      <c r="L14" s="25" t="n"/>
      <c r="M14" s="28" t="n"/>
    </row>
    <row r="15" ht="22" customHeight="1">
      <c r="B15" s="21" t="n"/>
      <c r="C15" s="24" t="n"/>
      <c r="D15" s="21" t="n"/>
      <c r="E15" s="21" t="n"/>
      <c r="F15" s="21" t="n"/>
      <c r="G15" s="21" t="n"/>
      <c r="H15" s="23" t="n"/>
      <c r="I15" s="23" t="n"/>
      <c r="J15" s="21" t="n"/>
      <c r="K15" s="21" t="n"/>
      <c r="L15" s="21" t="n"/>
      <c r="M15" s="24" t="n"/>
    </row>
    <row r="16" ht="22" customHeight="1">
      <c r="B16" s="25" t="n"/>
      <c r="C16" s="28" t="n"/>
      <c r="D16" s="25" t="n"/>
      <c r="E16" s="25" t="n"/>
      <c r="F16" s="25" t="n"/>
      <c r="G16" s="25" t="n"/>
      <c r="H16" s="27" t="n"/>
      <c r="I16" s="27" t="n"/>
      <c r="J16" s="25" t="n"/>
      <c r="K16" s="25" t="n"/>
      <c r="L16" s="25" t="n"/>
      <c r="M16" s="28" t="n"/>
    </row>
    <row r="17" ht="22" customHeight="1">
      <c r="B17" s="21" t="n"/>
      <c r="C17" s="24" t="n"/>
      <c r="D17" s="21" t="n"/>
      <c r="E17" s="21" t="n"/>
      <c r="F17" s="21" t="n"/>
      <c r="G17" s="21" t="n"/>
      <c r="H17" s="23" t="n"/>
      <c r="I17" s="23" t="n"/>
      <c r="J17" s="21" t="n"/>
      <c r="K17" s="21" t="n"/>
      <c r="L17" s="21" t="n"/>
      <c r="M17" s="24" t="n"/>
    </row>
    <row r="18" ht="22" customHeight="1">
      <c r="B18" s="25" t="n"/>
      <c r="C18" s="28" t="n"/>
      <c r="D18" s="25" t="n"/>
      <c r="E18" s="25" t="n"/>
      <c r="F18" s="25" t="n"/>
      <c r="G18" s="25" t="n"/>
      <c r="H18" s="27" t="n"/>
      <c r="I18" s="27" t="n"/>
      <c r="J18" s="25" t="n"/>
      <c r="K18" s="25" t="n"/>
      <c r="L18" s="25" t="n"/>
      <c r="M18" s="28" t="n"/>
    </row>
    <row r="19" ht="22" customHeight="1">
      <c r="B19" s="21" t="n"/>
      <c r="C19" s="24" t="n"/>
      <c r="D19" s="21" t="n"/>
      <c r="E19" s="21" t="n"/>
      <c r="F19" s="21" t="n"/>
      <c r="G19" s="21" t="n"/>
      <c r="H19" s="23" t="n"/>
      <c r="I19" s="23" t="n"/>
      <c r="J19" s="21" t="n"/>
      <c r="K19" s="21" t="n"/>
      <c r="L19" s="21" t="n"/>
      <c r="M19" s="24" t="n"/>
    </row>
    <row r="20" ht="22" customHeight="1">
      <c r="B20" s="25" t="n"/>
      <c r="C20" s="28" t="n"/>
      <c r="D20" s="25" t="n"/>
      <c r="E20" s="25" t="n"/>
      <c r="F20" s="25" t="n"/>
      <c r="G20" s="25" t="n"/>
      <c r="H20" s="27" t="n"/>
      <c r="I20" s="27" t="n"/>
      <c r="J20" s="25" t="n"/>
      <c r="K20" s="25" t="n"/>
      <c r="L20" s="25" t="n"/>
      <c r="M20" s="28" t="n"/>
    </row>
    <row r="21" ht="22" customHeight="1">
      <c r="B21" s="21" t="n"/>
      <c r="C21" s="24" t="n"/>
      <c r="D21" s="21" t="n"/>
      <c r="E21" s="21" t="n"/>
      <c r="F21" s="21" t="n"/>
      <c r="G21" s="21" t="n"/>
      <c r="H21" s="23" t="n"/>
      <c r="I21" s="23" t="n"/>
      <c r="J21" s="21" t="n"/>
      <c r="K21" s="21" t="n"/>
      <c r="L21" s="21" t="n"/>
      <c r="M21" s="24" t="n"/>
    </row>
    <row r="22" ht="22" customHeight="1">
      <c r="B22" s="25" t="n"/>
      <c r="C22" s="28" t="n"/>
      <c r="D22" s="25" t="n"/>
      <c r="E22" s="25" t="n"/>
      <c r="F22" s="25" t="n"/>
      <c r="G22" s="25" t="n"/>
      <c r="H22" s="27" t="n"/>
      <c r="I22" s="27" t="n"/>
      <c r="J22" s="25" t="n"/>
      <c r="K22" s="25" t="n"/>
      <c r="L22" s="25" t="n"/>
      <c r="M22" s="28" t="n"/>
    </row>
    <row r="23" ht="22" customHeight="1">
      <c r="B23" s="21" t="n"/>
      <c r="C23" s="24" t="n"/>
      <c r="D23" s="21" t="n"/>
      <c r="E23" s="21" t="n"/>
      <c r="F23" s="21" t="n"/>
      <c r="G23" s="21" t="n"/>
      <c r="H23" s="23" t="n"/>
      <c r="I23" s="23" t="n"/>
      <c r="J23" s="21" t="n"/>
      <c r="K23" s="21" t="n"/>
      <c r="L23" s="21" t="n"/>
      <c r="M23" s="24" t="n"/>
    </row>
    <row r="24" ht="22" customHeight="1">
      <c r="B24" s="25" t="n"/>
      <c r="C24" s="28" t="n"/>
      <c r="D24" s="25" t="n"/>
      <c r="E24" s="25" t="n"/>
      <c r="F24" s="25" t="n"/>
      <c r="G24" s="25" t="n"/>
      <c r="H24" s="27" t="n"/>
      <c r="I24" s="27" t="n"/>
      <c r="J24" s="25" t="n"/>
      <c r="K24" s="25" t="n"/>
      <c r="L24" s="25" t="n"/>
      <c r="M24" s="28" t="n"/>
    </row>
    <row r="25" ht="22" customHeight="1">
      <c r="B25" s="21" t="n"/>
      <c r="C25" s="24" t="n"/>
      <c r="D25" s="21" t="n"/>
      <c r="E25" s="21" t="n"/>
      <c r="F25" s="21" t="n"/>
      <c r="G25" s="21" t="n"/>
      <c r="H25" s="23" t="n"/>
      <c r="I25" s="23" t="n"/>
      <c r="J25" s="21" t="n"/>
      <c r="K25" s="21" t="n"/>
      <c r="L25" s="21" t="n"/>
      <c r="M25" s="24" t="n"/>
    </row>
    <row r="26" ht="22" customHeight="1">
      <c r="B26" s="25" t="n"/>
      <c r="C26" s="28" t="n"/>
      <c r="D26" s="25" t="n"/>
      <c r="E26" s="25" t="n"/>
      <c r="F26" s="25" t="n"/>
      <c r="G26" s="25" t="n"/>
      <c r="H26" s="27" t="n"/>
      <c r="I26" s="27" t="n"/>
      <c r="J26" s="25" t="n"/>
      <c r="K26" s="25" t="n"/>
      <c r="L26" s="25" t="n"/>
      <c r="M26" s="28" t="n"/>
    </row>
    <row r="27" ht="22" customHeight="1">
      <c r="B27" s="21" t="n"/>
      <c r="C27" s="24" t="n"/>
      <c r="D27" s="21" t="n"/>
      <c r="E27" s="21" t="n"/>
      <c r="F27" s="21" t="n"/>
      <c r="G27" s="21" t="n"/>
      <c r="H27" s="23" t="n"/>
      <c r="I27" s="23" t="n"/>
      <c r="J27" s="21" t="n"/>
      <c r="K27" s="21" t="n"/>
      <c r="L27" s="21" t="n"/>
      <c r="M27" s="24" t="n"/>
    </row>
    <row r="28" ht="22" customHeight="1">
      <c r="B28" s="25" t="n"/>
      <c r="C28" s="28" t="n"/>
      <c r="D28" s="25" t="n"/>
      <c r="E28" s="25" t="n"/>
      <c r="F28" s="25" t="n"/>
      <c r="G28" s="25" t="n"/>
      <c r="H28" s="27" t="n"/>
      <c r="I28" s="27" t="n"/>
      <c r="J28" s="25" t="n"/>
      <c r="K28" s="25" t="n"/>
      <c r="L28" s="25" t="n"/>
      <c r="M28" s="28" t="n"/>
    </row>
    <row r="29" ht="22" customHeight="1">
      <c r="B29" s="21" t="n"/>
      <c r="C29" s="24" t="n"/>
      <c r="D29" s="21" t="n"/>
      <c r="E29" s="21" t="n"/>
      <c r="F29" s="21" t="n"/>
      <c r="G29" s="21" t="n"/>
      <c r="H29" s="23" t="n"/>
      <c r="I29" s="23" t="n"/>
      <c r="J29" s="21" t="n"/>
      <c r="K29" s="21" t="n"/>
      <c r="L29" s="21" t="n"/>
      <c r="M29" s="24" t="n"/>
    </row>
    <row r="30" ht="22" customHeight="1">
      <c r="B30" s="25" t="n"/>
      <c r="C30" s="28" t="n"/>
      <c r="D30" s="25" t="n"/>
      <c r="E30" s="25" t="n"/>
      <c r="F30" s="25" t="n"/>
      <c r="G30" s="25" t="n"/>
      <c r="H30" s="27" t="n"/>
      <c r="I30" s="27" t="n"/>
      <c r="J30" s="25" t="n"/>
      <c r="K30" s="25" t="n"/>
      <c r="L30" s="25" t="n"/>
      <c r="M30" s="28" t="n"/>
    </row>
    <row r="31" ht="22" customHeight="1">
      <c r="B31" s="21" t="n"/>
      <c r="C31" s="24" t="n"/>
      <c r="D31" s="21" t="n"/>
      <c r="E31" s="21" t="n"/>
      <c r="F31" s="21" t="n"/>
      <c r="G31" s="21" t="n"/>
      <c r="H31" s="23" t="n"/>
      <c r="I31" s="23" t="n"/>
      <c r="J31" s="21" t="n"/>
      <c r="K31" s="21" t="n"/>
      <c r="L31" s="21" t="n"/>
      <c r="M31" s="24" t="n"/>
    </row>
    <row r="32" ht="22" customHeight="1">
      <c r="B32" s="25" t="n"/>
      <c r="C32" s="28" t="n"/>
      <c r="D32" s="25" t="n"/>
      <c r="E32" s="25" t="n"/>
      <c r="F32" s="25" t="n"/>
      <c r="G32" s="25" t="n"/>
      <c r="H32" s="27" t="n"/>
      <c r="I32" s="27" t="n"/>
      <c r="J32" s="25" t="n"/>
      <c r="K32" s="25" t="n"/>
      <c r="L32" s="25" t="n"/>
      <c r="M32" s="28" t="n"/>
    </row>
    <row r="33" ht="22" customHeight="1">
      <c r="B33" s="21" t="n"/>
      <c r="C33" s="24" t="n"/>
      <c r="D33" s="21" t="n"/>
      <c r="E33" s="21" t="n"/>
      <c r="F33" s="21" t="n"/>
      <c r="G33" s="21" t="n"/>
      <c r="H33" s="23" t="n"/>
      <c r="I33" s="23" t="n"/>
      <c r="J33" s="21" t="n"/>
      <c r="K33" s="21" t="n"/>
      <c r="L33" s="21" t="n"/>
      <c r="M33" s="24" t="n"/>
    </row>
    <row r="34" ht="22" customHeight="1">
      <c r="B34" s="25" t="n"/>
      <c r="C34" s="28" t="n"/>
      <c r="D34" s="25" t="n"/>
      <c r="E34" s="25" t="n"/>
      <c r="F34" s="25" t="n"/>
      <c r="G34" s="25" t="n"/>
      <c r="H34" s="27" t="n"/>
      <c r="I34" s="27" t="n"/>
      <c r="J34" s="25" t="n"/>
      <c r="K34" s="25" t="n"/>
      <c r="L34" s="25" t="n"/>
      <c r="M34" s="28" t="n"/>
    </row>
    <row r="35" ht="22" customHeight="1">
      <c r="B35" s="21" t="n"/>
      <c r="C35" s="24" t="n"/>
      <c r="D35" s="21" t="n"/>
      <c r="E35" s="21" t="n"/>
      <c r="F35" s="21" t="n"/>
      <c r="G35" s="21" t="n"/>
      <c r="H35" s="23" t="n"/>
      <c r="I35" s="23" t="n"/>
      <c r="J35" s="21" t="n"/>
      <c r="K35" s="21" t="n"/>
      <c r="L35" s="21" t="n"/>
      <c r="M35" s="24" t="n"/>
    </row>
    <row r="36" ht="22" customHeight="1">
      <c r="B36" s="25" t="n"/>
      <c r="C36" s="28" t="n"/>
      <c r="D36" s="25" t="n"/>
      <c r="E36" s="25" t="n"/>
      <c r="F36" s="25" t="n"/>
      <c r="G36" s="25" t="n"/>
      <c r="H36" s="27" t="n"/>
      <c r="I36" s="27" t="n"/>
      <c r="J36" s="25" t="n"/>
      <c r="K36" s="25" t="n"/>
      <c r="L36" s="25" t="n"/>
      <c r="M36" s="28" t="n"/>
    </row>
    <row r="37" ht="22" customHeight="1">
      <c r="B37" s="21" t="n"/>
      <c r="C37" s="24" t="n"/>
      <c r="D37" s="21" t="n"/>
      <c r="E37" s="21" t="n"/>
      <c r="F37" s="21" t="n"/>
      <c r="G37" s="21" t="n"/>
      <c r="H37" s="23" t="n"/>
      <c r="I37" s="23" t="n"/>
      <c r="J37" s="21" t="n"/>
      <c r="K37" s="21" t="n"/>
      <c r="L37" s="21" t="n"/>
      <c r="M37" s="24" t="n"/>
    </row>
    <row r="38" ht="22" customHeight="1">
      <c r="B38" s="25" t="n"/>
      <c r="C38" s="28" t="n"/>
      <c r="D38" s="25" t="n"/>
      <c r="E38" s="25" t="n"/>
      <c r="F38" s="25" t="n"/>
      <c r="G38" s="25" t="n"/>
      <c r="H38" s="27" t="n"/>
      <c r="I38" s="27" t="n"/>
      <c r="J38" s="25" t="n"/>
      <c r="K38" s="25" t="n"/>
      <c r="L38" s="25" t="n"/>
      <c r="M38" s="28" t="n"/>
    </row>
    <row r="39" ht="22" customHeight="1">
      <c r="B39" s="21" t="n"/>
      <c r="C39" s="24" t="n"/>
      <c r="D39" s="21" t="n"/>
      <c r="E39" s="21" t="n"/>
      <c r="F39" s="21" t="n"/>
      <c r="G39" s="21" t="n"/>
      <c r="H39" s="23" t="n"/>
      <c r="I39" s="23" t="n"/>
      <c r="J39" s="21" t="n"/>
      <c r="K39" s="21" t="n"/>
      <c r="L39" s="21" t="n"/>
      <c r="M39" s="24" t="n"/>
    </row>
    <row r="40" ht="22" customHeight="1">
      <c r="B40" s="25" t="n"/>
      <c r="C40" s="28" t="n"/>
      <c r="D40" s="25" t="n"/>
      <c r="E40" s="25" t="n"/>
      <c r="F40" s="25" t="n"/>
      <c r="G40" s="25" t="n"/>
      <c r="H40" s="27" t="n"/>
      <c r="I40" s="27" t="n"/>
      <c r="J40" s="25" t="n"/>
      <c r="K40" s="25" t="n"/>
      <c r="L40" s="25" t="n"/>
      <c r="M40" s="28" t="n"/>
    </row>
    <row r="41" ht="22" customHeight="1">
      <c r="B41" s="21" t="n"/>
      <c r="C41" s="24" t="n"/>
      <c r="D41" s="21" t="n"/>
      <c r="E41" s="21" t="n"/>
      <c r="F41" s="21" t="n"/>
      <c r="G41" s="21" t="n"/>
      <c r="H41" s="23" t="n"/>
      <c r="I41" s="23" t="n"/>
      <c r="J41" s="21" t="n"/>
      <c r="K41" s="21" t="n"/>
      <c r="L41" s="21" t="n"/>
      <c r="M41" s="24" t="n"/>
    </row>
    <row r="42" ht="22" customHeight="1">
      <c r="B42" s="25" t="n"/>
      <c r="C42" s="28" t="n"/>
      <c r="D42" s="25" t="n"/>
      <c r="E42" s="25" t="n"/>
      <c r="F42" s="25" t="n"/>
      <c r="G42" s="25" t="n"/>
      <c r="H42" s="27" t="n"/>
      <c r="I42" s="27" t="n"/>
      <c r="J42" s="25" t="n"/>
      <c r="K42" s="25" t="n"/>
      <c r="L42" s="25" t="n"/>
      <c r="M42" s="28" t="n"/>
    </row>
    <row r="43" ht="22" customHeight="1">
      <c r="B43" s="21" t="n"/>
      <c r="C43" s="24" t="n"/>
      <c r="D43" s="21" t="n"/>
      <c r="E43" s="21" t="n"/>
      <c r="F43" s="21" t="n"/>
      <c r="G43" s="21" t="n"/>
      <c r="H43" s="23" t="n"/>
      <c r="I43" s="23" t="n"/>
      <c r="J43" s="21" t="n"/>
      <c r="K43" s="21" t="n"/>
      <c r="L43" s="21" t="n"/>
      <c r="M43" s="24" t="n"/>
    </row>
    <row r="44" ht="22" customHeight="1">
      <c r="B44" s="25" t="n"/>
      <c r="C44" s="28" t="n"/>
      <c r="D44" s="25" t="n"/>
      <c r="E44" s="25" t="n"/>
      <c r="F44" s="25" t="n"/>
      <c r="G44" s="25" t="n"/>
      <c r="H44" s="27" t="n"/>
      <c r="I44" s="27" t="n"/>
      <c r="J44" s="25" t="n"/>
      <c r="K44" s="25" t="n"/>
      <c r="L44" s="25" t="n"/>
      <c r="M44" s="28" t="n"/>
    </row>
    <row r="45" ht="22" customHeight="1">
      <c r="B45" s="21" t="n"/>
      <c r="C45" s="24" t="n"/>
      <c r="D45" s="21" t="n"/>
      <c r="E45" s="21" t="n"/>
      <c r="F45" s="21" t="n"/>
      <c r="G45" s="21" t="n"/>
      <c r="H45" s="23" t="n"/>
      <c r="I45" s="23" t="n"/>
      <c r="J45" s="21" t="n"/>
      <c r="K45" s="21" t="n"/>
      <c r="L45" s="21" t="n"/>
      <c r="M45" s="24" t="n"/>
    </row>
    <row r="46" ht="22" customHeight="1">
      <c r="B46" s="25" t="n"/>
      <c r="C46" s="28" t="n"/>
      <c r="D46" s="25" t="n"/>
      <c r="E46" s="25" t="n"/>
      <c r="F46" s="25" t="n"/>
      <c r="G46" s="25" t="n"/>
      <c r="H46" s="27" t="n"/>
      <c r="I46" s="27" t="n"/>
      <c r="J46" s="25" t="n"/>
      <c r="K46" s="25" t="n"/>
      <c r="L46" s="25" t="n"/>
      <c r="M46" s="28" t="n"/>
    </row>
    <row r="47" ht="22" customHeight="1">
      <c r="B47" s="21" t="n"/>
      <c r="C47" s="24" t="n"/>
      <c r="D47" s="21" t="n"/>
      <c r="E47" s="21" t="n"/>
      <c r="F47" s="21" t="n"/>
      <c r="G47" s="21" t="n"/>
      <c r="H47" s="23" t="n"/>
      <c r="I47" s="23" t="n"/>
      <c r="J47" s="21" t="n"/>
      <c r="K47" s="21" t="n"/>
      <c r="L47" s="21" t="n"/>
      <c r="M47" s="24" t="n"/>
    </row>
    <row r="48" ht="22" customHeight="1">
      <c r="B48" s="25" t="n"/>
      <c r="C48" s="28" t="n"/>
      <c r="D48" s="25" t="n"/>
      <c r="E48" s="25" t="n"/>
      <c r="F48" s="25" t="n"/>
      <c r="G48" s="25" t="n"/>
      <c r="H48" s="27" t="n"/>
      <c r="I48" s="27" t="n"/>
      <c r="J48" s="25" t="n"/>
      <c r="K48" s="25" t="n"/>
      <c r="L48" s="25" t="n"/>
      <c r="M48" s="28" t="n"/>
    </row>
    <row r="49" ht="22" customHeight="1">
      <c r="B49" s="21" t="n"/>
      <c r="C49" s="24" t="n"/>
      <c r="D49" s="21" t="n"/>
      <c r="E49" s="21" t="n"/>
      <c r="F49" s="21" t="n"/>
      <c r="G49" s="21" t="n"/>
      <c r="H49" s="23" t="n"/>
      <c r="I49" s="23" t="n"/>
      <c r="J49" s="21" t="n"/>
      <c r="K49" s="21" t="n"/>
      <c r="L49" s="21" t="n"/>
      <c r="M49" s="24" t="n"/>
    </row>
    <row r="50" ht="22" customHeight="1">
      <c r="B50" s="25" t="n"/>
      <c r="C50" s="28" t="n"/>
      <c r="D50" s="25" t="n"/>
      <c r="E50" s="25" t="n"/>
      <c r="F50" s="25" t="n"/>
      <c r="G50" s="25" t="n"/>
      <c r="H50" s="27" t="n"/>
      <c r="I50" s="27" t="n"/>
      <c r="J50" s="25" t="n"/>
      <c r="K50" s="25" t="n"/>
      <c r="L50" s="25" t="n"/>
      <c r="M50" s="28" t="n"/>
    </row>
    <row r="51" ht="22" customHeight="1">
      <c r="B51" s="21" t="n"/>
      <c r="C51" s="24" t="n"/>
      <c r="D51" s="21" t="n"/>
      <c r="E51" s="21" t="n"/>
      <c r="F51" s="21" t="n"/>
      <c r="G51" s="21" t="n"/>
      <c r="H51" s="23" t="n"/>
      <c r="I51" s="23" t="n"/>
      <c r="J51" s="21" t="n"/>
      <c r="K51" s="21" t="n"/>
      <c r="L51" s="21" t="n"/>
      <c r="M51" s="24" t="n"/>
    </row>
    <row r="52" ht="22" customHeight="1">
      <c r="B52" s="25" t="n"/>
      <c r="C52" s="28" t="n"/>
      <c r="D52" s="25" t="n"/>
      <c r="E52" s="25" t="n"/>
      <c r="F52" s="25" t="n"/>
      <c r="G52" s="25" t="n"/>
      <c r="H52" s="27" t="n"/>
      <c r="I52" s="27" t="n"/>
      <c r="J52" s="25" t="n"/>
      <c r="K52" s="25" t="n"/>
      <c r="L52" s="25" t="n"/>
      <c r="M52" s="28" t="n"/>
    </row>
    <row r="53" ht="22" customHeight="1">
      <c r="B53" s="21" t="n"/>
      <c r="C53" s="24" t="n"/>
      <c r="D53" s="21" t="n"/>
      <c r="E53" s="21" t="n"/>
      <c r="F53" s="21" t="n"/>
      <c r="G53" s="21" t="n"/>
      <c r="H53" s="23" t="n"/>
      <c r="I53" s="23" t="n"/>
      <c r="J53" s="21" t="n"/>
      <c r="K53" s="21" t="n"/>
      <c r="L53" s="21" t="n"/>
      <c r="M53" s="24" t="n"/>
    </row>
    <row r="54" ht="22" customHeight="1">
      <c r="B54" s="25" t="n"/>
      <c r="C54" s="28" t="n"/>
      <c r="D54" s="25" t="n"/>
      <c r="E54" s="25" t="n"/>
      <c r="F54" s="25" t="n"/>
      <c r="G54" s="25" t="n"/>
      <c r="H54" s="27" t="n"/>
      <c r="I54" s="27" t="n"/>
      <c r="J54" s="25" t="n"/>
      <c r="K54" s="25" t="n"/>
      <c r="L54" s="25" t="n"/>
      <c r="M54" s="28" t="n"/>
    </row>
    <row r="55" ht="22" customHeight="1">
      <c r="B55" s="21" t="n"/>
      <c r="C55" s="24" t="n"/>
      <c r="D55" s="21" t="n"/>
      <c r="E55" s="21" t="n"/>
      <c r="F55" s="21" t="n"/>
      <c r="G55" s="21" t="n"/>
      <c r="H55" s="23" t="n"/>
      <c r="I55" s="23" t="n"/>
      <c r="J55" s="21" t="n"/>
      <c r="K55" s="21" t="n"/>
      <c r="L55" s="21" t="n"/>
      <c r="M55" s="24" t="n"/>
    </row>
    <row r="56" ht="22" customHeight="1">
      <c r="B56" s="25" t="n"/>
      <c r="C56" s="28" t="n"/>
      <c r="D56" s="25" t="n"/>
      <c r="E56" s="25" t="n"/>
      <c r="F56" s="25" t="n"/>
      <c r="G56" s="25" t="n"/>
      <c r="H56" s="27" t="n"/>
      <c r="I56" s="27" t="n"/>
      <c r="J56" s="25" t="n"/>
      <c r="K56" s="25" t="n"/>
      <c r="L56" s="25" t="n"/>
      <c r="M56" s="28" t="n"/>
    </row>
    <row r="57" ht="22" customHeight="1">
      <c r="B57" s="21" t="n"/>
      <c r="C57" s="24" t="n"/>
      <c r="D57" s="21" t="n"/>
      <c r="E57" s="21" t="n"/>
      <c r="F57" s="21" t="n"/>
      <c r="G57" s="21" t="n"/>
      <c r="H57" s="23" t="n"/>
      <c r="I57" s="23" t="n"/>
      <c r="J57" s="21" t="n"/>
      <c r="K57" s="21" t="n"/>
      <c r="L57" s="21" t="n"/>
      <c r="M57" s="24" t="n"/>
    </row>
    <row r="58" ht="22" customHeight="1">
      <c r="B58" s="25" t="n"/>
      <c r="C58" s="28" t="n"/>
      <c r="D58" s="25" t="n"/>
      <c r="E58" s="25" t="n"/>
      <c r="F58" s="25" t="n"/>
      <c r="G58" s="25" t="n"/>
      <c r="H58" s="27" t="n"/>
      <c r="I58" s="27" t="n"/>
      <c r="J58" s="25" t="n"/>
      <c r="K58" s="25" t="n"/>
      <c r="L58" s="25" t="n"/>
      <c r="M58" s="28" t="n"/>
    </row>
    <row r="59" ht="22" customHeight="1">
      <c r="B59" s="21" t="n"/>
      <c r="C59" s="24" t="n"/>
      <c r="D59" s="21" t="n"/>
      <c r="E59" s="21" t="n"/>
      <c r="F59" s="21" t="n"/>
      <c r="G59" s="21" t="n"/>
      <c r="H59" s="23" t="n"/>
      <c r="I59" s="23" t="n"/>
      <c r="J59" s="21" t="n"/>
      <c r="K59" s="21" t="n"/>
      <c r="L59" s="21" t="n"/>
      <c r="M59" s="24" t="n"/>
    </row>
    <row r="60" ht="22" customHeight="1">
      <c r="B60" s="25" t="n"/>
      <c r="C60" s="28" t="n"/>
      <c r="D60" s="25" t="n"/>
      <c r="E60" s="25" t="n"/>
      <c r="F60" s="25" t="n"/>
      <c r="G60" s="25" t="n"/>
      <c r="H60" s="27" t="n"/>
      <c r="I60" s="27" t="n"/>
      <c r="J60" s="25" t="n"/>
      <c r="K60" s="25" t="n"/>
      <c r="L60" s="25" t="n"/>
      <c r="M60" s="28" t="n"/>
    </row>
    <row r="61" ht="22" customHeight="1">
      <c r="B61" s="21" t="n"/>
      <c r="C61" s="24" t="n"/>
      <c r="D61" s="21" t="n"/>
      <c r="E61" s="21" t="n"/>
      <c r="F61" s="21" t="n"/>
      <c r="G61" s="21" t="n"/>
      <c r="H61" s="23" t="n"/>
      <c r="I61" s="23" t="n"/>
      <c r="J61" s="21" t="n"/>
      <c r="K61" s="21" t="n"/>
      <c r="L61" s="21" t="n"/>
      <c r="M61" s="24" t="n"/>
    </row>
    <row r="62" ht="22" customHeight="1">
      <c r="B62" s="25" t="n"/>
      <c r="C62" s="28" t="n"/>
      <c r="D62" s="25" t="n"/>
      <c r="E62" s="25" t="n"/>
      <c r="F62" s="25" t="n"/>
      <c r="G62" s="25" t="n"/>
      <c r="H62" s="27" t="n"/>
      <c r="I62" s="27" t="n"/>
      <c r="J62" s="25" t="n"/>
      <c r="K62" s="25" t="n"/>
      <c r="L62" s="25" t="n"/>
      <c r="M62" s="28" t="n"/>
    </row>
    <row r="63" ht="22" customHeight="1">
      <c r="B63" s="21" t="n"/>
      <c r="C63" s="24" t="n"/>
      <c r="D63" s="21" t="n"/>
      <c r="E63" s="21" t="n"/>
      <c r="F63" s="21" t="n"/>
      <c r="G63" s="21" t="n"/>
      <c r="H63" s="23" t="n"/>
      <c r="I63" s="23" t="n"/>
      <c r="J63" s="21" t="n"/>
      <c r="K63" s="21" t="n"/>
      <c r="L63" s="21" t="n"/>
      <c r="M63" s="24" t="n"/>
    </row>
    <row r="64" ht="22" customHeight="1">
      <c r="B64" s="25" t="n"/>
      <c r="C64" s="28" t="n"/>
      <c r="D64" s="25" t="n"/>
      <c r="E64" s="25" t="n"/>
      <c r="F64" s="25" t="n"/>
      <c r="G64" s="25" t="n"/>
      <c r="H64" s="27" t="n"/>
      <c r="I64" s="27" t="n"/>
      <c r="J64" s="25" t="n"/>
      <c r="K64" s="25" t="n"/>
      <c r="L64" s="25" t="n"/>
      <c r="M64" s="28" t="n"/>
    </row>
    <row r="65" ht="22" customHeight="1">
      <c r="B65" s="21" t="n"/>
      <c r="C65" s="24" t="n"/>
      <c r="D65" s="21" t="n"/>
      <c r="E65" s="21" t="n"/>
      <c r="F65" s="21" t="n"/>
      <c r="G65" s="21" t="n"/>
      <c r="H65" s="23" t="n"/>
      <c r="I65" s="23" t="n"/>
      <c r="J65" s="21" t="n"/>
      <c r="K65" s="21" t="n"/>
      <c r="L65" s="21" t="n"/>
      <c r="M65" s="24" t="n"/>
    </row>
    <row r="66" ht="22" customHeight="1">
      <c r="B66" s="25" t="n"/>
      <c r="C66" s="28" t="n"/>
      <c r="D66" s="25" t="n"/>
      <c r="E66" s="25" t="n"/>
      <c r="F66" s="25" t="n"/>
      <c r="G66" s="25" t="n"/>
      <c r="H66" s="27" t="n"/>
      <c r="I66" s="27" t="n"/>
      <c r="J66" s="25" t="n"/>
      <c r="K66" s="25" t="n"/>
      <c r="L66" s="25" t="n"/>
      <c r="M66" s="28" t="n"/>
    </row>
    <row r="67" ht="22" customHeight="1">
      <c r="B67" s="21" t="n"/>
      <c r="C67" s="24" t="n"/>
      <c r="D67" s="21" t="n"/>
      <c r="E67" s="21" t="n"/>
      <c r="F67" s="21" t="n"/>
      <c r="G67" s="21" t="n"/>
      <c r="H67" s="23" t="n"/>
      <c r="I67" s="23" t="n"/>
      <c r="J67" s="21" t="n"/>
      <c r="K67" s="21" t="n"/>
      <c r="L67" s="21" t="n"/>
      <c r="M67" s="24" t="n"/>
    </row>
    <row r="68" ht="22" customHeight="1">
      <c r="B68" s="25" t="n"/>
      <c r="C68" s="28" t="n"/>
      <c r="D68" s="25" t="n"/>
      <c r="E68" s="25" t="n"/>
      <c r="F68" s="25" t="n"/>
      <c r="G68" s="25" t="n"/>
      <c r="H68" s="27" t="n"/>
      <c r="I68" s="27" t="n"/>
      <c r="J68" s="25" t="n"/>
      <c r="K68" s="25" t="n"/>
      <c r="L68" s="25" t="n"/>
      <c r="M68" s="28" t="n"/>
    </row>
    <row r="69" ht="22" customHeight="1">
      <c r="B69" s="21" t="n"/>
      <c r="C69" s="24" t="n"/>
      <c r="D69" s="21" t="n"/>
      <c r="E69" s="21" t="n"/>
      <c r="F69" s="21" t="n"/>
      <c r="G69" s="21" t="n"/>
      <c r="H69" s="23" t="n"/>
      <c r="I69" s="23" t="n"/>
      <c r="J69" s="21" t="n"/>
      <c r="K69" s="21" t="n"/>
      <c r="L69" s="21" t="n"/>
      <c r="M69" s="24" t="n"/>
    </row>
    <row r="70" ht="22" customHeight="1">
      <c r="B70" s="25" t="n"/>
      <c r="C70" s="28" t="n"/>
      <c r="D70" s="25" t="n"/>
      <c r="E70" s="25" t="n"/>
      <c r="F70" s="25" t="n"/>
      <c r="G70" s="25" t="n"/>
      <c r="H70" s="27" t="n"/>
      <c r="I70" s="27" t="n"/>
      <c r="J70" s="25" t="n"/>
      <c r="K70" s="25" t="n"/>
      <c r="L70" s="25" t="n"/>
      <c r="M70" s="28" t="n"/>
    </row>
    <row r="71" ht="22" customHeight="1">
      <c r="B71" s="21" t="n"/>
      <c r="C71" s="24" t="n"/>
      <c r="D71" s="21" t="n"/>
      <c r="E71" s="21" t="n"/>
      <c r="F71" s="21" t="n"/>
      <c r="G71" s="21" t="n"/>
      <c r="H71" s="23" t="n"/>
      <c r="I71" s="23" t="n"/>
      <c r="J71" s="21" t="n"/>
      <c r="K71" s="21" t="n"/>
      <c r="L71" s="21" t="n"/>
      <c r="M71" s="24" t="n"/>
    </row>
    <row r="72" ht="22" customHeight="1">
      <c r="B72" s="25" t="n"/>
      <c r="C72" s="28" t="n"/>
      <c r="D72" s="25" t="n"/>
      <c r="E72" s="25" t="n"/>
      <c r="F72" s="25" t="n"/>
      <c r="G72" s="25" t="n"/>
      <c r="H72" s="27" t="n"/>
      <c r="I72" s="27" t="n"/>
      <c r="J72" s="25" t="n"/>
      <c r="K72" s="25" t="n"/>
      <c r="L72" s="25" t="n"/>
      <c r="M72" s="28" t="n"/>
    </row>
    <row r="73" ht="22" customHeight="1">
      <c r="B73" s="21" t="n"/>
      <c r="C73" s="24" t="n"/>
      <c r="D73" s="21" t="n"/>
      <c r="E73" s="21" t="n"/>
      <c r="F73" s="21" t="n"/>
      <c r="G73" s="21" t="n"/>
      <c r="H73" s="23" t="n"/>
      <c r="I73" s="23" t="n"/>
      <c r="J73" s="21" t="n"/>
      <c r="K73" s="21" t="n"/>
      <c r="L73" s="21" t="n"/>
      <c r="M73" s="24" t="n"/>
    </row>
    <row r="74" ht="22" customHeight="1">
      <c r="B74" s="25" t="n"/>
      <c r="C74" s="28" t="n"/>
      <c r="D74" s="25" t="n"/>
      <c r="E74" s="25" t="n"/>
      <c r="F74" s="25" t="n"/>
      <c r="G74" s="25" t="n"/>
      <c r="H74" s="27" t="n"/>
      <c r="I74" s="27" t="n"/>
      <c r="J74" s="25" t="n"/>
      <c r="K74" s="25" t="n"/>
      <c r="L74" s="25" t="n"/>
      <c r="M74" s="28" t="n"/>
    </row>
    <row r="75" ht="22" customHeight="1">
      <c r="B75" s="21" t="n"/>
      <c r="C75" s="24" t="n"/>
      <c r="D75" s="21" t="n"/>
      <c r="E75" s="21" t="n"/>
      <c r="F75" s="21" t="n"/>
      <c r="G75" s="21" t="n"/>
      <c r="H75" s="23" t="n"/>
      <c r="I75" s="23" t="n"/>
      <c r="J75" s="21" t="n"/>
      <c r="K75" s="21" t="n"/>
      <c r="L75" s="21" t="n"/>
      <c r="M75" s="24" t="n"/>
    </row>
    <row r="76" ht="22" customHeight="1">
      <c r="B76" s="25" t="n"/>
      <c r="C76" s="28" t="n"/>
      <c r="D76" s="25" t="n"/>
      <c r="E76" s="25" t="n"/>
      <c r="F76" s="25" t="n"/>
      <c r="G76" s="25" t="n"/>
      <c r="H76" s="27" t="n"/>
      <c r="I76" s="27" t="n"/>
      <c r="J76" s="25" t="n"/>
      <c r="K76" s="25" t="n"/>
      <c r="L76" s="25" t="n"/>
      <c r="M76" s="28" t="n"/>
    </row>
    <row r="77" ht="22" customHeight="1">
      <c r="B77" s="21" t="n"/>
      <c r="C77" s="24" t="n"/>
      <c r="D77" s="21" t="n"/>
      <c r="E77" s="21" t="n"/>
      <c r="F77" s="21" t="n"/>
      <c r="G77" s="21" t="n"/>
      <c r="H77" s="23" t="n"/>
      <c r="I77" s="23" t="n"/>
      <c r="J77" s="21" t="n"/>
      <c r="K77" s="21" t="n"/>
      <c r="L77" s="21" t="n"/>
      <c r="M77" s="24" t="n"/>
    </row>
    <row r="78" ht="22" customHeight="1">
      <c r="B78" s="25" t="n"/>
      <c r="C78" s="28" t="n"/>
      <c r="D78" s="25" t="n"/>
      <c r="E78" s="25" t="n"/>
      <c r="F78" s="25" t="n"/>
      <c r="G78" s="25" t="n"/>
      <c r="H78" s="27" t="n"/>
      <c r="I78" s="27" t="n"/>
      <c r="J78" s="25" t="n"/>
      <c r="K78" s="25" t="n"/>
      <c r="L78" s="25" t="n"/>
      <c r="M78" s="28" t="n"/>
    </row>
    <row r="79" ht="22" customHeight="1">
      <c r="B79" s="21" t="n"/>
      <c r="C79" s="24" t="n"/>
      <c r="D79" s="21" t="n"/>
      <c r="E79" s="21" t="n"/>
      <c r="F79" s="21" t="n"/>
      <c r="G79" s="21" t="n"/>
      <c r="H79" s="23" t="n"/>
      <c r="I79" s="23" t="n"/>
      <c r="J79" s="21" t="n"/>
      <c r="K79" s="21" t="n"/>
      <c r="L79" s="21" t="n"/>
      <c r="M79" s="24" t="n"/>
    </row>
    <row r="80" ht="22" customHeight="1">
      <c r="B80" s="25" t="n"/>
      <c r="C80" s="28" t="n"/>
      <c r="D80" s="25" t="n"/>
      <c r="E80" s="25" t="n"/>
      <c r="F80" s="25" t="n"/>
      <c r="G80" s="25" t="n"/>
      <c r="H80" s="27" t="n"/>
      <c r="I80" s="27" t="n"/>
      <c r="J80" s="25" t="n"/>
      <c r="K80" s="25" t="n"/>
      <c r="L80" s="25" t="n"/>
      <c r="M80" s="28" t="n"/>
    </row>
    <row r="81" ht="22" customHeight="1">
      <c r="B81" s="21" t="n"/>
      <c r="C81" s="24" t="n"/>
      <c r="D81" s="21" t="n"/>
      <c r="E81" s="21" t="n"/>
      <c r="F81" s="21" t="n"/>
      <c r="G81" s="21" t="n"/>
      <c r="H81" s="23" t="n"/>
      <c r="I81" s="23" t="n"/>
      <c r="J81" s="21" t="n"/>
      <c r="K81" s="21" t="n"/>
      <c r="L81" s="21" t="n"/>
      <c r="M81" s="24" t="n"/>
    </row>
    <row r="82" ht="22" customHeight="1">
      <c r="B82" s="25" t="n"/>
      <c r="C82" s="28" t="n"/>
      <c r="D82" s="25" t="n"/>
      <c r="E82" s="25" t="n"/>
      <c r="F82" s="25" t="n"/>
      <c r="G82" s="25" t="n"/>
      <c r="H82" s="27" t="n"/>
      <c r="I82" s="27" t="n"/>
      <c r="J82" s="25" t="n"/>
      <c r="K82" s="25" t="n"/>
      <c r="L82" s="25" t="n"/>
      <c r="M82" s="28" t="n"/>
    </row>
    <row r="83" ht="22" customHeight="1">
      <c r="B83" s="21" t="n"/>
      <c r="C83" s="24" t="n"/>
      <c r="D83" s="21" t="n"/>
      <c r="E83" s="21" t="n"/>
      <c r="F83" s="21" t="n"/>
      <c r="G83" s="21" t="n"/>
      <c r="H83" s="23" t="n"/>
      <c r="I83" s="23" t="n"/>
      <c r="J83" s="21" t="n"/>
      <c r="K83" s="21" t="n"/>
      <c r="L83" s="21" t="n"/>
      <c r="M83" s="24" t="n"/>
    </row>
    <row r="84" ht="22" customHeight="1">
      <c r="B84" s="25" t="n"/>
      <c r="C84" s="28" t="n"/>
      <c r="D84" s="25" t="n"/>
      <c r="E84" s="25" t="n"/>
      <c r="F84" s="25" t="n"/>
      <c r="G84" s="25" t="n"/>
      <c r="H84" s="27" t="n"/>
      <c r="I84" s="27" t="n"/>
      <c r="J84" s="25" t="n"/>
      <c r="K84" s="25" t="n"/>
      <c r="L84" s="25" t="n"/>
      <c r="M84" s="28" t="n"/>
    </row>
    <row r="85" ht="22" customHeight="1">
      <c r="B85" s="21" t="n"/>
      <c r="C85" s="24" t="n"/>
      <c r="D85" s="21" t="n"/>
      <c r="E85" s="21" t="n"/>
      <c r="F85" s="21" t="n"/>
      <c r="G85" s="21" t="n"/>
      <c r="H85" s="23" t="n"/>
      <c r="I85" s="23" t="n"/>
      <c r="J85" s="21" t="n"/>
      <c r="K85" s="21" t="n"/>
      <c r="L85" s="21" t="n"/>
      <c r="M85" s="24" t="n"/>
    </row>
    <row r="86" ht="22" customHeight="1">
      <c r="B86" s="25" t="n"/>
      <c r="C86" s="28" t="n"/>
      <c r="D86" s="25" t="n"/>
      <c r="E86" s="25" t="n"/>
      <c r="F86" s="25" t="n"/>
      <c r="G86" s="25" t="n"/>
      <c r="H86" s="27" t="n"/>
      <c r="I86" s="27" t="n"/>
      <c r="J86" s="25" t="n"/>
      <c r="K86" s="25" t="n"/>
      <c r="L86" s="25" t="n"/>
      <c r="M86" s="28" t="n"/>
    </row>
    <row r="87" ht="22" customHeight="1">
      <c r="B87" s="21" t="n"/>
      <c r="C87" s="24" t="n"/>
      <c r="D87" s="21" t="n"/>
      <c r="E87" s="21" t="n"/>
      <c r="F87" s="21" t="n"/>
      <c r="G87" s="21" t="n"/>
      <c r="H87" s="23" t="n"/>
      <c r="I87" s="23" t="n"/>
      <c r="J87" s="21" t="n"/>
      <c r="K87" s="21" t="n"/>
      <c r="L87" s="21" t="n"/>
      <c r="M87" s="24" t="n"/>
    </row>
    <row r="88" ht="22" customHeight="1">
      <c r="B88" s="25" t="n"/>
      <c r="C88" s="28" t="n"/>
      <c r="D88" s="25" t="n"/>
      <c r="E88" s="25" t="n"/>
      <c r="F88" s="25" t="n"/>
      <c r="G88" s="25" t="n"/>
      <c r="H88" s="27" t="n"/>
      <c r="I88" s="27" t="n"/>
      <c r="J88" s="25" t="n"/>
      <c r="K88" s="25" t="n"/>
      <c r="L88" s="25" t="n"/>
      <c r="M88" s="28" t="n"/>
    </row>
    <row r="89" ht="22" customHeight="1">
      <c r="B89" s="21" t="n"/>
      <c r="C89" s="24" t="n"/>
      <c r="D89" s="21" t="n"/>
      <c r="E89" s="21" t="n"/>
      <c r="F89" s="21" t="n"/>
      <c r="G89" s="21" t="n"/>
      <c r="H89" s="23" t="n"/>
      <c r="I89" s="23" t="n"/>
      <c r="J89" s="21" t="n"/>
      <c r="K89" s="21" t="n"/>
      <c r="L89" s="21" t="n"/>
      <c r="M89" s="24" t="n"/>
    </row>
    <row r="90" ht="22" customHeight="1">
      <c r="B90" s="25" t="n"/>
      <c r="C90" s="28" t="n"/>
      <c r="D90" s="25" t="n"/>
      <c r="E90" s="25" t="n"/>
      <c r="F90" s="25" t="n"/>
      <c r="G90" s="25" t="n"/>
      <c r="H90" s="27" t="n"/>
      <c r="I90" s="27" t="n"/>
      <c r="J90" s="25" t="n"/>
      <c r="K90" s="25" t="n"/>
      <c r="L90" s="25" t="n"/>
      <c r="M90" s="28" t="n"/>
    </row>
    <row r="91" ht="22" customHeight="1">
      <c r="B91" s="21" t="n"/>
      <c r="C91" s="24" t="n"/>
      <c r="D91" s="21" t="n"/>
      <c r="E91" s="21" t="n"/>
      <c r="F91" s="21" t="n"/>
      <c r="G91" s="21" t="n"/>
      <c r="H91" s="23" t="n"/>
      <c r="I91" s="23" t="n"/>
      <c r="J91" s="21" t="n"/>
      <c r="K91" s="21" t="n"/>
      <c r="L91" s="21" t="n"/>
      <c r="M91" s="24" t="n"/>
    </row>
    <row r="92" ht="22" customHeight="1">
      <c r="B92" s="25" t="n"/>
      <c r="C92" s="28" t="n"/>
      <c r="D92" s="25" t="n"/>
      <c r="E92" s="25" t="n"/>
      <c r="F92" s="25" t="n"/>
      <c r="G92" s="25" t="n"/>
      <c r="H92" s="27" t="n"/>
      <c r="I92" s="27" t="n"/>
      <c r="J92" s="25" t="n"/>
      <c r="K92" s="25" t="n"/>
      <c r="L92" s="25" t="n"/>
      <c r="M92" s="28" t="n"/>
    </row>
    <row r="93" ht="22" customHeight="1">
      <c r="B93" s="21" t="n"/>
      <c r="C93" s="24" t="n"/>
      <c r="D93" s="21" t="n"/>
      <c r="E93" s="21" t="n"/>
      <c r="F93" s="21" t="n"/>
      <c r="G93" s="21" t="n"/>
      <c r="H93" s="23" t="n"/>
      <c r="I93" s="23" t="n"/>
      <c r="J93" s="21" t="n"/>
      <c r="K93" s="21" t="n"/>
      <c r="L93" s="21" t="n"/>
      <c r="M93" s="24" t="n"/>
    </row>
    <row r="94" ht="22" customHeight="1">
      <c r="B94" s="25" t="n"/>
      <c r="C94" s="28" t="n"/>
      <c r="D94" s="25" t="n"/>
      <c r="E94" s="25" t="n"/>
      <c r="F94" s="25" t="n"/>
      <c r="G94" s="25" t="n"/>
      <c r="H94" s="27" t="n"/>
      <c r="I94" s="27" t="n"/>
      <c r="J94" s="25" t="n"/>
      <c r="K94" s="25" t="n"/>
      <c r="L94" s="25" t="n"/>
      <c r="M94" s="28" t="n"/>
    </row>
    <row r="95" ht="22" customHeight="1">
      <c r="B95" s="21" t="n"/>
      <c r="C95" s="24" t="n"/>
      <c r="D95" s="21" t="n"/>
      <c r="E95" s="21" t="n"/>
      <c r="F95" s="21" t="n"/>
      <c r="G95" s="21" t="n"/>
      <c r="H95" s="23" t="n"/>
      <c r="I95" s="23" t="n"/>
      <c r="J95" s="21" t="n"/>
      <c r="K95" s="21" t="n"/>
      <c r="L95" s="21" t="n"/>
      <c r="M95" s="24" t="n"/>
    </row>
    <row r="96" ht="22" customHeight="1">
      <c r="B96" s="25" t="n"/>
      <c r="C96" s="28" t="n"/>
      <c r="D96" s="25" t="n"/>
      <c r="E96" s="25" t="n"/>
      <c r="F96" s="25" t="n"/>
      <c r="G96" s="25" t="n"/>
      <c r="H96" s="27" t="n"/>
      <c r="I96" s="27" t="n"/>
      <c r="J96" s="25" t="n"/>
      <c r="K96" s="25" t="n"/>
      <c r="L96" s="25" t="n"/>
      <c r="M96" s="28" t="n"/>
    </row>
    <row r="97" ht="22" customHeight="1">
      <c r="B97" s="21" t="n"/>
      <c r="C97" s="24" t="n"/>
      <c r="D97" s="21" t="n"/>
      <c r="E97" s="21" t="n"/>
      <c r="F97" s="21" t="n"/>
      <c r="G97" s="21" t="n"/>
      <c r="H97" s="23" t="n"/>
      <c r="I97" s="23" t="n"/>
      <c r="J97" s="21" t="n"/>
      <c r="K97" s="21" t="n"/>
      <c r="L97" s="21" t="n"/>
      <c r="M97" s="24" t="n"/>
    </row>
    <row r="98" ht="22" customHeight="1">
      <c r="B98" s="25" t="n"/>
      <c r="C98" s="28" t="n"/>
      <c r="D98" s="25" t="n"/>
      <c r="E98" s="25" t="n"/>
      <c r="F98" s="25" t="n"/>
      <c r="G98" s="25" t="n"/>
      <c r="H98" s="27" t="n"/>
      <c r="I98" s="27" t="n"/>
      <c r="J98" s="25" t="n"/>
      <c r="K98" s="25" t="n"/>
      <c r="L98" s="25" t="n"/>
      <c r="M98" s="28" t="n"/>
    </row>
    <row r="99" ht="22" customHeight="1">
      <c r="B99" s="21" t="n"/>
      <c r="C99" s="24" t="n"/>
      <c r="D99" s="21" t="n"/>
      <c r="E99" s="21" t="n"/>
      <c r="F99" s="21" t="n"/>
      <c r="G99" s="21" t="n"/>
      <c r="H99" s="23" t="n"/>
      <c r="I99" s="23" t="n"/>
      <c r="J99" s="21" t="n"/>
      <c r="K99" s="21" t="n"/>
      <c r="L99" s="21" t="n"/>
      <c r="M99" s="24" t="n"/>
    </row>
    <row r="100" ht="22" customHeight="1">
      <c r="B100" s="25" t="n"/>
      <c r="C100" s="28" t="n"/>
      <c r="D100" s="25" t="n"/>
      <c r="E100" s="25" t="n"/>
      <c r="F100" s="25" t="n"/>
      <c r="G100" s="25" t="n"/>
      <c r="H100" s="27" t="n"/>
      <c r="I100" s="27" t="n"/>
      <c r="J100" s="25" t="n"/>
      <c r="K100" s="25" t="n"/>
      <c r="L100" s="25" t="n"/>
      <c r="M100" s="28" t="n"/>
    </row>
    <row r="101" ht="22" customHeight="1">
      <c r="B101" s="21" t="n"/>
      <c r="C101" s="24" t="n"/>
      <c r="D101" s="21" t="n"/>
      <c r="E101" s="21" t="n"/>
      <c r="F101" s="21" t="n"/>
      <c r="G101" s="21" t="n"/>
      <c r="H101" s="23" t="n"/>
      <c r="I101" s="23" t="n"/>
      <c r="J101" s="21" t="n"/>
      <c r="K101" s="21" t="n"/>
      <c r="L101" s="21" t="n"/>
      <c r="M101" s="24" t="n"/>
    </row>
    <row r="102" ht="22" customHeight="1">
      <c r="B102" s="25" t="n"/>
      <c r="C102" s="28" t="n"/>
      <c r="D102" s="25" t="n"/>
      <c r="E102" s="25" t="n"/>
      <c r="F102" s="25" t="n"/>
      <c r="G102" s="25" t="n"/>
      <c r="H102" s="27" t="n"/>
      <c r="I102" s="27" t="n"/>
      <c r="J102" s="25" t="n"/>
      <c r="K102" s="25" t="n"/>
      <c r="L102" s="25" t="n"/>
      <c r="M102" s="28" t="n"/>
    </row>
    <row r="103" ht="22" customHeight="1">
      <c r="B103" s="21" t="n"/>
      <c r="C103" s="24" t="n"/>
      <c r="D103" s="21" t="n"/>
      <c r="E103" s="21" t="n"/>
      <c r="F103" s="21" t="n"/>
      <c r="G103" s="21" t="n"/>
      <c r="H103" s="23" t="n"/>
      <c r="I103" s="23" t="n"/>
      <c r="J103" s="21" t="n"/>
      <c r="K103" s="21" t="n"/>
      <c r="L103" s="21" t="n"/>
      <c r="M103" s="24" t="n"/>
    </row>
    <row r="104" ht="22" customHeight="1">
      <c r="B104" s="25" t="n"/>
      <c r="C104" s="28" t="n"/>
      <c r="D104" s="25" t="n"/>
      <c r="E104" s="25" t="n"/>
      <c r="F104" s="25" t="n"/>
      <c r="G104" s="25" t="n"/>
      <c r="H104" s="27" t="n"/>
      <c r="I104" s="27" t="n"/>
      <c r="J104" s="25" t="n"/>
      <c r="K104" s="25" t="n"/>
      <c r="L104" s="25" t="n"/>
      <c r="M104" s="28" t="n"/>
    </row>
    <row r="105" ht="22" customHeight="1">
      <c r="B105" s="21" t="n"/>
      <c r="C105" s="24" t="n"/>
      <c r="D105" s="21" t="n"/>
      <c r="E105" s="21" t="n"/>
      <c r="F105" s="21" t="n"/>
      <c r="G105" s="21" t="n"/>
      <c r="H105" s="23" t="n"/>
      <c r="I105" s="23" t="n"/>
      <c r="J105" s="21" t="n"/>
      <c r="K105" s="21" t="n"/>
      <c r="L105" s="21" t="n"/>
      <c r="M105" s="24" t="n"/>
    </row>
    <row r="106" ht="22" customHeight="1">
      <c r="B106" s="25" t="n"/>
      <c r="C106" s="28" t="n"/>
      <c r="D106" s="25" t="n"/>
      <c r="E106" s="25" t="n"/>
      <c r="F106" s="25" t="n"/>
      <c r="G106" s="25" t="n"/>
      <c r="H106" s="27" t="n"/>
      <c r="I106" s="27" t="n"/>
      <c r="J106" s="25" t="n"/>
      <c r="K106" s="25" t="n"/>
      <c r="L106" s="25" t="n"/>
      <c r="M106" s="28" t="n"/>
    </row>
    <row r="107" ht="22" customHeight="1">
      <c r="B107" s="21" t="n"/>
      <c r="C107" s="24" t="n"/>
      <c r="D107" s="21" t="n"/>
      <c r="E107" s="21" t="n"/>
      <c r="F107" s="21" t="n"/>
      <c r="G107" s="21" t="n"/>
      <c r="H107" s="23" t="n"/>
      <c r="I107" s="23" t="n"/>
      <c r="J107" s="21" t="n"/>
      <c r="K107" s="21" t="n"/>
      <c r="L107" s="21" t="n"/>
      <c r="M107" s="24" t="n"/>
    </row>
    <row r="108" ht="22" customHeight="1">
      <c r="B108" s="25" t="n"/>
      <c r="C108" s="28" t="n"/>
      <c r="D108" s="25" t="n"/>
      <c r="E108" s="25" t="n"/>
      <c r="F108" s="25" t="n"/>
      <c r="G108" s="25" t="n"/>
      <c r="H108" s="27" t="n"/>
      <c r="I108" s="27" t="n"/>
      <c r="J108" s="25" t="n"/>
      <c r="K108" s="25" t="n"/>
      <c r="L108" s="25" t="n"/>
      <c r="M108" s="28" t="n"/>
    </row>
    <row r="109" ht="22" customHeight="1">
      <c r="B109" s="21" t="n"/>
      <c r="C109" s="24" t="n"/>
      <c r="D109" s="21" t="n"/>
      <c r="E109" s="21" t="n"/>
      <c r="F109" s="21" t="n"/>
      <c r="G109" s="21" t="n"/>
      <c r="H109" s="23" t="n"/>
      <c r="I109" s="23" t="n"/>
      <c r="J109" s="21" t="n"/>
      <c r="K109" s="21" t="n"/>
      <c r="L109" s="21" t="n"/>
      <c r="M109" s="24" t="n"/>
    </row>
    <row r="110" ht="22" customHeight="1">
      <c r="B110" s="25" t="n"/>
      <c r="C110" s="28" t="n"/>
      <c r="D110" s="25" t="n"/>
      <c r="E110" s="25" t="n"/>
      <c r="F110" s="25" t="n"/>
      <c r="G110" s="25" t="n"/>
      <c r="H110" s="27" t="n"/>
      <c r="I110" s="27" t="n"/>
      <c r="J110" s="25" t="n"/>
      <c r="K110" s="25" t="n"/>
      <c r="L110" s="25" t="n"/>
      <c r="M110" s="28" t="n"/>
    </row>
    <row r="111" ht="22" customHeight="1">
      <c r="B111" s="21" t="n"/>
      <c r="C111" s="24" t="n"/>
      <c r="D111" s="21" t="n"/>
      <c r="E111" s="21" t="n"/>
      <c r="F111" s="21" t="n"/>
      <c r="G111" s="21" t="n"/>
      <c r="H111" s="23" t="n"/>
      <c r="I111" s="23" t="n"/>
      <c r="J111" s="21" t="n"/>
      <c r="K111" s="21" t="n"/>
      <c r="L111" s="21" t="n"/>
      <c r="M111" s="24" t="n"/>
    </row>
    <row r="112" ht="22" customHeight="1">
      <c r="B112" s="25" t="n"/>
      <c r="C112" s="28" t="n"/>
      <c r="D112" s="25" t="n"/>
      <c r="E112" s="25" t="n"/>
      <c r="F112" s="25" t="n"/>
      <c r="G112" s="25" t="n"/>
      <c r="H112" s="27" t="n"/>
      <c r="I112" s="27" t="n"/>
      <c r="J112" s="25" t="n"/>
      <c r="K112" s="25" t="n"/>
      <c r="L112" s="25" t="n"/>
      <c r="M112" s="28" t="n"/>
    </row>
    <row r="113" ht="22" customHeight="1">
      <c r="B113" s="21" t="n"/>
      <c r="C113" s="24" t="n"/>
      <c r="D113" s="21" t="n"/>
      <c r="E113" s="21" t="n"/>
      <c r="F113" s="21" t="n"/>
      <c r="G113" s="21" t="n"/>
      <c r="H113" s="23" t="n"/>
      <c r="I113" s="23" t="n"/>
      <c r="J113" s="21" t="n"/>
      <c r="K113" s="21" t="n"/>
      <c r="L113" s="21" t="n"/>
      <c r="M113" s="24" t="n"/>
    </row>
    <row r="114" ht="22" customHeight="1">
      <c r="B114" s="25" t="n"/>
      <c r="C114" s="28" t="n"/>
      <c r="D114" s="25" t="n"/>
      <c r="E114" s="25" t="n"/>
      <c r="F114" s="25" t="n"/>
      <c r="G114" s="25" t="n"/>
      <c r="H114" s="27" t="n"/>
      <c r="I114" s="27" t="n"/>
      <c r="J114" s="25" t="n"/>
      <c r="K114" s="25" t="n"/>
      <c r="L114" s="25" t="n"/>
      <c r="M114" s="28" t="n"/>
    </row>
    <row r="115" ht="22" customHeight="1">
      <c r="B115" s="21" t="n"/>
      <c r="C115" s="24" t="n"/>
      <c r="D115" s="21" t="n"/>
      <c r="E115" s="21" t="n"/>
      <c r="F115" s="21" t="n"/>
      <c r="G115" s="21" t="n"/>
      <c r="H115" s="23" t="n"/>
      <c r="I115" s="23" t="n"/>
      <c r="J115" s="21" t="n"/>
      <c r="K115" s="21" t="n"/>
      <c r="L115" s="21" t="n"/>
      <c r="M115" s="24" t="n"/>
    </row>
    <row r="116" ht="22" customHeight="1">
      <c r="B116" s="25" t="n"/>
      <c r="C116" s="28" t="n"/>
      <c r="D116" s="25" t="n"/>
      <c r="E116" s="25" t="n"/>
      <c r="F116" s="25" t="n"/>
      <c r="G116" s="25" t="n"/>
      <c r="H116" s="27" t="n"/>
      <c r="I116" s="27" t="n"/>
      <c r="J116" s="25" t="n"/>
      <c r="K116" s="25" t="n"/>
      <c r="L116" s="25" t="n"/>
      <c r="M116" s="28" t="n"/>
    </row>
    <row r="117" ht="22" customHeight="1">
      <c r="B117" s="21" t="n"/>
      <c r="C117" s="24" t="n"/>
      <c r="D117" s="21" t="n"/>
      <c r="E117" s="21" t="n"/>
      <c r="F117" s="21" t="n"/>
      <c r="G117" s="21" t="n"/>
      <c r="H117" s="23" t="n"/>
      <c r="I117" s="23" t="n"/>
      <c r="J117" s="21" t="n"/>
      <c r="K117" s="21" t="n"/>
      <c r="L117" s="21" t="n"/>
      <c r="M117" s="24" t="n"/>
    </row>
    <row r="118" ht="22" customHeight="1">
      <c r="B118" s="25" t="n"/>
      <c r="C118" s="28" t="n"/>
      <c r="D118" s="25" t="n"/>
      <c r="E118" s="25" t="n"/>
      <c r="F118" s="25" t="n"/>
      <c r="G118" s="25" t="n"/>
      <c r="H118" s="27" t="n"/>
      <c r="I118" s="27" t="n"/>
      <c r="J118" s="25" t="n"/>
      <c r="K118" s="25" t="n"/>
      <c r="L118" s="25" t="n"/>
      <c r="M118" s="28" t="n"/>
    </row>
    <row r="119" ht="22" customHeight="1">
      <c r="B119" s="21" t="n"/>
      <c r="C119" s="24" t="n"/>
      <c r="D119" s="21" t="n"/>
      <c r="E119" s="21" t="n"/>
      <c r="F119" s="21" t="n"/>
      <c r="G119" s="21" t="n"/>
      <c r="H119" s="23" t="n"/>
      <c r="I119" s="23" t="n"/>
      <c r="J119" s="21" t="n"/>
      <c r="K119" s="21" t="n"/>
      <c r="L119" s="21" t="n"/>
      <c r="M119" s="24" t="n"/>
    </row>
    <row r="120" ht="22" customHeight="1">
      <c r="B120" s="25" t="n"/>
      <c r="C120" s="28" t="n"/>
      <c r="D120" s="25" t="n"/>
      <c r="E120" s="25" t="n"/>
      <c r="F120" s="25" t="n"/>
      <c r="G120" s="25" t="n"/>
      <c r="H120" s="27" t="n"/>
      <c r="I120" s="27" t="n"/>
      <c r="J120" s="25" t="n"/>
      <c r="K120" s="25" t="n"/>
      <c r="L120" s="25" t="n"/>
      <c r="M120" s="28" t="n"/>
    </row>
    <row r="121" ht="22" customHeight="1">
      <c r="B121" s="21" t="n"/>
      <c r="C121" s="24" t="n"/>
      <c r="D121" s="21" t="n"/>
      <c r="E121" s="21" t="n"/>
      <c r="F121" s="21" t="n"/>
      <c r="G121" s="21" t="n"/>
      <c r="H121" s="23" t="n"/>
      <c r="I121" s="23" t="n"/>
      <c r="J121" s="21" t="n"/>
      <c r="K121" s="21" t="n"/>
      <c r="L121" s="21" t="n"/>
      <c r="M121" s="24" t="n"/>
    </row>
    <row r="122" ht="22" customHeight="1">
      <c r="B122" s="25" t="n"/>
      <c r="C122" s="28" t="n"/>
      <c r="D122" s="25" t="n"/>
      <c r="E122" s="25" t="n"/>
      <c r="F122" s="25" t="n"/>
      <c r="G122" s="25" t="n"/>
      <c r="H122" s="27" t="n"/>
      <c r="I122" s="27" t="n"/>
      <c r="J122" s="25" t="n"/>
      <c r="K122" s="25" t="n"/>
      <c r="L122" s="25" t="n"/>
      <c r="M122" s="28" t="n"/>
    </row>
    <row r="123" ht="22" customHeight="1">
      <c r="B123" s="21" t="n"/>
      <c r="C123" s="24" t="n"/>
      <c r="D123" s="21" t="n"/>
      <c r="E123" s="21" t="n"/>
      <c r="F123" s="21" t="n"/>
      <c r="G123" s="21" t="n"/>
      <c r="H123" s="23" t="n"/>
      <c r="I123" s="23" t="n"/>
      <c r="J123" s="21" t="n"/>
      <c r="K123" s="21" t="n"/>
      <c r="L123" s="21" t="n"/>
      <c r="M123" s="24" t="n"/>
    </row>
    <row r="124" ht="22" customHeight="1">
      <c r="B124" s="25" t="n"/>
      <c r="C124" s="28" t="n"/>
      <c r="D124" s="25" t="n"/>
      <c r="E124" s="25" t="n"/>
      <c r="F124" s="25" t="n"/>
      <c r="G124" s="25" t="n"/>
      <c r="H124" s="27" t="n"/>
      <c r="I124" s="27" t="n"/>
      <c r="J124" s="25" t="n"/>
      <c r="K124" s="25" t="n"/>
      <c r="L124" s="25" t="n"/>
      <c r="M124" s="28" t="n"/>
    </row>
    <row r="125" ht="22" customHeight="1">
      <c r="B125" s="21" t="n"/>
      <c r="C125" s="24" t="n"/>
      <c r="D125" s="21" t="n"/>
      <c r="E125" s="21" t="n"/>
      <c r="F125" s="21" t="n"/>
      <c r="G125" s="21" t="n"/>
      <c r="H125" s="23" t="n"/>
      <c r="I125" s="23" t="n"/>
      <c r="J125" s="21" t="n"/>
      <c r="K125" s="21" t="n"/>
      <c r="L125" s="21" t="n"/>
      <c r="M125" s="24" t="n"/>
    </row>
    <row r="126" ht="22" customHeight="1">
      <c r="B126" s="25" t="n"/>
      <c r="C126" s="28" t="n"/>
      <c r="D126" s="25" t="n"/>
      <c r="E126" s="25" t="n"/>
      <c r="F126" s="25" t="n"/>
      <c r="G126" s="25" t="n"/>
      <c r="H126" s="27" t="n"/>
      <c r="I126" s="27" t="n"/>
      <c r="J126" s="25" t="n"/>
      <c r="K126" s="25" t="n"/>
      <c r="L126" s="25" t="n"/>
      <c r="M126" s="28" t="n"/>
    </row>
    <row r="127" ht="22" customHeight="1">
      <c r="B127" s="21" t="n"/>
      <c r="C127" s="24" t="n"/>
      <c r="D127" s="21" t="n"/>
      <c r="E127" s="21" t="n"/>
      <c r="F127" s="21" t="n"/>
      <c r="G127" s="21" t="n"/>
      <c r="H127" s="23" t="n"/>
      <c r="I127" s="23" t="n"/>
      <c r="J127" s="21" t="n"/>
      <c r="K127" s="21" t="n"/>
      <c r="L127" s="21" t="n"/>
      <c r="M127" s="24" t="n"/>
    </row>
    <row r="128" ht="22" customHeight="1">
      <c r="B128" s="25" t="n"/>
      <c r="C128" s="28" t="n"/>
      <c r="D128" s="25" t="n"/>
      <c r="E128" s="25" t="n"/>
      <c r="F128" s="25" t="n"/>
      <c r="G128" s="25" t="n"/>
      <c r="H128" s="27" t="n"/>
      <c r="I128" s="27" t="n"/>
      <c r="J128" s="25" t="n"/>
      <c r="K128" s="25" t="n"/>
      <c r="L128" s="25" t="n"/>
      <c r="M128" s="28" t="n"/>
    </row>
    <row r="129" ht="22" customHeight="1">
      <c r="B129" s="21" t="n"/>
      <c r="C129" s="24" t="n"/>
      <c r="D129" s="21" t="n"/>
      <c r="E129" s="21" t="n"/>
      <c r="F129" s="21" t="n"/>
      <c r="G129" s="21" t="n"/>
      <c r="H129" s="23" t="n"/>
      <c r="I129" s="23" t="n"/>
      <c r="J129" s="21" t="n"/>
      <c r="K129" s="21" t="n"/>
      <c r="L129" s="21" t="n"/>
      <c r="M129" s="24" t="n"/>
    </row>
    <row r="130" ht="22" customHeight="1">
      <c r="B130" s="25" t="n"/>
      <c r="C130" s="28" t="n"/>
      <c r="D130" s="25" t="n"/>
      <c r="E130" s="25" t="n"/>
      <c r="F130" s="25" t="n"/>
      <c r="G130" s="25" t="n"/>
      <c r="H130" s="27" t="n"/>
      <c r="I130" s="27" t="n"/>
      <c r="J130" s="25" t="n"/>
      <c r="K130" s="25" t="n"/>
      <c r="L130" s="25" t="n"/>
      <c r="M130" s="28" t="n"/>
    </row>
    <row r="131" ht="22" customHeight="1">
      <c r="B131" s="21" t="n"/>
      <c r="C131" s="24" t="n"/>
      <c r="D131" s="21" t="n"/>
      <c r="E131" s="21" t="n"/>
      <c r="F131" s="21" t="n"/>
      <c r="G131" s="21" t="n"/>
      <c r="H131" s="23" t="n"/>
      <c r="I131" s="23" t="n"/>
      <c r="J131" s="21" t="n"/>
      <c r="K131" s="21" t="n"/>
      <c r="L131" s="21" t="n"/>
      <c r="M131" s="24" t="n"/>
    </row>
    <row r="132" ht="22" customHeight="1">
      <c r="B132" s="25" t="n"/>
      <c r="C132" s="28" t="n"/>
      <c r="D132" s="25" t="n"/>
      <c r="E132" s="25" t="n"/>
      <c r="F132" s="25" t="n"/>
      <c r="G132" s="25" t="n"/>
      <c r="H132" s="27" t="n"/>
      <c r="I132" s="27" t="n"/>
      <c r="J132" s="25" t="n"/>
      <c r="K132" s="25" t="n"/>
      <c r="L132" s="25" t="n"/>
      <c r="M132" s="28" t="n"/>
    </row>
    <row r="133" ht="22" customHeight="1">
      <c r="B133" s="21" t="n"/>
      <c r="C133" s="24" t="n"/>
      <c r="D133" s="21" t="n"/>
      <c r="E133" s="21" t="n"/>
      <c r="F133" s="21" t="n"/>
      <c r="G133" s="21" t="n"/>
      <c r="H133" s="23" t="n"/>
      <c r="I133" s="23" t="n"/>
      <c r="J133" s="21" t="n"/>
      <c r="K133" s="21" t="n"/>
      <c r="L133" s="21" t="n"/>
      <c r="M133" s="24" t="n"/>
    </row>
    <row r="134" ht="22" customHeight="1">
      <c r="B134" s="25" t="n"/>
      <c r="C134" s="28" t="n"/>
      <c r="D134" s="25" t="n"/>
      <c r="E134" s="25" t="n"/>
      <c r="F134" s="25" t="n"/>
      <c r="G134" s="25" t="n"/>
      <c r="H134" s="27" t="n"/>
      <c r="I134" s="27" t="n"/>
      <c r="J134" s="25" t="n"/>
      <c r="K134" s="25" t="n"/>
      <c r="L134" s="25" t="n"/>
      <c r="M134" s="28" t="n"/>
    </row>
    <row r="135" ht="22" customHeight="1">
      <c r="B135" s="21" t="n"/>
      <c r="C135" s="24" t="n"/>
      <c r="D135" s="21" t="n"/>
      <c r="E135" s="21" t="n"/>
      <c r="F135" s="21" t="n"/>
      <c r="G135" s="21" t="n"/>
      <c r="H135" s="23" t="n"/>
      <c r="I135" s="23" t="n"/>
      <c r="J135" s="21" t="n"/>
      <c r="K135" s="21" t="n"/>
      <c r="L135" s="21" t="n"/>
      <c r="M135" s="24" t="n"/>
    </row>
    <row r="136" ht="22" customHeight="1">
      <c r="B136" s="25" t="n"/>
      <c r="C136" s="28" t="n"/>
      <c r="D136" s="25" t="n"/>
      <c r="E136" s="25" t="n"/>
      <c r="F136" s="25" t="n"/>
      <c r="G136" s="25" t="n"/>
      <c r="H136" s="27" t="n"/>
      <c r="I136" s="27" t="n"/>
      <c r="J136" s="25" t="n"/>
      <c r="K136" s="25" t="n"/>
      <c r="L136" s="25" t="n"/>
      <c r="M136" s="28" t="n"/>
    </row>
    <row r="137" ht="22" customHeight="1">
      <c r="B137" s="21" t="n"/>
      <c r="C137" s="24" t="n"/>
      <c r="D137" s="21" t="n"/>
      <c r="E137" s="21" t="n"/>
      <c r="F137" s="21" t="n"/>
      <c r="G137" s="21" t="n"/>
      <c r="H137" s="23" t="n"/>
      <c r="I137" s="23" t="n"/>
      <c r="J137" s="21" t="n"/>
      <c r="K137" s="21" t="n"/>
      <c r="L137" s="21" t="n"/>
      <c r="M137" s="24" t="n"/>
    </row>
    <row r="138" ht="22" customHeight="1">
      <c r="B138" s="25" t="n"/>
      <c r="C138" s="28" t="n"/>
      <c r="D138" s="25" t="n"/>
      <c r="E138" s="25" t="n"/>
      <c r="F138" s="25" t="n"/>
      <c r="G138" s="25" t="n"/>
      <c r="H138" s="27" t="n"/>
      <c r="I138" s="27" t="n"/>
      <c r="J138" s="25" t="n"/>
      <c r="K138" s="25" t="n"/>
      <c r="L138" s="25" t="n"/>
      <c r="M138" s="28" t="n"/>
    </row>
    <row r="139" ht="22" customHeight="1">
      <c r="B139" s="21" t="n"/>
      <c r="C139" s="24" t="n"/>
      <c r="D139" s="21" t="n"/>
      <c r="E139" s="21" t="n"/>
      <c r="F139" s="21" t="n"/>
      <c r="G139" s="21" t="n"/>
      <c r="H139" s="23" t="n"/>
      <c r="I139" s="23" t="n"/>
      <c r="J139" s="21" t="n"/>
      <c r="K139" s="21" t="n"/>
      <c r="L139" s="21" t="n"/>
      <c r="M139" s="24" t="n"/>
    </row>
    <row r="140" ht="22" customHeight="1">
      <c r="B140" s="25" t="n"/>
      <c r="C140" s="28" t="n"/>
      <c r="D140" s="25" t="n"/>
      <c r="E140" s="25" t="n"/>
      <c r="F140" s="25" t="n"/>
      <c r="G140" s="25" t="n"/>
      <c r="H140" s="27" t="n"/>
      <c r="I140" s="27" t="n"/>
      <c r="J140" s="25" t="n"/>
      <c r="K140" s="25" t="n"/>
      <c r="L140" s="25" t="n"/>
      <c r="M140" s="28" t="n"/>
    </row>
    <row r="141" ht="22" customHeight="1">
      <c r="B141" s="21" t="n"/>
      <c r="C141" s="24" t="n"/>
      <c r="D141" s="21" t="n"/>
      <c r="E141" s="21" t="n"/>
      <c r="F141" s="21" t="n"/>
      <c r="G141" s="21" t="n"/>
      <c r="H141" s="23" t="n"/>
      <c r="I141" s="23" t="n"/>
      <c r="J141" s="21" t="n"/>
      <c r="K141" s="21" t="n"/>
      <c r="L141" s="21" t="n"/>
      <c r="M141" s="24" t="n"/>
    </row>
    <row r="142" ht="22" customHeight="1">
      <c r="B142" s="25" t="n"/>
      <c r="C142" s="28" t="n"/>
      <c r="D142" s="25" t="n"/>
      <c r="E142" s="25" t="n"/>
      <c r="F142" s="25" t="n"/>
      <c r="G142" s="25" t="n"/>
      <c r="H142" s="27" t="n"/>
      <c r="I142" s="27" t="n"/>
      <c r="J142" s="25" t="n"/>
      <c r="K142" s="25" t="n"/>
      <c r="L142" s="25" t="n"/>
      <c r="M142" s="28" t="n"/>
    </row>
    <row r="143" ht="22" customHeight="1">
      <c r="B143" s="21" t="n"/>
      <c r="C143" s="24" t="n"/>
      <c r="D143" s="21" t="n"/>
      <c r="E143" s="21" t="n"/>
      <c r="F143" s="21" t="n"/>
      <c r="G143" s="21" t="n"/>
      <c r="H143" s="23" t="n"/>
      <c r="I143" s="23" t="n"/>
      <c r="J143" s="21" t="n"/>
      <c r="K143" s="21" t="n"/>
      <c r="L143" s="21" t="n"/>
      <c r="M143" s="24" t="n"/>
    </row>
    <row r="144" ht="22" customHeight="1">
      <c r="B144" s="25" t="n"/>
      <c r="C144" s="28" t="n"/>
      <c r="D144" s="25" t="n"/>
      <c r="E144" s="25" t="n"/>
      <c r="F144" s="25" t="n"/>
      <c r="G144" s="25" t="n"/>
      <c r="H144" s="27" t="n"/>
      <c r="I144" s="27" t="n"/>
      <c r="J144" s="25" t="n"/>
      <c r="K144" s="25" t="n"/>
      <c r="L144" s="25" t="n"/>
      <c r="M144" s="28" t="n"/>
    </row>
    <row r="145" ht="22" customHeight="1">
      <c r="B145" s="21" t="n"/>
      <c r="C145" s="24" t="n"/>
      <c r="D145" s="21" t="n"/>
      <c r="E145" s="21" t="n"/>
      <c r="F145" s="21" t="n"/>
      <c r="G145" s="21" t="n"/>
      <c r="H145" s="23" t="n"/>
      <c r="I145" s="23" t="n"/>
      <c r="J145" s="21" t="n"/>
      <c r="K145" s="21" t="n"/>
      <c r="L145" s="21" t="n"/>
      <c r="M145" s="24" t="n"/>
    </row>
    <row r="146" ht="22" customHeight="1">
      <c r="B146" s="25" t="n"/>
      <c r="C146" s="28" t="n"/>
      <c r="D146" s="25" t="n"/>
      <c r="E146" s="25" t="n"/>
      <c r="F146" s="25" t="n"/>
      <c r="G146" s="25" t="n"/>
      <c r="H146" s="27" t="n"/>
      <c r="I146" s="27" t="n"/>
      <c r="J146" s="25" t="n"/>
      <c r="K146" s="25" t="n"/>
      <c r="L146" s="25" t="n"/>
      <c r="M146" s="28" t="n"/>
    </row>
    <row r="147" ht="22" customHeight="1">
      <c r="B147" s="21" t="n"/>
      <c r="C147" s="24" t="n"/>
      <c r="D147" s="21" t="n"/>
      <c r="E147" s="21" t="n"/>
      <c r="F147" s="21" t="n"/>
      <c r="G147" s="21" t="n"/>
      <c r="H147" s="23" t="n"/>
      <c r="I147" s="23" t="n"/>
      <c r="J147" s="21" t="n"/>
      <c r="K147" s="21" t="n"/>
      <c r="L147" s="21" t="n"/>
      <c r="M147" s="24" t="n"/>
    </row>
    <row r="148" ht="22" customHeight="1">
      <c r="B148" s="25" t="n"/>
      <c r="C148" s="28" t="n"/>
      <c r="D148" s="25" t="n"/>
      <c r="E148" s="25" t="n"/>
      <c r="F148" s="25" t="n"/>
      <c r="G148" s="25" t="n"/>
      <c r="H148" s="27" t="n"/>
      <c r="I148" s="27" t="n"/>
      <c r="J148" s="25" t="n"/>
      <c r="K148" s="25" t="n"/>
      <c r="L148" s="25" t="n"/>
      <c r="M148" s="28" t="n"/>
    </row>
    <row r="149" ht="22" customHeight="1">
      <c r="B149" s="21" t="n"/>
      <c r="C149" s="24" t="n"/>
      <c r="D149" s="21" t="n"/>
      <c r="E149" s="21" t="n"/>
      <c r="F149" s="21" t="n"/>
      <c r="G149" s="21" t="n"/>
      <c r="H149" s="23" t="n"/>
      <c r="I149" s="23" t="n"/>
      <c r="J149" s="21" t="n"/>
      <c r="K149" s="21" t="n"/>
      <c r="L149" s="21" t="n"/>
      <c r="M149" s="24" t="n"/>
    </row>
    <row r="150" ht="22" customHeight="1">
      <c r="B150" s="25" t="n"/>
      <c r="C150" s="28" t="n"/>
      <c r="D150" s="25" t="n"/>
      <c r="E150" s="25" t="n"/>
      <c r="F150" s="25" t="n"/>
      <c r="G150" s="25" t="n"/>
      <c r="H150" s="27" t="n"/>
      <c r="I150" s="27" t="n"/>
      <c r="J150" s="25" t="n"/>
      <c r="K150" s="25" t="n"/>
      <c r="L150" s="25" t="n"/>
      <c r="M150" s="28" t="n"/>
    </row>
    <row r="151" ht="22" customHeight="1">
      <c r="B151" s="21" t="n"/>
      <c r="C151" s="24" t="n"/>
      <c r="D151" s="21" t="n"/>
      <c r="E151" s="21" t="n"/>
      <c r="F151" s="21" t="n"/>
      <c r="G151" s="21" t="n"/>
      <c r="H151" s="23" t="n"/>
      <c r="I151" s="23" t="n"/>
      <c r="J151" s="21" t="n"/>
      <c r="K151" s="21" t="n"/>
      <c r="L151" s="21" t="n"/>
      <c r="M151" s="24" t="n"/>
    </row>
    <row r="152" ht="22" customHeight="1">
      <c r="B152" s="25" t="n"/>
      <c r="C152" s="28" t="n"/>
      <c r="D152" s="25" t="n"/>
      <c r="E152" s="25" t="n"/>
      <c r="F152" s="25" t="n"/>
      <c r="G152" s="25" t="n"/>
      <c r="H152" s="27" t="n"/>
      <c r="I152" s="27" t="n"/>
      <c r="J152" s="25" t="n"/>
      <c r="K152" s="25" t="n"/>
      <c r="L152" s="25" t="n"/>
      <c r="M152" s="28" t="n"/>
    </row>
    <row r="153" ht="22" customHeight="1">
      <c r="B153" s="21" t="n"/>
      <c r="C153" s="24" t="n"/>
      <c r="D153" s="21" t="n"/>
      <c r="E153" s="21" t="n"/>
      <c r="F153" s="21" t="n"/>
      <c r="G153" s="21" t="n"/>
      <c r="H153" s="23" t="n"/>
      <c r="I153" s="23" t="n"/>
      <c r="J153" s="21" t="n"/>
      <c r="K153" s="21" t="n"/>
      <c r="L153" s="21" t="n"/>
      <c r="M153" s="24" t="n"/>
    </row>
    <row r="154" ht="22" customHeight="1">
      <c r="B154" s="25" t="n"/>
      <c r="C154" s="28" t="n"/>
      <c r="D154" s="25" t="n"/>
      <c r="E154" s="25" t="n"/>
      <c r="F154" s="25" t="n"/>
      <c r="G154" s="25" t="n"/>
      <c r="H154" s="27" t="n"/>
      <c r="I154" s="27" t="n"/>
      <c r="J154" s="25" t="n"/>
      <c r="K154" s="25" t="n"/>
      <c r="L154" s="25" t="n"/>
      <c r="M154" s="28" t="n"/>
    </row>
    <row r="155" ht="22" customHeight="1">
      <c r="B155" s="21" t="n"/>
      <c r="C155" s="24" t="n"/>
      <c r="D155" s="21" t="n"/>
      <c r="E155" s="21" t="n"/>
      <c r="F155" s="21" t="n"/>
      <c r="G155" s="21" t="n"/>
      <c r="H155" s="23" t="n"/>
      <c r="I155" s="23" t="n"/>
      <c r="J155" s="21" t="n"/>
      <c r="K155" s="21" t="n"/>
      <c r="L155" s="21" t="n"/>
      <c r="M155" s="24" t="n"/>
    </row>
    <row r="156" ht="22" customHeight="1">
      <c r="B156" s="25" t="n"/>
      <c r="C156" s="28" t="n"/>
      <c r="D156" s="25" t="n"/>
      <c r="E156" s="25" t="n"/>
      <c r="F156" s="25" t="n"/>
      <c r="G156" s="25" t="n"/>
      <c r="H156" s="27" t="n"/>
      <c r="I156" s="27" t="n"/>
      <c r="J156" s="25" t="n"/>
      <c r="K156" s="25" t="n"/>
      <c r="L156" s="25" t="n"/>
      <c r="M156" s="28" t="n"/>
    </row>
    <row r="157" ht="22" customHeight="1">
      <c r="B157" s="21" t="n"/>
      <c r="C157" s="24" t="n"/>
      <c r="D157" s="21" t="n"/>
      <c r="E157" s="21" t="n"/>
      <c r="F157" s="21" t="n"/>
      <c r="G157" s="21" t="n"/>
      <c r="H157" s="23" t="n"/>
      <c r="I157" s="23" t="n"/>
      <c r="J157" s="21" t="n"/>
      <c r="K157" s="21" t="n"/>
      <c r="L157" s="21" t="n"/>
      <c r="M157" s="24" t="n"/>
    </row>
    <row r="158" ht="22" customHeight="1">
      <c r="B158" s="25" t="n"/>
      <c r="C158" s="28" t="n"/>
      <c r="D158" s="25" t="n"/>
      <c r="E158" s="25" t="n"/>
      <c r="F158" s="25" t="n"/>
      <c r="G158" s="25" t="n"/>
      <c r="H158" s="27" t="n"/>
      <c r="I158" s="27" t="n"/>
      <c r="J158" s="25" t="n"/>
      <c r="K158" s="25" t="n"/>
      <c r="L158" s="25" t="n"/>
      <c r="M158" s="28" t="n"/>
    </row>
    <row r="159" ht="22" customHeight="1">
      <c r="B159" s="21" t="n"/>
      <c r="C159" s="24" t="n"/>
      <c r="D159" s="21" t="n"/>
      <c r="E159" s="21" t="n"/>
      <c r="F159" s="21" t="n"/>
      <c r="G159" s="21" t="n"/>
      <c r="H159" s="23" t="n"/>
      <c r="I159" s="23" t="n"/>
      <c r="J159" s="21" t="n"/>
      <c r="K159" s="21" t="n"/>
      <c r="L159" s="21" t="n"/>
      <c r="M159" s="24" t="n"/>
    </row>
    <row r="160" ht="22" customHeight="1">
      <c r="B160" s="25" t="n"/>
      <c r="C160" s="28" t="n"/>
      <c r="D160" s="25" t="n"/>
      <c r="E160" s="25" t="n"/>
      <c r="F160" s="25" t="n"/>
      <c r="G160" s="25" t="n"/>
      <c r="H160" s="27" t="n"/>
      <c r="I160" s="27" t="n"/>
      <c r="J160" s="25" t="n"/>
      <c r="K160" s="25" t="n"/>
      <c r="L160" s="25" t="n"/>
      <c r="M160" s="28" t="n"/>
    </row>
    <row r="161" ht="22" customHeight="1">
      <c r="B161" s="21" t="n"/>
      <c r="C161" s="24" t="n"/>
      <c r="D161" s="21" t="n"/>
      <c r="E161" s="21" t="n"/>
      <c r="F161" s="21" t="n"/>
      <c r="G161" s="21" t="n"/>
      <c r="H161" s="23" t="n"/>
      <c r="I161" s="23" t="n"/>
      <c r="J161" s="21" t="n"/>
      <c r="K161" s="21" t="n"/>
      <c r="L161" s="21" t="n"/>
      <c r="M161" s="24" t="n"/>
    </row>
    <row r="162" ht="22" customHeight="1">
      <c r="B162" s="25" t="n"/>
      <c r="C162" s="28" t="n"/>
      <c r="D162" s="25" t="n"/>
      <c r="E162" s="25" t="n"/>
      <c r="F162" s="25" t="n"/>
      <c r="G162" s="25" t="n"/>
      <c r="H162" s="27" t="n"/>
      <c r="I162" s="27" t="n"/>
      <c r="J162" s="25" t="n"/>
      <c r="K162" s="25" t="n"/>
      <c r="L162" s="25" t="n"/>
      <c r="M162" s="28" t="n"/>
    </row>
    <row r="163" ht="22" customHeight="1">
      <c r="B163" s="21" t="n"/>
      <c r="C163" s="24" t="n"/>
      <c r="D163" s="21" t="n"/>
      <c r="E163" s="21" t="n"/>
      <c r="F163" s="21" t="n"/>
      <c r="G163" s="21" t="n"/>
      <c r="H163" s="23" t="n"/>
      <c r="I163" s="23" t="n"/>
      <c r="J163" s="21" t="n"/>
      <c r="K163" s="21" t="n"/>
      <c r="L163" s="21" t="n"/>
      <c r="M163" s="24" t="n"/>
    </row>
    <row r="164" ht="22" customHeight="1">
      <c r="B164" s="25" t="n"/>
      <c r="C164" s="28" t="n"/>
      <c r="D164" s="25" t="n"/>
      <c r="E164" s="25" t="n"/>
      <c r="F164" s="25" t="n"/>
      <c r="G164" s="25" t="n"/>
      <c r="H164" s="27" t="n"/>
      <c r="I164" s="27" t="n"/>
      <c r="J164" s="25" t="n"/>
      <c r="K164" s="25" t="n"/>
      <c r="L164" s="25" t="n"/>
      <c r="M164" s="28" t="n"/>
    </row>
    <row r="165" ht="22" customHeight="1">
      <c r="B165" s="21" t="n"/>
      <c r="C165" s="24" t="n"/>
      <c r="D165" s="21" t="n"/>
      <c r="E165" s="21" t="n"/>
      <c r="F165" s="21" t="n"/>
      <c r="G165" s="21" t="n"/>
      <c r="H165" s="23" t="n"/>
      <c r="I165" s="23" t="n"/>
      <c r="J165" s="21" t="n"/>
      <c r="K165" s="21" t="n"/>
      <c r="L165" s="21" t="n"/>
      <c r="M165" s="24" t="n"/>
    </row>
    <row r="166" ht="22" customHeight="1">
      <c r="B166" s="25" t="n"/>
      <c r="C166" s="28" t="n"/>
      <c r="D166" s="25" t="n"/>
      <c r="E166" s="25" t="n"/>
      <c r="F166" s="25" t="n"/>
      <c r="G166" s="25" t="n"/>
      <c r="H166" s="27" t="n"/>
      <c r="I166" s="27" t="n"/>
      <c r="J166" s="25" t="n"/>
      <c r="K166" s="25" t="n"/>
      <c r="L166" s="25" t="n"/>
      <c r="M166" s="28" t="n"/>
    </row>
    <row r="167" ht="22" customHeight="1">
      <c r="B167" s="21" t="n"/>
      <c r="C167" s="24" t="n"/>
      <c r="D167" s="21" t="n"/>
      <c r="E167" s="21" t="n"/>
      <c r="F167" s="21" t="n"/>
      <c r="G167" s="21" t="n"/>
      <c r="H167" s="23" t="n"/>
      <c r="I167" s="23" t="n"/>
      <c r="J167" s="21" t="n"/>
      <c r="K167" s="21" t="n"/>
      <c r="L167" s="21" t="n"/>
      <c r="M167" s="24" t="n"/>
    </row>
    <row r="168" ht="22" customHeight="1">
      <c r="B168" s="25" t="n"/>
      <c r="C168" s="28" t="n"/>
      <c r="D168" s="25" t="n"/>
      <c r="E168" s="25" t="n"/>
      <c r="F168" s="25" t="n"/>
      <c r="G168" s="25" t="n"/>
      <c r="H168" s="27" t="n"/>
      <c r="I168" s="27" t="n"/>
      <c r="J168" s="25" t="n"/>
      <c r="K168" s="25" t="n"/>
      <c r="L168" s="25" t="n"/>
      <c r="M168" s="28" t="n"/>
    </row>
    <row r="169" ht="22" customHeight="1">
      <c r="B169" s="21" t="n"/>
      <c r="C169" s="24" t="n"/>
      <c r="D169" s="21" t="n"/>
      <c r="E169" s="21" t="n"/>
      <c r="F169" s="21" t="n"/>
      <c r="G169" s="21" t="n"/>
      <c r="H169" s="23" t="n"/>
      <c r="I169" s="23" t="n"/>
      <c r="J169" s="21" t="n"/>
      <c r="K169" s="21" t="n"/>
      <c r="L169" s="21" t="n"/>
      <c r="M169" s="24" t="n"/>
    </row>
    <row r="170" ht="22" customHeight="1">
      <c r="B170" s="25" t="n"/>
      <c r="C170" s="28" t="n"/>
      <c r="D170" s="25" t="n"/>
      <c r="E170" s="25" t="n"/>
      <c r="F170" s="25" t="n"/>
      <c r="G170" s="25" t="n"/>
      <c r="H170" s="27" t="n"/>
      <c r="I170" s="27" t="n"/>
      <c r="J170" s="25" t="n"/>
      <c r="K170" s="25" t="n"/>
      <c r="L170" s="25" t="n"/>
      <c r="M170" s="28" t="n"/>
    </row>
    <row r="171" ht="22" customHeight="1">
      <c r="B171" s="21" t="n"/>
      <c r="C171" s="24" t="n"/>
      <c r="D171" s="21" t="n"/>
      <c r="E171" s="21" t="n"/>
      <c r="F171" s="21" t="n"/>
      <c r="G171" s="21" t="n"/>
      <c r="H171" s="23" t="n"/>
      <c r="I171" s="23" t="n"/>
      <c r="J171" s="21" t="n"/>
      <c r="K171" s="21" t="n"/>
      <c r="L171" s="21" t="n"/>
      <c r="M171" s="24" t="n"/>
    </row>
    <row r="172" ht="22" customHeight="1">
      <c r="B172" s="25" t="n"/>
      <c r="C172" s="28" t="n"/>
      <c r="D172" s="25" t="n"/>
      <c r="E172" s="25" t="n"/>
      <c r="F172" s="25" t="n"/>
      <c r="G172" s="25" t="n"/>
      <c r="H172" s="27" t="n"/>
      <c r="I172" s="27" t="n"/>
      <c r="J172" s="25" t="n"/>
      <c r="K172" s="25" t="n"/>
      <c r="L172" s="25" t="n"/>
      <c r="M172" s="28" t="n"/>
    </row>
    <row r="173" ht="22" customHeight="1">
      <c r="B173" s="21" t="n"/>
      <c r="C173" s="24" t="n"/>
      <c r="D173" s="21" t="n"/>
      <c r="E173" s="21" t="n"/>
      <c r="F173" s="21" t="n"/>
      <c r="G173" s="21" t="n"/>
      <c r="H173" s="23" t="n"/>
      <c r="I173" s="23" t="n"/>
      <c r="J173" s="21" t="n"/>
      <c r="K173" s="21" t="n"/>
      <c r="L173" s="21" t="n"/>
      <c r="M173" s="24" t="n"/>
    </row>
    <row r="174" ht="22" customHeight="1">
      <c r="B174" s="25" t="n"/>
      <c r="C174" s="28" t="n"/>
      <c r="D174" s="25" t="n"/>
      <c r="E174" s="25" t="n"/>
      <c r="F174" s="25" t="n"/>
      <c r="G174" s="25" t="n"/>
      <c r="H174" s="27" t="n"/>
      <c r="I174" s="27" t="n"/>
      <c r="J174" s="25" t="n"/>
      <c r="K174" s="25" t="n"/>
      <c r="L174" s="25" t="n"/>
      <c r="M174" s="28" t="n"/>
    </row>
    <row r="175" ht="22" customHeight="1">
      <c r="B175" s="21" t="n"/>
      <c r="C175" s="24" t="n"/>
      <c r="D175" s="21" t="n"/>
      <c r="E175" s="21" t="n"/>
      <c r="F175" s="21" t="n"/>
      <c r="G175" s="21" t="n"/>
      <c r="H175" s="23" t="n"/>
      <c r="I175" s="23" t="n"/>
      <c r="J175" s="21" t="n"/>
      <c r="K175" s="21" t="n"/>
      <c r="L175" s="21" t="n"/>
      <c r="M175" s="24" t="n"/>
    </row>
    <row r="176" ht="22" customHeight="1">
      <c r="B176" s="25" t="n"/>
      <c r="C176" s="28" t="n"/>
      <c r="D176" s="25" t="n"/>
      <c r="E176" s="25" t="n"/>
      <c r="F176" s="25" t="n"/>
      <c r="G176" s="25" t="n"/>
      <c r="H176" s="27" t="n"/>
      <c r="I176" s="27" t="n"/>
      <c r="J176" s="25" t="n"/>
      <c r="K176" s="25" t="n"/>
      <c r="L176" s="25" t="n"/>
      <c r="M176" s="28" t="n"/>
    </row>
    <row r="177" ht="22" customHeight="1">
      <c r="B177" s="21" t="n"/>
      <c r="C177" s="24" t="n"/>
      <c r="D177" s="21" t="n"/>
      <c r="E177" s="21" t="n"/>
      <c r="F177" s="21" t="n"/>
      <c r="G177" s="21" t="n"/>
      <c r="H177" s="23" t="n"/>
      <c r="I177" s="23" t="n"/>
      <c r="J177" s="21" t="n"/>
      <c r="K177" s="21" t="n"/>
      <c r="L177" s="21" t="n"/>
      <c r="M177" s="24" t="n"/>
    </row>
    <row r="178" ht="22" customHeight="1">
      <c r="B178" s="25" t="n"/>
      <c r="C178" s="28" t="n"/>
      <c r="D178" s="25" t="n"/>
      <c r="E178" s="25" t="n"/>
      <c r="F178" s="25" t="n"/>
      <c r="G178" s="25" t="n"/>
      <c r="H178" s="27" t="n"/>
      <c r="I178" s="27" t="n"/>
      <c r="J178" s="25" t="n"/>
      <c r="K178" s="25" t="n"/>
      <c r="L178" s="25" t="n"/>
      <c r="M178" s="28" t="n"/>
    </row>
    <row r="179" ht="22" customHeight="1">
      <c r="B179" s="21" t="n"/>
      <c r="C179" s="24" t="n"/>
      <c r="D179" s="21" t="n"/>
      <c r="E179" s="21" t="n"/>
      <c r="F179" s="21" t="n"/>
      <c r="G179" s="21" t="n"/>
      <c r="H179" s="23" t="n"/>
      <c r="I179" s="23" t="n"/>
      <c r="J179" s="21" t="n"/>
      <c r="K179" s="21" t="n"/>
      <c r="L179" s="21" t="n"/>
      <c r="M179" s="24" t="n"/>
    </row>
    <row r="180" ht="22" customHeight="1">
      <c r="B180" s="25" t="n"/>
      <c r="C180" s="28" t="n"/>
      <c r="D180" s="25" t="n"/>
      <c r="E180" s="25" t="n"/>
      <c r="F180" s="25" t="n"/>
      <c r="G180" s="25" t="n"/>
      <c r="H180" s="27" t="n"/>
      <c r="I180" s="27" t="n"/>
      <c r="J180" s="25" t="n"/>
      <c r="K180" s="25" t="n"/>
      <c r="L180" s="25" t="n"/>
      <c r="M180" s="28" t="n"/>
    </row>
    <row r="181" ht="22" customHeight="1">
      <c r="B181" s="21" t="n"/>
      <c r="C181" s="24" t="n"/>
      <c r="D181" s="21" t="n"/>
      <c r="E181" s="21" t="n"/>
      <c r="F181" s="21" t="n"/>
      <c r="G181" s="21" t="n"/>
      <c r="H181" s="23" t="n"/>
      <c r="I181" s="23" t="n"/>
      <c r="J181" s="21" t="n"/>
      <c r="K181" s="21" t="n"/>
      <c r="L181" s="21" t="n"/>
      <c r="M181" s="24" t="n"/>
    </row>
    <row r="182" ht="22" customHeight="1">
      <c r="B182" s="25" t="n"/>
      <c r="C182" s="28" t="n"/>
      <c r="D182" s="25" t="n"/>
      <c r="E182" s="25" t="n"/>
      <c r="F182" s="25" t="n"/>
      <c r="G182" s="25" t="n"/>
      <c r="H182" s="27" t="n"/>
      <c r="I182" s="27" t="n"/>
      <c r="J182" s="25" t="n"/>
      <c r="K182" s="25" t="n"/>
      <c r="L182" s="25" t="n"/>
      <c r="M182" s="28" t="n"/>
    </row>
    <row r="183" ht="22" customHeight="1">
      <c r="B183" s="21" t="n"/>
      <c r="C183" s="24" t="n"/>
      <c r="D183" s="21" t="n"/>
      <c r="E183" s="21" t="n"/>
      <c r="F183" s="21" t="n"/>
      <c r="G183" s="21" t="n"/>
      <c r="H183" s="23" t="n"/>
      <c r="I183" s="23" t="n"/>
      <c r="J183" s="21" t="n"/>
      <c r="K183" s="21" t="n"/>
      <c r="L183" s="21" t="n"/>
      <c r="M183" s="24" t="n"/>
    </row>
    <row r="184" ht="22" customHeight="1">
      <c r="B184" s="25" t="n"/>
      <c r="C184" s="28" t="n"/>
      <c r="D184" s="25" t="n"/>
      <c r="E184" s="25" t="n"/>
      <c r="F184" s="25" t="n"/>
      <c r="G184" s="25" t="n"/>
      <c r="H184" s="27" t="n"/>
      <c r="I184" s="27" t="n"/>
      <c r="J184" s="25" t="n"/>
      <c r="K184" s="25" t="n"/>
      <c r="L184" s="25" t="n"/>
      <c r="M184" s="28" t="n"/>
    </row>
    <row r="185" ht="22" customHeight="1">
      <c r="B185" s="21" t="n"/>
      <c r="C185" s="24" t="n"/>
      <c r="D185" s="21" t="n"/>
      <c r="E185" s="21" t="n"/>
      <c r="F185" s="21" t="n"/>
      <c r="G185" s="21" t="n"/>
      <c r="H185" s="23" t="n"/>
      <c r="I185" s="23" t="n"/>
      <c r="J185" s="21" t="n"/>
      <c r="K185" s="21" t="n"/>
      <c r="L185" s="21" t="n"/>
      <c r="M185" s="24" t="n"/>
    </row>
    <row r="186" ht="22" customHeight="1">
      <c r="B186" s="25" t="n"/>
      <c r="C186" s="28" t="n"/>
      <c r="D186" s="25" t="n"/>
      <c r="E186" s="25" t="n"/>
      <c r="F186" s="25" t="n"/>
      <c r="G186" s="25" t="n"/>
      <c r="H186" s="27" t="n"/>
      <c r="I186" s="27" t="n"/>
      <c r="J186" s="25" t="n"/>
      <c r="K186" s="25" t="n"/>
      <c r="L186" s="25" t="n"/>
      <c r="M186" s="28" t="n"/>
    </row>
    <row r="187" ht="22" customHeight="1">
      <c r="B187" s="21" t="n"/>
      <c r="C187" s="24" t="n"/>
      <c r="D187" s="21" t="n"/>
      <c r="E187" s="21" t="n"/>
      <c r="F187" s="21" t="n"/>
      <c r="G187" s="21" t="n"/>
      <c r="H187" s="23" t="n"/>
      <c r="I187" s="23" t="n"/>
      <c r="J187" s="21" t="n"/>
      <c r="K187" s="21" t="n"/>
      <c r="L187" s="21" t="n"/>
      <c r="M187" s="24" t="n"/>
    </row>
    <row r="188" ht="22" customHeight="1">
      <c r="B188" s="25" t="n"/>
      <c r="C188" s="28" t="n"/>
      <c r="D188" s="25" t="n"/>
      <c r="E188" s="25" t="n"/>
      <c r="F188" s="25" t="n"/>
      <c r="G188" s="25" t="n"/>
      <c r="H188" s="27" t="n"/>
      <c r="I188" s="27" t="n"/>
      <c r="J188" s="25" t="n"/>
      <c r="K188" s="25" t="n"/>
      <c r="L188" s="25" t="n"/>
      <c r="M188" s="28" t="n"/>
    </row>
    <row r="189" ht="22" customHeight="1">
      <c r="B189" s="21" t="n"/>
      <c r="C189" s="24" t="n"/>
      <c r="D189" s="21" t="n"/>
      <c r="E189" s="21" t="n"/>
      <c r="F189" s="21" t="n"/>
      <c r="G189" s="21" t="n"/>
      <c r="H189" s="23" t="n"/>
      <c r="I189" s="23" t="n"/>
      <c r="J189" s="21" t="n"/>
      <c r="K189" s="21" t="n"/>
      <c r="L189" s="21" t="n"/>
      <c r="M189" s="24" t="n"/>
    </row>
    <row r="190" ht="22" customHeight="1">
      <c r="B190" s="25" t="n"/>
      <c r="C190" s="28" t="n"/>
      <c r="D190" s="25" t="n"/>
      <c r="E190" s="25" t="n"/>
      <c r="F190" s="25" t="n"/>
      <c r="G190" s="25" t="n"/>
      <c r="H190" s="27" t="n"/>
      <c r="I190" s="27" t="n"/>
      <c r="J190" s="25" t="n"/>
      <c r="K190" s="25" t="n"/>
      <c r="L190" s="25" t="n"/>
      <c r="M190" s="28" t="n"/>
    </row>
    <row r="191" ht="22" customHeight="1">
      <c r="B191" s="21" t="n"/>
      <c r="C191" s="24" t="n"/>
      <c r="D191" s="21" t="n"/>
      <c r="E191" s="21" t="n"/>
      <c r="F191" s="21" t="n"/>
      <c r="G191" s="21" t="n"/>
      <c r="H191" s="23" t="n"/>
      <c r="I191" s="23" t="n"/>
      <c r="J191" s="21" t="n"/>
      <c r="K191" s="21" t="n"/>
      <c r="L191" s="21" t="n"/>
      <c r="M191" s="24" t="n"/>
    </row>
    <row r="192" ht="22" customHeight="1">
      <c r="B192" s="25" t="n"/>
      <c r="C192" s="28" t="n"/>
      <c r="D192" s="25" t="n"/>
      <c r="E192" s="25" t="n"/>
      <c r="F192" s="25" t="n"/>
      <c r="G192" s="25" t="n"/>
      <c r="H192" s="27" t="n"/>
      <c r="I192" s="27" t="n"/>
      <c r="J192" s="25" t="n"/>
      <c r="K192" s="25" t="n"/>
      <c r="L192" s="25" t="n"/>
      <c r="M192" s="28" t="n"/>
    </row>
    <row r="193" ht="22" customHeight="1">
      <c r="B193" s="21" t="n"/>
      <c r="C193" s="24" t="n"/>
      <c r="D193" s="21" t="n"/>
      <c r="E193" s="21" t="n"/>
      <c r="F193" s="21" t="n"/>
      <c r="G193" s="21" t="n"/>
      <c r="H193" s="23" t="n"/>
      <c r="I193" s="23" t="n"/>
      <c r="J193" s="21" t="n"/>
      <c r="K193" s="21" t="n"/>
      <c r="L193" s="21" t="n"/>
      <c r="M193" s="24" t="n"/>
    </row>
    <row r="194" ht="22" customHeight="1">
      <c r="B194" s="25" t="n"/>
      <c r="C194" s="28" t="n"/>
      <c r="D194" s="25" t="n"/>
      <c r="E194" s="25" t="n"/>
      <c r="F194" s="25" t="n"/>
      <c r="G194" s="25" t="n"/>
      <c r="H194" s="27" t="n"/>
      <c r="I194" s="27" t="n"/>
      <c r="J194" s="25" t="n"/>
      <c r="K194" s="25" t="n"/>
      <c r="L194" s="25" t="n"/>
      <c r="M194" s="28" t="n"/>
    </row>
    <row r="195" ht="22" customHeight="1">
      <c r="B195" s="21" t="n"/>
      <c r="C195" s="24" t="n"/>
      <c r="D195" s="21" t="n"/>
      <c r="E195" s="21" t="n"/>
      <c r="F195" s="21" t="n"/>
      <c r="G195" s="21" t="n"/>
      <c r="H195" s="23" t="n"/>
      <c r="I195" s="23" t="n"/>
      <c r="J195" s="21" t="n"/>
      <c r="K195" s="21" t="n"/>
      <c r="L195" s="21" t="n"/>
      <c r="M195" s="24" t="n"/>
    </row>
    <row r="196" ht="22" customHeight="1">
      <c r="B196" s="25" t="n"/>
      <c r="C196" s="28" t="n"/>
      <c r="D196" s="25" t="n"/>
      <c r="E196" s="25" t="n"/>
      <c r="F196" s="25" t="n"/>
      <c r="G196" s="25" t="n"/>
      <c r="H196" s="27" t="n"/>
      <c r="I196" s="27" t="n"/>
      <c r="J196" s="25" t="n"/>
      <c r="K196" s="25" t="n"/>
      <c r="L196" s="25" t="n"/>
      <c r="M196" s="28" t="n"/>
    </row>
    <row r="197" ht="22" customHeight="1">
      <c r="B197" s="21" t="n"/>
      <c r="C197" s="24" t="n"/>
      <c r="D197" s="21" t="n"/>
      <c r="E197" s="21" t="n"/>
      <c r="F197" s="21" t="n"/>
      <c r="G197" s="21" t="n"/>
      <c r="H197" s="23" t="n"/>
      <c r="I197" s="23" t="n"/>
      <c r="J197" s="21" t="n"/>
      <c r="K197" s="21" t="n"/>
      <c r="L197" s="21" t="n"/>
      <c r="M197" s="24" t="n"/>
    </row>
    <row r="198" ht="22" customHeight="1">
      <c r="B198" s="25" t="n"/>
      <c r="C198" s="28" t="n"/>
      <c r="D198" s="25" t="n"/>
      <c r="E198" s="25" t="n"/>
      <c r="F198" s="25" t="n"/>
      <c r="G198" s="25" t="n"/>
      <c r="H198" s="27" t="n"/>
      <c r="I198" s="27" t="n"/>
      <c r="J198" s="25" t="n"/>
      <c r="K198" s="25" t="n"/>
      <c r="L198" s="25" t="n"/>
      <c r="M198" s="28" t="n"/>
    </row>
    <row r="199" ht="22" customHeight="1">
      <c r="B199" s="21" t="n"/>
      <c r="C199" s="24" t="n"/>
      <c r="D199" s="21" t="n"/>
      <c r="E199" s="21" t="n"/>
      <c r="F199" s="21" t="n"/>
      <c r="G199" s="21" t="n"/>
      <c r="H199" s="23" t="n"/>
      <c r="I199" s="23" t="n"/>
      <c r="J199" s="21" t="n"/>
      <c r="K199" s="21" t="n"/>
      <c r="L199" s="21" t="n"/>
      <c r="M199" s="24" t="n"/>
    </row>
    <row r="200" ht="22" customHeight="1">
      <c r="B200" s="25" t="n"/>
      <c r="C200" s="28" t="n"/>
      <c r="D200" s="25" t="n"/>
      <c r="E200" s="25" t="n"/>
      <c r="F200" s="25" t="n"/>
      <c r="G200" s="25" t="n"/>
      <c r="H200" s="27" t="n"/>
      <c r="I200" s="27" t="n"/>
      <c r="J200" s="25" t="n"/>
      <c r="K200" s="25" t="n"/>
      <c r="L200" s="25" t="n"/>
      <c r="M200" s="28" t="n"/>
    </row>
    <row r="201" ht="22" customHeight="1">
      <c r="B201" s="21" t="n"/>
      <c r="C201" s="24" t="n"/>
      <c r="D201" s="21" t="n"/>
      <c r="E201" s="21" t="n"/>
      <c r="F201" s="21" t="n"/>
      <c r="G201" s="21" t="n"/>
      <c r="H201" s="23" t="n"/>
      <c r="I201" s="23" t="n"/>
      <c r="J201" s="21" t="n"/>
      <c r="K201" s="21" t="n"/>
      <c r="L201" s="21" t="n"/>
      <c r="M201" s="24" t="n"/>
    </row>
    <row r="202" ht="22" customHeight="1">
      <c r="B202" s="25" t="n"/>
      <c r="C202" s="28" t="n"/>
      <c r="D202" s="25" t="n"/>
      <c r="E202" s="25" t="n"/>
      <c r="F202" s="25" t="n"/>
      <c r="G202" s="25" t="n"/>
      <c r="H202" s="27" t="n"/>
      <c r="I202" s="27" t="n"/>
      <c r="J202" s="25" t="n"/>
      <c r="K202" s="25" t="n"/>
      <c r="L202" s="25" t="n"/>
      <c r="M202" s="28" t="n"/>
    </row>
    <row r="203" ht="22" customHeight="1">
      <c r="B203" s="21" t="n"/>
      <c r="C203" s="24" t="n"/>
      <c r="D203" s="21" t="n"/>
      <c r="E203" s="21" t="n"/>
      <c r="F203" s="21" t="n"/>
      <c r="G203" s="21" t="n"/>
      <c r="H203" s="23" t="n"/>
      <c r="I203" s="23" t="n"/>
      <c r="J203" s="21" t="n"/>
      <c r="K203" s="21" t="n"/>
      <c r="L203" s="21" t="n"/>
      <c r="M203" s="24" t="n"/>
    </row>
    <row r="204" ht="22" customHeight="1">
      <c r="B204" s="25" t="n"/>
      <c r="C204" s="28" t="n"/>
      <c r="D204" s="25" t="n"/>
      <c r="E204" s="25" t="n"/>
      <c r="F204" s="25" t="n"/>
      <c r="G204" s="25" t="n"/>
      <c r="H204" s="27" t="n"/>
      <c r="I204" s="27" t="n"/>
      <c r="J204" s="25" t="n"/>
      <c r="K204" s="25" t="n"/>
      <c r="L204" s="25" t="n"/>
      <c r="M204" s="28" t="n"/>
    </row>
    <row r="205" ht="26" customHeight="1">
      <c r="B205" s="29" t="inlineStr">
        <is>
          <t>TOTALS</t>
        </is>
      </c>
      <c r="C205" s="29" t="n"/>
      <c r="D205" s="29" t="n"/>
      <c r="E205" s="29" t="n"/>
      <c r="F205" s="29" t="n"/>
      <c r="G205" s="29" t="n"/>
      <c r="H205" s="31">
        <f>IFERROR(SUM(H5:H204),0)</f>
        <v/>
      </c>
      <c r="I205" s="31">
        <f>IFERROR(SUM(I5:I204),0)</f>
        <v/>
      </c>
      <c r="J205" s="29" t="inlineStr">
        <is>
          <t>Variance:</t>
        </is>
      </c>
      <c r="K205" s="31">
        <f>IFERROR(H205-I205,0)</f>
        <v/>
      </c>
      <c r="L205" s="29" t="n"/>
      <c r="M205" s="29" t="n"/>
    </row>
  </sheetData>
  <mergeCells count="1">
    <mergeCell ref="B2:M2"/>
  </mergeCells>
  <conditionalFormatting sqref="K5:K204">
    <cfRule type="cellIs" priority="1" operator="equal" dxfId="1">
      <formula>"Urgent"</formula>
    </cfRule>
    <cfRule type="cellIs" priority="2" operator="equal" dxfId="2">
      <formula>"High"</formula>
    </cfRule>
  </conditionalFormatting>
  <conditionalFormatting sqref="J5:J204">
    <cfRule type="cellIs" priority="3" operator="equal" dxfId="2">
      <formula>"Open"</formula>
    </cfRule>
    <cfRule type="cellIs" priority="4" operator="equal" dxfId="3">
      <formula>"In Progress"</formula>
    </cfRule>
    <cfRule type="cellIs" priority="5" operator="equal" dxfId="0">
      <formula>"Completed"</formula>
    </cfRule>
  </conditionalFormatting>
  <dataValidations count="3">
    <dataValidation sqref="E5:E204" showDropDown="0" showInputMessage="0" showErrorMessage="0" allowBlank="1" prompt="Select Category" type="list">
      <formula1>"Plumbing,Electrical,AC,Painting,Structural,Cleaning,Lock/Door,Appliance,Other"</formula1>
    </dataValidation>
    <dataValidation sqref="J5:J204" showDropDown="0" showInputMessage="0" showErrorMessage="0" allowBlank="1" prompt="Select Status" type="list">
      <formula1>"Open,In Progress,Completed,Cancelled"</formula1>
    </dataValidation>
    <dataValidation sqref="K5:K204" showDropDown="0" showInputMessage="0" showErrorMessage="0" allowBlank="1" prompt="Select Priority" type="list">
      <formula1>"Low,Medium,High,Urgent"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K3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8" customWidth="1" min="4" max="4"/>
    <col width="16" customWidth="1" min="5" max="5"/>
    <col width="16" customWidth="1" min="6" max="6"/>
    <col width="20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 ht="15" customHeight="1"/>
    <row r="2" ht="32" customHeight="1">
      <c r="B2" s="1" t="inlineStr">
        <is>
          <t>Operating Expenses — Monthly Tracker</t>
        </is>
      </c>
    </row>
    <row r="3" ht="8" customHeight="1"/>
    <row r="4" ht="28" customHeight="1">
      <c r="B4" s="20" t="inlineStr">
        <is>
          <t>Date</t>
        </is>
      </c>
      <c r="C4" s="20" t="inlineStr">
        <is>
          <t>Category</t>
        </is>
      </c>
      <c r="D4" s="20" t="inlineStr">
        <is>
          <t>Description</t>
        </is>
      </c>
      <c r="E4" s="20" t="inlineStr">
        <is>
          <t>Amount (AED)</t>
        </is>
      </c>
      <c r="F4" s="20" t="inlineStr">
        <is>
          <t>Payment Method</t>
        </is>
      </c>
      <c r="G4" s="20" t="inlineStr">
        <is>
          <t>Vendor/Payee</t>
        </is>
      </c>
      <c r="H4" s="20" t="inlineStr">
        <is>
          <t>Invoice #</t>
        </is>
      </c>
      <c r="I4" s="20" t="inlineStr">
        <is>
          <t>Recurring?</t>
        </is>
      </c>
      <c r="J4" s="20" t="inlineStr">
        <is>
          <t>Building</t>
        </is>
      </c>
      <c r="K4" s="20" t="inlineStr">
        <is>
          <t>Notes</t>
        </is>
      </c>
    </row>
    <row r="5" ht="22" customHeight="1">
      <c r="B5" s="24" t="n"/>
      <c r="C5" s="21" t="n"/>
      <c r="D5" s="21" t="n"/>
      <c r="E5" s="23" t="n"/>
      <c r="F5" s="21" t="n"/>
      <c r="G5" s="21" t="n"/>
      <c r="H5" s="21" t="n"/>
      <c r="I5" s="21" t="n"/>
      <c r="J5" s="21" t="n"/>
      <c r="K5" s="21" t="n"/>
    </row>
    <row r="6" ht="22" customHeight="1">
      <c r="B6" s="28" t="n"/>
      <c r="C6" s="25" t="n"/>
      <c r="D6" s="25" t="n"/>
      <c r="E6" s="27" t="n"/>
      <c r="F6" s="25" t="n"/>
      <c r="G6" s="25" t="n"/>
      <c r="H6" s="25" t="n"/>
      <c r="I6" s="25" t="n"/>
      <c r="J6" s="25" t="n"/>
      <c r="K6" s="25" t="n"/>
    </row>
    <row r="7" ht="22" customHeight="1">
      <c r="B7" s="24" t="n"/>
      <c r="C7" s="21" t="n"/>
      <c r="D7" s="21" t="n"/>
      <c r="E7" s="23" t="n"/>
      <c r="F7" s="21" t="n"/>
      <c r="G7" s="21" t="n"/>
      <c r="H7" s="21" t="n"/>
      <c r="I7" s="21" t="n"/>
      <c r="J7" s="21" t="n"/>
      <c r="K7" s="21" t="n"/>
    </row>
    <row r="8" ht="22" customHeight="1">
      <c r="B8" s="28" t="n"/>
      <c r="C8" s="25" t="n"/>
      <c r="D8" s="25" t="n"/>
      <c r="E8" s="27" t="n"/>
      <c r="F8" s="25" t="n"/>
      <c r="G8" s="25" t="n"/>
      <c r="H8" s="25" t="n"/>
      <c r="I8" s="25" t="n"/>
      <c r="J8" s="25" t="n"/>
      <c r="K8" s="25" t="n"/>
    </row>
    <row r="9" ht="22" customHeight="1">
      <c r="B9" s="24" t="n"/>
      <c r="C9" s="21" t="n"/>
      <c r="D9" s="21" t="n"/>
      <c r="E9" s="23" t="n"/>
      <c r="F9" s="21" t="n"/>
      <c r="G9" s="21" t="n"/>
      <c r="H9" s="21" t="n"/>
      <c r="I9" s="21" t="n"/>
      <c r="J9" s="21" t="n"/>
      <c r="K9" s="21" t="n"/>
    </row>
    <row r="10" ht="22" customHeight="1">
      <c r="B10" s="28" t="n"/>
      <c r="C10" s="25" t="n"/>
      <c r="D10" s="25" t="n"/>
      <c r="E10" s="27" t="n"/>
      <c r="F10" s="25" t="n"/>
      <c r="G10" s="25" t="n"/>
      <c r="H10" s="25" t="n"/>
      <c r="I10" s="25" t="n"/>
      <c r="J10" s="25" t="n"/>
      <c r="K10" s="25" t="n"/>
    </row>
    <row r="11" ht="22" customHeight="1">
      <c r="B11" s="24" t="n"/>
      <c r="C11" s="21" t="n"/>
      <c r="D11" s="21" t="n"/>
      <c r="E11" s="23" t="n"/>
      <c r="F11" s="21" t="n"/>
      <c r="G11" s="21" t="n"/>
      <c r="H11" s="21" t="n"/>
      <c r="I11" s="21" t="n"/>
      <c r="J11" s="21" t="n"/>
      <c r="K11" s="21" t="n"/>
    </row>
    <row r="12" ht="22" customHeight="1">
      <c r="B12" s="28" t="n"/>
      <c r="C12" s="25" t="n"/>
      <c r="D12" s="25" t="n"/>
      <c r="E12" s="27" t="n"/>
      <c r="F12" s="25" t="n"/>
      <c r="G12" s="25" t="n"/>
      <c r="H12" s="25" t="n"/>
      <c r="I12" s="25" t="n"/>
      <c r="J12" s="25" t="n"/>
      <c r="K12" s="25" t="n"/>
    </row>
    <row r="13" ht="22" customHeight="1">
      <c r="B13" s="24" t="n"/>
      <c r="C13" s="21" t="n"/>
      <c r="D13" s="21" t="n"/>
      <c r="E13" s="23" t="n"/>
      <c r="F13" s="21" t="n"/>
      <c r="G13" s="21" t="n"/>
      <c r="H13" s="21" t="n"/>
      <c r="I13" s="21" t="n"/>
      <c r="J13" s="21" t="n"/>
      <c r="K13" s="21" t="n"/>
    </row>
    <row r="14" ht="22" customHeight="1">
      <c r="B14" s="28" t="n"/>
      <c r="C14" s="25" t="n"/>
      <c r="D14" s="25" t="n"/>
      <c r="E14" s="27" t="n"/>
      <c r="F14" s="25" t="n"/>
      <c r="G14" s="25" t="n"/>
      <c r="H14" s="25" t="n"/>
      <c r="I14" s="25" t="n"/>
      <c r="J14" s="25" t="n"/>
      <c r="K14" s="25" t="n"/>
    </row>
    <row r="15" ht="22" customHeight="1">
      <c r="B15" s="24" t="n"/>
      <c r="C15" s="21" t="n"/>
      <c r="D15" s="21" t="n"/>
      <c r="E15" s="23" t="n"/>
      <c r="F15" s="21" t="n"/>
      <c r="G15" s="21" t="n"/>
      <c r="H15" s="21" t="n"/>
      <c r="I15" s="21" t="n"/>
      <c r="J15" s="21" t="n"/>
      <c r="K15" s="21" t="n"/>
    </row>
    <row r="16" ht="22" customHeight="1">
      <c r="B16" s="28" t="n"/>
      <c r="C16" s="25" t="n"/>
      <c r="D16" s="25" t="n"/>
      <c r="E16" s="27" t="n"/>
      <c r="F16" s="25" t="n"/>
      <c r="G16" s="25" t="n"/>
      <c r="H16" s="25" t="n"/>
      <c r="I16" s="25" t="n"/>
      <c r="J16" s="25" t="n"/>
      <c r="K16" s="25" t="n"/>
    </row>
    <row r="17" ht="22" customHeight="1">
      <c r="B17" s="24" t="n"/>
      <c r="C17" s="21" t="n"/>
      <c r="D17" s="21" t="n"/>
      <c r="E17" s="23" t="n"/>
      <c r="F17" s="21" t="n"/>
      <c r="G17" s="21" t="n"/>
      <c r="H17" s="21" t="n"/>
      <c r="I17" s="21" t="n"/>
      <c r="J17" s="21" t="n"/>
      <c r="K17" s="21" t="n"/>
    </row>
    <row r="18" ht="22" customHeight="1">
      <c r="B18" s="28" t="n"/>
      <c r="C18" s="25" t="n"/>
      <c r="D18" s="25" t="n"/>
      <c r="E18" s="27" t="n"/>
      <c r="F18" s="25" t="n"/>
      <c r="G18" s="25" t="n"/>
      <c r="H18" s="25" t="n"/>
      <c r="I18" s="25" t="n"/>
      <c r="J18" s="25" t="n"/>
      <c r="K18" s="25" t="n"/>
    </row>
    <row r="19" ht="22" customHeight="1">
      <c r="B19" s="24" t="n"/>
      <c r="C19" s="21" t="n"/>
      <c r="D19" s="21" t="n"/>
      <c r="E19" s="23" t="n"/>
      <c r="F19" s="21" t="n"/>
      <c r="G19" s="21" t="n"/>
      <c r="H19" s="21" t="n"/>
      <c r="I19" s="21" t="n"/>
      <c r="J19" s="21" t="n"/>
      <c r="K19" s="21" t="n"/>
    </row>
    <row r="20" ht="22" customHeight="1">
      <c r="B20" s="28" t="n"/>
      <c r="C20" s="25" t="n"/>
      <c r="D20" s="25" t="n"/>
      <c r="E20" s="27" t="n"/>
      <c r="F20" s="25" t="n"/>
      <c r="G20" s="25" t="n"/>
      <c r="H20" s="25" t="n"/>
      <c r="I20" s="25" t="n"/>
      <c r="J20" s="25" t="n"/>
      <c r="K20" s="25" t="n"/>
    </row>
    <row r="21" ht="22" customHeight="1">
      <c r="B21" s="24" t="n"/>
      <c r="C21" s="21" t="n"/>
      <c r="D21" s="21" t="n"/>
      <c r="E21" s="23" t="n"/>
      <c r="F21" s="21" t="n"/>
      <c r="G21" s="21" t="n"/>
      <c r="H21" s="21" t="n"/>
      <c r="I21" s="21" t="n"/>
      <c r="J21" s="21" t="n"/>
      <c r="K21" s="21" t="n"/>
    </row>
    <row r="22" ht="22" customHeight="1">
      <c r="B22" s="28" t="n"/>
      <c r="C22" s="25" t="n"/>
      <c r="D22" s="25" t="n"/>
      <c r="E22" s="27" t="n"/>
      <c r="F22" s="25" t="n"/>
      <c r="G22" s="25" t="n"/>
      <c r="H22" s="25" t="n"/>
      <c r="I22" s="25" t="n"/>
      <c r="J22" s="25" t="n"/>
      <c r="K22" s="25" t="n"/>
    </row>
    <row r="23" ht="22" customHeight="1">
      <c r="B23" s="24" t="n"/>
      <c r="C23" s="21" t="n"/>
      <c r="D23" s="21" t="n"/>
      <c r="E23" s="23" t="n"/>
      <c r="F23" s="21" t="n"/>
      <c r="G23" s="21" t="n"/>
      <c r="H23" s="21" t="n"/>
      <c r="I23" s="21" t="n"/>
      <c r="J23" s="21" t="n"/>
      <c r="K23" s="21" t="n"/>
    </row>
    <row r="24" ht="22" customHeight="1">
      <c r="B24" s="28" t="n"/>
      <c r="C24" s="25" t="n"/>
      <c r="D24" s="25" t="n"/>
      <c r="E24" s="27" t="n"/>
      <c r="F24" s="25" t="n"/>
      <c r="G24" s="25" t="n"/>
      <c r="H24" s="25" t="n"/>
      <c r="I24" s="25" t="n"/>
      <c r="J24" s="25" t="n"/>
      <c r="K24" s="25" t="n"/>
    </row>
    <row r="25" ht="22" customHeight="1">
      <c r="B25" s="24" t="n"/>
      <c r="C25" s="21" t="n"/>
      <c r="D25" s="21" t="n"/>
      <c r="E25" s="23" t="n"/>
      <c r="F25" s="21" t="n"/>
      <c r="G25" s="21" t="n"/>
      <c r="H25" s="21" t="n"/>
      <c r="I25" s="21" t="n"/>
      <c r="J25" s="21" t="n"/>
      <c r="K25" s="21" t="n"/>
    </row>
    <row r="26" ht="22" customHeight="1">
      <c r="B26" s="28" t="n"/>
      <c r="C26" s="25" t="n"/>
      <c r="D26" s="25" t="n"/>
      <c r="E26" s="27" t="n"/>
      <c r="F26" s="25" t="n"/>
      <c r="G26" s="25" t="n"/>
      <c r="H26" s="25" t="n"/>
      <c r="I26" s="25" t="n"/>
      <c r="J26" s="25" t="n"/>
      <c r="K26" s="25" t="n"/>
    </row>
    <row r="27" ht="22" customHeight="1">
      <c r="B27" s="24" t="n"/>
      <c r="C27" s="21" t="n"/>
      <c r="D27" s="21" t="n"/>
      <c r="E27" s="23" t="n"/>
      <c r="F27" s="21" t="n"/>
      <c r="G27" s="21" t="n"/>
      <c r="H27" s="21" t="n"/>
      <c r="I27" s="21" t="n"/>
      <c r="J27" s="21" t="n"/>
      <c r="K27" s="21" t="n"/>
    </row>
    <row r="28" ht="22" customHeight="1">
      <c r="B28" s="28" t="n"/>
      <c r="C28" s="25" t="n"/>
      <c r="D28" s="25" t="n"/>
      <c r="E28" s="27" t="n"/>
      <c r="F28" s="25" t="n"/>
      <c r="G28" s="25" t="n"/>
      <c r="H28" s="25" t="n"/>
      <c r="I28" s="25" t="n"/>
      <c r="J28" s="25" t="n"/>
      <c r="K28" s="25" t="n"/>
    </row>
    <row r="29" ht="22" customHeight="1">
      <c r="B29" s="24" t="n"/>
      <c r="C29" s="21" t="n"/>
      <c r="D29" s="21" t="n"/>
      <c r="E29" s="23" t="n"/>
      <c r="F29" s="21" t="n"/>
      <c r="G29" s="21" t="n"/>
      <c r="H29" s="21" t="n"/>
      <c r="I29" s="21" t="n"/>
      <c r="J29" s="21" t="n"/>
      <c r="K29" s="21" t="n"/>
    </row>
    <row r="30" ht="22" customHeight="1">
      <c r="B30" s="28" t="n"/>
      <c r="C30" s="25" t="n"/>
      <c r="D30" s="25" t="n"/>
      <c r="E30" s="27" t="n"/>
      <c r="F30" s="25" t="n"/>
      <c r="G30" s="25" t="n"/>
      <c r="H30" s="25" t="n"/>
      <c r="I30" s="25" t="n"/>
      <c r="J30" s="25" t="n"/>
      <c r="K30" s="25" t="n"/>
    </row>
    <row r="31" ht="22" customHeight="1">
      <c r="B31" s="24" t="n"/>
      <c r="C31" s="21" t="n"/>
      <c r="D31" s="21" t="n"/>
      <c r="E31" s="23" t="n"/>
      <c r="F31" s="21" t="n"/>
      <c r="G31" s="21" t="n"/>
      <c r="H31" s="21" t="n"/>
      <c r="I31" s="21" t="n"/>
      <c r="J31" s="21" t="n"/>
      <c r="K31" s="21" t="n"/>
    </row>
    <row r="32" ht="22" customHeight="1">
      <c r="B32" s="28" t="n"/>
      <c r="C32" s="25" t="n"/>
      <c r="D32" s="25" t="n"/>
      <c r="E32" s="27" t="n"/>
      <c r="F32" s="25" t="n"/>
      <c r="G32" s="25" t="n"/>
      <c r="H32" s="25" t="n"/>
      <c r="I32" s="25" t="n"/>
      <c r="J32" s="25" t="n"/>
      <c r="K32" s="25" t="n"/>
    </row>
    <row r="33" ht="22" customHeight="1">
      <c r="B33" s="24" t="n"/>
      <c r="C33" s="21" t="n"/>
      <c r="D33" s="21" t="n"/>
      <c r="E33" s="23" t="n"/>
      <c r="F33" s="21" t="n"/>
      <c r="G33" s="21" t="n"/>
      <c r="H33" s="21" t="n"/>
      <c r="I33" s="21" t="n"/>
      <c r="J33" s="21" t="n"/>
      <c r="K33" s="21" t="n"/>
    </row>
    <row r="34" ht="22" customHeight="1">
      <c r="B34" s="28" t="n"/>
      <c r="C34" s="25" t="n"/>
      <c r="D34" s="25" t="n"/>
      <c r="E34" s="27" t="n"/>
      <c r="F34" s="25" t="n"/>
      <c r="G34" s="25" t="n"/>
      <c r="H34" s="25" t="n"/>
      <c r="I34" s="25" t="n"/>
      <c r="J34" s="25" t="n"/>
      <c r="K34" s="25" t="n"/>
    </row>
    <row r="35" ht="22" customHeight="1">
      <c r="B35" s="24" t="n"/>
      <c r="C35" s="21" t="n"/>
      <c r="D35" s="21" t="n"/>
      <c r="E35" s="23" t="n"/>
      <c r="F35" s="21" t="n"/>
      <c r="G35" s="21" t="n"/>
      <c r="H35" s="21" t="n"/>
      <c r="I35" s="21" t="n"/>
      <c r="J35" s="21" t="n"/>
      <c r="K35" s="21" t="n"/>
    </row>
    <row r="36" ht="22" customHeight="1">
      <c r="B36" s="28" t="n"/>
      <c r="C36" s="25" t="n"/>
      <c r="D36" s="25" t="n"/>
      <c r="E36" s="27" t="n"/>
      <c r="F36" s="25" t="n"/>
      <c r="G36" s="25" t="n"/>
      <c r="H36" s="25" t="n"/>
      <c r="I36" s="25" t="n"/>
      <c r="J36" s="25" t="n"/>
      <c r="K36" s="25" t="n"/>
    </row>
    <row r="37" ht="22" customHeight="1">
      <c r="B37" s="24" t="n"/>
      <c r="C37" s="21" t="n"/>
      <c r="D37" s="21" t="n"/>
      <c r="E37" s="23" t="n"/>
      <c r="F37" s="21" t="n"/>
      <c r="G37" s="21" t="n"/>
      <c r="H37" s="21" t="n"/>
      <c r="I37" s="21" t="n"/>
      <c r="J37" s="21" t="n"/>
      <c r="K37" s="21" t="n"/>
    </row>
    <row r="38" ht="22" customHeight="1">
      <c r="B38" s="28" t="n"/>
      <c r="C38" s="25" t="n"/>
      <c r="D38" s="25" t="n"/>
      <c r="E38" s="27" t="n"/>
      <c r="F38" s="25" t="n"/>
      <c r="G38" s="25" t="n"/>
      <c r="H38" s="25" t="n"/>
      <c r="I38" s="25" t="n"/>
      <c r="J38" s="25" t="n"/>
      <c r="K38" s="25" t="n"/>
    </row>
    <row r="39" ht="22" customHeight="1">
      <c r="B39" s="24" t="n"/>
      <c r="C39" s="21" t="n"/>
      <c r="D39" s="21" t="n"/>
      <c r="E39" s="23" t="n"/>
      <c r="F39" s="21" t="n"/>
      <c r="G39" s="21" t="n"/>
      <c r="H39" s="21" t="n"/>
      <c r="I39" s="21" t="n"/>
      <c r="J39" s="21" t="n"/>
      <c r="K39" s="21" t="n"/>
    </row>
    <row r="40" ht="22" customHeight="1">
      <c r="B40" s="28" t="n"/>
      <c r="C40" s="25" t="n"/>
      <c r="D40" s="25" t="n"/>
      <c r="E40" s="27" t="n"/>
      <c r="F40" s="25" t="n"/>
      <c r="G40" s="25" t="n"/>
      <c r="H40" s="25" t="n"/>
      <c r="I40" s="25" t="n"/>
      <c r="J40" s="25" t="n"/>
      <c r="K40" s="25" t="n"/>
    </row>
    <row r="41" ht="22" customHeight="1">
      <c r="B41" s="24" t="n"/>
      <c r="C41" s="21" t="n"/>
      <c r="D41" s="21" t="n"/>
      <c r="E41" s="23" t="n"/>
      <c r="F41" s="21" t="n"/>
      <c r="G41" s="21" t="n"/>
      <c r="H41" s="21" t="n"/>
      <c r="I41" s="21" t="n"/>
      <c r="J41" s="21" t="n"/>
      <c r="K41" s="21" t="n"/>
    </row>
    <row r="42" ht="22" customHeight="1">
      <c r="B42" s="28" t="n"/>
      <c r="C42" s="25" t="n"/>
      <c r="D42" s="25" t="n"/>
      <c r="E42" s="27" t="n"/>
      <c r="F42" s="25" t="n"/>
      <c r="G42" s="25" t="n"/>
      <c r="H42" s="25" t="n"/>
      <c r="I42" s="25" t="n"/>
      <c r="J42" s="25" t="n"/>
      <c r="K42" s="25" t="n"/>
    </row>
    <row r="43" ht="22" customHeight="1">
      <c r="B43" s="24" t="n"/>
      <c r="C43" s="21" t="n"/>
      <c r="D43" s="21" t="n"/>
      <c r="E43" s="23" t="n"/>
      <c r="F43" s="21" t="n"/>
      <c r="G43" s="21" t="n"/>
      <c r="H43" s="21" t="n"/>
      <c r="I43" s="21" t="n"/>
      <c r="J43" s="21" t="n"/>
      <c r="K43" s="21" t="n"/>
    </row>
    <row r="44" ht="22" customHeight="1">
      <c r="B44" s="28" t="n"/>
      <c r="C44" s="25" t="n"/>
      <c r="D44" s="25" t="n"/>
      <c r="E44" s="27" t="n"/>
      <c r="F44" s="25" t="n"/>
      <c r="G44" s="25" t="n"/>
      <c r="H44" s="25" t="n"/>
      <c r="I44" s="25" t="n"/>
      <c r="J44" s="25" t="n"/>
      <c r="K44" s="25" t="n"/>
    </row>
    <row r="45" ht="22" customHeight="1">
      <c r="B45" s="24" t="n"/>
      <c r="C45" s="21" t="n"/>
      <c r="D45" s="21" t="n"/>
      <c r="E45" s="23" t="n"/>
      <c r="F45" s="21" t="n"/>
      <c r="G45" s="21" t="n"/>
      <c r="H45" s="21" t="n"/>
      <c r="I45" s="21" t="n"/>
      <c r="J45" s="21" t="n"/>
      <c r="K45" s="21" t="n"/>
    </row>
    <row r="46" ht="22" customHeight="1">
      <c r="B46" s="28" t="n"/>
      <c r="C46" s="25" t="n"/>
      <c r="D46" s="25" t="n"/>
      <c r="E46" s="27" t="n"/>
      <c r="F46" s="25" t="n"/>
      <c r="G46" s="25" t="n"/>
      <c r="H46" s="25" t="n"/>
      <c r="I46" s="25" t="n"/>
      <c r="J46" s="25" t="n"/>
      <c r="K46" s="25" t="n"/>
    </row>
    <row r="47" ht="22" customHeight="1">
      <c r="B47" s="24" t="n"/>
      <c r="C47" s="21" t="n"/>
      <c r="D47" s="21" t="n"/>
      <c r="E47" s="23" t="n"/>
      <c r="F47" s="21" t="n"/>
      <c r="G47" s="21" t="n"/>
      <c r="H47" s="21" t="n"/>
      <c r="I47" s="21" t="n"/>
      <c r="J47" s="21" t="n"/>
      <c r="K47" s="21" t="n"/>
    </row>
    <row r="48" ht="22" customHeight="1">
      <c r="B48" s="28" t="n"/>
      <c r="C48" s="25" t="n"/>
      <c r="D48" s="25" t="n"/>
      <c r="E48" s="27" t="n"/>
      <c r="F48" s="25" t="n"/>
      <c r="G48" s="25" t="n"/>
      <c r="H48" s="25" t="n"/>
      <c r="I48" s="25" t="n"/>
      <c r="J48" s="25" t="n"/>
      <c r="K48" s="25" t="n"/>
    </row>
    <row r="49" ht="22" customHeight="1">
      <c r="B49" s="24" t="n"/>
      <c r="C49" s="21" t="n"/>
      <c r="D49" s="21" t="n"/>
      <c r="E49" s="23" t="n"/>
      <c r="F49" s="21" t="n"/>
      <c r="G49" s="21" t="n"/>
      <c r="H49" s="21" t="n"/>
      <c r="I49" s="21" t="n"/>
      <c r="J49" s="21" t="n"/>
      <c r="K49" s="21" t="n"/>
    </row>
    <row r="50" ht="22" customHeight="1">
      <c r="B50" s="28" t="n"/>
      <c r="C50" s="25" t="n"/>
      <c r="D50" s="25" t="n"/>
      <c r="E50" s="27" t="n"/>
      <c r="F50" s="25" t="n"/>
      <c r="G50" s="25" t="n"/>
      <c r="H50" s="25" t="n"/>
      <c r="I50" s="25" t="n"/>
      <c r="J50" s="25" t="n"/>
      <c r="K50" s="25" t="n"/>
    </row>
    <row r="51" ht="22" customHeight="1">
      <c r="B51" s="24" t="n"/>
      <c r="C51" s="21" t="n"/>
      <c r="D51" s="21" t="n"/>
      <c r="E51" s="23" t="n"/>
      <c r="F51" s="21" t="n"/>
      <c r="G51" s="21" t="n"/>
      <c r="H51" s="21" t="n"/>
      <c r="I51" s="21" t="n"/>
      <c r="J51" s="21" t="n"/>
      <c r="K51" s="21" t="n"/>
    </row>
    <row r="52" ht="22" customHeight="1">
      <c r="B52" s="28" t="n"/>
      <c r="C52" s="25" t="n"/>
      <c r="D52" s="25" t="n"/>
      <c r="E52" s="27" t="n"/>
      <c r="F52" s="25" t="n"/>
      <c r="G52" s="25" t="n"/>
      <c r="H52" s="25" t="n"/>
      <c r="I52" s="25" t="n"/>
      <c r="J52" s="25" t="n"/>
      <c r="K52" s="25" t="n"/>
    </row>
    <row r="53" ht="22" customHeight="1">
      <c r="B53" s="24" t="n"/>
      <c r="C53" s="21" t="n"/>
      <c r="D53" s="21" t="n"/>
      <c r="E53" s="23" t="n"/>
      <c r="F53" s="21" t="n"/>
      <c r="G53" s="21" t="n"/>
      <c r="H53" s="21" t="n"/>
      <c r="I53" s="21" t="n"/>
      <c r="J53" s="21" t="n"/>
      <c r="K53" s="21" t="n"/>
    </row>
    <row r="54" ht="22" customHeight="1">
      <c r="B54" s="28" t="n"/>
      <c r="C54" s="25" t="n"/>
      <c r="D54" s="25" t="n"/>
      <c r="E54" s="27" t="n"/>
      <c r="F54" s="25" t="n"/>
      <c r="G54" s="25" t="n"/>
      <c r="H54" s="25" t="n"/>
      <c r="I54" s="25" t="n"/>
      <c r="J54" s="25" t="n"/>
      <c r="K54" s="25" t="n"/>
    </row>
    <row r="55" ht="22" customHeight="1">
      <c r="B55" s="24" t="n"/>
      <c r="C55" s="21" t="n"/>
      <c r="D55" s="21" t="n"/>
      <c r="E55" s="23" t="n"/>
      <c r="F55" s="21" t="n"/>
      <c r="G55" s="21" t="n"/>
      <c r="H55" s="21" t="n"/>
      <c r="I55" s="21" t="n"/>
      <c r="J55" s="21" t="n"/>
      <c r="K55" s="21" t="n"/>
    </row>
    <row r="56" ht="22" customHeight="1">
      <c r="B56" s="28" t="n"/>
      <c r="C56" s="25" t="n"/>
      <c r="D56" s="25" t="n"/>
      <c r="E56" s="27" t="n"/>
      <c r="F56" s="25" t="n"/>
      <c r="G56" s="25" t="n"/>
      <c r="H56" s="25" t="n"/>
      <c r="I56" s="25" t="n"/>
      <c r="J56" s="25" t="n"/>
      <c r="K56" s="25" t="n"/>
    </row>
    <row r="57" ht="22" customHeight="1">
      <c r="B57" s="24" t="n"/>
      <c r="C57" s="21" t="n"/>
      <c r="D57" s="21" t="n"/>
      <c r="E57" s="23" t="n"/>
      <c r="F57" s="21" t="n"/>
      <c r="G57" s="21" t="n"/>
      <c r="H57" s="21" t="n"/>
      <c r="I57" s="21" t="n"/>
      <c r="J57" s="21" t="n"/>
      <c r="K57" s="21" t="n"/>
    </row>
    <row r="58" ht="22" customHeight="1">
      <c r="B58" s="28" t="n"/>
      <c r="C58" s="25" t="n"/>
      <c r="D58" s="25" t="n"/>
      <c r="E58" s="27" t="n"/>
      <c r="F58" s="25" t="n"/>
      <c r="G58" s="25" t="n"/>
      <c r="H58" s="25" t="n"/>
      <c r="I58" s="25" t="n"/>
      <c r="J58" s="25" t="n"/>
      <c r="K58" s="25" t="n"/>
    </row>
    <row r="59" ht="22" customHeight="1">
      <c r="B59" s="24" t="n"/>
      <c r="C59" s="21" t="n"/>
      <c r="D59" s="21" t="n"/>
      <c r="E59" s="23" t="n"/>
      <c r="F59" s="21" t="n"/>
      <c r="G59" s="21" t="n"/>
      <c r="H59" s="21" t="n"/>
      <c r="I59" s="21" t="n"/>
      <c r="J59" s="21" t="n"/>
      <c r="K59" s="21" t="n"/>
    </row>
    <row r="60" ht="22" customHeight="1">
      <c r="B60" s="28" t="n"/>
      <c r="C60" s="25" t="n"/>
      <c r="D60" s="25" t="n"/>
      <c r="E60" s="27" t="n"/>
      <c r="F60" s="25" t="n"/>
      <c r="G60" s="25" t="n"/>
      <c r="H60" s="25" t="n"/>
      <c r="I60" s="25" t="n"/>
      <c r="J60" s="25" t="n"/>
      <c r="K60" s="25" t="n"/>
    </row>
    <row r="61" ht="22" customHeight="1">
      <c r="B61" s="24" t="n"/>
      <c r="C61" s="21" t="n"/>
      <c r="D61" s="21" t="n"/>
      <c r="E61" s="23" t="n"/>
      <c r="F61" s="21" t="n"/>
      <c r="G61" s="21" t="n"/>
      <c r="H61" s="21" t="n"/>
      <c r="I61" s="21" t="n"/>
      <c r="J61" s="21" t="n"/>
      <c r="K61" s="21" t="n"/>
    </row>
    <row r="62" ht="22" customHeight="1">
      <c r="B62" s="28" t="n"/>
      <c r="C62" s="25" t="n"/>
      <c r="D62" s="25" t="n"/>
      <c r="E62" s="27" t="n"/>
      <c r="F62" s="25" t="n"/>
      <c r="G62" s="25" t="n"/>
      <c r="H62" s="25" t="n"/>
      <c r="I62" s="25" t="n"/>
      <c r="J62" s="25" t="n"/>
      <c r="K62" s="25" t="n"/>
    </row>
    <row r="63" ht="22" customHeight="1">
      <c r="B63" s="24" t="n"/>
      <c r="C63" s="21" t="n"/>
      <c r="D63" s="21" t="n"/>
      <c r="E63" s="23" t="n"/>
      <c r="F63" s="21" t="n"/>
      <c r="G63" s="21" t="n"/>
      <c r="H63" s="21" t="n"/>
      <c r="I63" s="21" t="n"/>
      <c r="J63" s="21" t="n"/>
      <c r="K63" s="21" t="n"/>
    </row>
    <row r="64" ht="22" customHeight="1">
      <c r="B64" s="28" t="n"/>
      <c r="C64" s="25" t="n"/>
      <c r="D64" s="25" t="n"/>
      <c r="E64" s="27" t="n"/>
      <c r="F64" s="25" t="n"/>
      <c r="G64" s="25" t="n"/>
      <c r="H64" s="25" t="n"/>
      <c r="I64" s="25" t="n"/>
      <c r="J64" s="25" t="n"/>
      <c r="K64" s="25" t="n"/>
    </row>
    <row r="65" ht="22" customHeight="1">
      <c r="B65" s="24" t="n"/>
      <c r="C65" s="21" t="n"/>
      <c r="D65" s="21" t="n"/>
      <c r="E65" s="23" t="n"/>
      <c r="F65" s="21" t="n"/>
      <c r="G65" s="21" t="n"/>
      <c r="H65" s="21" t="n"/>
      <c r="I65" s="21" t="n"/>
      <c r="J65" s="21" t="n"/>
      <c r="K65" s="21" t="n"/>
    </row>
    <row r="66" ht="22" customHeight="1">
      <c r="B66" s="28" t="n"/>
      <c r="C66" s="25" t="n"/>
      <c r="D66" s="25" t="n"/>
      <c r="E66" s="27" t="n"/>
      <c r="F66" s="25" t="n"/>
      <c r="G66" s="25" t="n"/>
      <c r="H66" s="25" t="n"/>
      <c r="I66" s="25" t="n"/>
      <c r="J66" s="25" t="n"/>
      <c r="K66" s="25" t="n"/>
    </row>
    <row r="67" ht="22" customHeight="1">
      <c r="B67" s="24" t="n"/>
      <c r="C67" s="21" t="n"/>
      <c r="D67" s="21" t="n"/>
      <c r="E67" s="23" t="n"/>
      <c r="F67" s="21" t="n"/>
      <c r="G67" s="21" t="n"/>
      <c r="H67" s="21" t="n"/>
      <c r="I67" s="21" t="n"/>
      <c r="J67" s="21" t="n"/>
      <c r="K67" s="21" t="n"/>
    </row>
    <row r="68" ht="22" customHeight="1">
      <c r="B68" s="28" t="n"/>
      <c r="C68" s="25" t="n"/>
      <c r="D68" s="25" t="n"/>
      <c r="E68" s="27" t="n"/>
      <c r="F68" s="25" t="n"/>
      <c r="G68" s="25" t="n"/>
      <c r="H68" s="25" t="n"/>
      <c r="I68" s="25" t="n"/>
      <c r="J68" s="25" t="n"/>
      <c r="K68" s="25" t="n"/>
    </row>
    <row r="69" ht="22" customHeight="1">
      <c r="B69" s="24" t="n"/>
      <c r="C69" s="21" t="n"/>
      <c r="D69" s="21" t="n"/>
      <c r="E69" s="23" t="n"/>
      <c r="F69" s="21" t="n"/>
      <c r="G69" s="21" t="n"/>
      <c r="H69" s="21" t="n"/>
      <c r="I69" s="21" t="n"/>
      <c r="J69" s="21" t="n"/>
      <c r="K69" s="21" t="n"/>
    </row>
    <row r="70" ht="22" customHeight="1">
      <c r="B70" s="28" t="n"/>
      <c r="C70" s="25" t="n"/>
      <c r="D70" s="25" t="n"/>
      <c r="E70" s="27" t="n"/>
      <c r="F70" s="25" t="n"/>
      <c r="G70" s="25" t="n"/>
      <c r="H70" s="25" t="n"/>
      <c r="I70" s="25" t="n"/>
      <c r="J70" s="25" t="n"/>
      <c r="K70" s="25" t="n"/>
    </row>
    <row r="71" ht="22" customHeight="1">
      <c r="B71" s="24" t="n"/>
      <c r="C71" s="21" t="n"/>
      <c r="D71" s="21" t="n"/>
      <c r="E71" s="23" t="n"/>
      <c r="F71" s="21" t="n"/>
      <c r="G71" s="21" t="n"/>
      <c r="H71" s="21" t="n"/>
      <c r="I71" s="21" t="n"/>
      <c r="J71" s="21" t="n"/>
      <c r="K71" s="21" t="n"/>
    </row>
    <row r="72" ht="22" customHeight="1">
      <c r="B72" s="28" t="n"/>
      <c r="C72" s="25" t="n"/>
      <c r="D72" s="25" t="n"/>
      <c r="E72" s="27" t="n"/>
      <c r="F72" s="25" t="n"/>
      <c r="G72" s="25" t="n"/>
      <c r="H72" s="25" t="n"/>
      <c r="I72" s="25" t="n"/>
      <c r="J72" s="25" t="n"/>
      <c r="K72" s="25" t="n"/>
    </row>
    <row r="73" ht="22" customHeight="1">
      <c r="B73" s="24" t="n"/>
      <c r="C73" s="21" t="n"/>
      <c r="D73" s="21" t="n"/>
      <c r="E73" s="23" t="n"/>
      <c r="F73" s="21" t="n"/>
      <c r="G73" s="21" t="n"/>
      <c r="H73" s="21" t="n"/>
      <c r="I73" s="21" t="n"/>
      <c r="J73" s="21" t="n"/>
      <c r="K73" s="21" t="n"/>
    </row>
    <row r="74" ht="22" customHeight="1">
      <c r="B74" s="28" t="n"/>
      <c r="C74" s="25" t="n"/>
      <c r="D74" s="25" t="n"/>
      <c r="E74" s="27" t="n"/>
      <c r="F74" s="25" t="n"/>
      <c r="G74" s="25" t="n"/>
      <c r="H74" s="25" t="n"/>
      <c r="I74" s="25" t="n"/>
      <c r="J74" s="25" t="n"/>
      <c r="K74" s="25" t="n"/>
    </row>
    <row r="75" ht="22" customHeight="1">
      <c r="B75" s="24" t="n"/>
      <c r="C75" s="21" t="n"/>
      <c r="D75" s="21" t="n"/>
      <c r="E75" s="23" t="n"/>
      <c r="F75" s="21" t="n"/>
      <c r="G75" s="21" t="n"/>
      <c r="H75" s="21" t="n"/>
      <c r="I75" s="21" t="n"/>
      <c r="J75" s="21" t="n"/>
      <c r="K75" s="21" t="n"/>
    </row>
    <row r="76" ht="22" customHeight="1">
      <c r="B76" s="28" t="n"/>
      <c r="C76" s="25" t="n"/>
      <c r="D76" s="25" t="n"/>
      <c r="E76" s="27" t="n"/>
      <c r="F76" s="25" t="n"/>
      <c r="G76" s="25" t="n"/>
      <c r="H76" s="25" t="n"/>
      <c r="I76" s="25" t="n"/>
      <c r="J76" s="25" t="n"/>
      <c r="K76" s="25" t="n"/>
    </row>
    <row r="77" ht="22" customHeight="1">
      <c r="B77" s="24" t="n"/>
      <c r="C77" s="21" t="n"/>
      <c r="D77" s="21" t="n"/>
      <c r="E77" s="23" t="n"/>
      <c r="F77" s="21" t="n"/>
      <c r="G77" s="21" t="n"/>
      <c r="H77" s="21" t="n"/>
      <c r="I77" s="21" t="n"/>
      <c r="J77" s="21" t="n"/>
      <c r="K77" s="21" t="n"/>
    </row>
    <row r="78" ht="22" customHeight="1">
      <c r="B78" s="28" t="n"/>
      <c r="C78" s="25" t="n"/>
      <c r="D78" s="25" t="n"/>
      <c r="E78" s="27" t="n"/>
      <c r="F78" s="25" t="n"/>
      <c r="G78" s="25" t="n"/>
      <c r="H78" s="25" t="n"/>
      <c r="I78" s="25" t="n"/>
      <c r="J78" s="25" t="n"/>
      <c r="K78" s="25" t="n"/>
    </row>
    <row r="79" ht="22" customHeight="1">
      <c r="B79" s="24" t="n"/>
      <c r="C79" s="21" t="n"/>
      <c r="D79" s="21" t="n"/>
      <c r="E79" s="23" t="n"/>
      <c r="F79" s="21" t="n"/>
      <c r="G79" s="21" t="n"/>
      <c r="H79" s="21" t="n"/>
      <c r="I79" s="21" t="n"/>
      <c r="J79" s="21" t="n"/>
      <c r="K79" s="21" t="n"/>
    </row>
    <row r="80" ht="22" customHeight="1">
      <c r="B80" s="28" t="n"/>
      <c r="C80" s="25" t="n"/>
      <c r="D80" s="25" t="n"/>
      <c r="E80" s="27" t="n"/>
      <c r="F80" s="25" t="n"/>
      <c r="G80" s="25" t="n"/>
      <c r="H80" s="25" t="n"/>
      <c r="I80" s="25" t="n"/>
      <c r="J80" s="25" t="n"/>
      <c r="K80" s="25" t="n"/>
    </row>
    <row r="81" ht="22" customHeight="1">
      <c r="B81" s="24" t="n"/>
      <c r="C81" s="21" t="n"/>
      <c r="D81" s="21" t="n"/>
      <c r="E81" s="23" t="n"/>
      <c r="F81" s="21" t="n"/>
      <c r="G81" s="21" t="n"/>
      <c r="H81" s="21" t="n"/>
      <c r="I81" s="21" t="n"/>
      <c r="J81" s="21" t="n"/>
      <c r="K81" s="21" t="n"/>
    </row>
    <row r="82" ht="22" customHeight="1">
      <c r="B82" s="28" t="n"/>
      <c r="C82" s="25" t="n"/>
      <c r="D82" s="25" t="n"/>
      <c r="E82" s="27" t="n"/>
      <c r="F82" s="25" t="n"/>
      <c r="G82" s="25" t="n"/>
      <c r="H82" s="25" t="n"/>
      <c r="I82" s="25" t="n"/>
      <c r="J82" s="25" t="n"/>
      <c r="K82" s="25" t="n"/>
    </row>
    <row r="83" ht="22" customHeight="1">
      <c r="B83" s="24" t="n"/>
      <c r="C83" s="21" t="n"/>
      <c r="D83" s="21" t="n"/>
      <c r="E83" s="23" t="n"/>
      <c r="F83" s="21" t="n"/>
      <c r="G83" s="21" t="n"/>
      <c r="H83" s="21" t="n"/>
      <c r="I83" s="21" t="n"/>
      <c r="J83" s="21" t="n"/>
      <c r="K83" s="21" t="n"/>
    </row>
    <row r="84" ht="22" customHeight="1">
      <c r="B84" s="28" t="n"/>
      <c r="C84" s="25" t="n"/>
      <c r="D84" s="25" t="n"/>
      <c r="E84" s="27" t="n"/>
      <c r="F84" s="25" t="n"/>
      <c r="G84" s="25" t="n"/>
      <c r="H84" s="25" t="n"/>
      <c r="I84" s="25" t="n"/>
      <c r="J84" s="25" t="n"/>
      <c r="K84" s="25" t="n"/>
    </row>
    <row r="85" ht="22" customHeight="1">
      <c r="B85" s="24" t="n"/>
      <c r="C85" s="21" t="n"/>
      <c r="D85" s="21" t="n"/>
      <c r="E85" s="23" t="n"/>
      <c r="F85" s="21" t="n"/>
      <c r="G85" s="21" t="n"/>
      <c r="H85" s="21" t="n"/>
      <c r="I85" s="21" t="n"/>
      <c r="J85" s="21" t="n"/>
      <c r="K85" s="21" t="n"/>
    </row>
    <row r="86" ht="22" customHeight="1">
      <c r="B86" s="28" t="n"/>
      <c r="C86" s="25" t="n"/>
      <c r="D86" s="25" t="n"/>
      <c r="E86" s="27" t="n"/>
      <c r="F86" s="25" t="n"/>
      <c r="G86" s="25" t="n"/>
      <c r="H86" s="25" t="n"/>
      <c r="I86" s="25" t="n"/>
      <c r="J86" s="25" t="n"/>
      <c r="K86" s="25" t="n"/>
    </row>
    <row r="87" ht="22" customHeight="1">
      <c r="B87" s="24" t="n"/>
      <c r="C87" s="21" t="n"/>
      <c r="D87" s="21" t="n"/>
      <c r="E87" s="23" t="n"/>
      <c r="F87" s="21" t="n"/>
      <c r="G87" s="21" t="n"/>
      <c r="H87" s="21" t="n"/>
      <c r="I87" s="21" t="n"/>
      <c r="J87" s="21" t="n"/>
      <c r="K87" s="21" t="n"/>
    </row>
    <row r="88" ht="22" customHeight="1">
      <c r="B88" s="28" t="n"/>
      <c r="C88" s="25" t="n"/>
      <c r="D88" s="25" t="n"/>
      <c r="E88" s="27" t="n"/>
      <c r="F88" s="25" t="n"/>
      <c r="G88" s="25" t="n"/>
      <c r="H88" s="25" t="n"/>
      <c r="I88" s="25" t="n"/>
      <c r="J88" s="25" t="n"/>
      <c r="K88" s="25" t="n"/>
    </row>
    <row r="89" ht="22" customHeight="1">
      <c r="B89" s="24" t="n"/>
      <c r="C89" s="21" t="n"/>
      <c r="D89" s="21" t="n"/>
      <c r="E89" s="23" t="n"/>
      <c r="F89" s="21" t="n"/>
      <c r="G89" s="21" t="n"/>
      <c r="H89" s="21" t="n"/>
      <c r="I89" s="21" t="n"/>
      <c r="J89" s="21" t="n"/>
      <c r="K89" s="21" t="n"/>
    </row>
    <row r="90" ht="22" customHeight="1">
      <c r="B90" s="28" t="n"/>
      <c r="C90" s="25" t="n"/>
      <c r="D90" s="25" t="n"/>
      <c r="E90" s="27" t="n"/>
      <c r="F90" s="25" t="n"/>
      <c r="G90" s="25" t="n"/>
      <c r="H90" s="25" t="n"/>
      <c r="I90" s="25" t="n"/>
      <c r="J90" s="25" t="n"/>
      <c r="K90" s="25" t="n"/>
    </row>
    <row r="91" ht="22" customHeight="1">
      <c r="B91" s="24" t="n"/>
      <c r="C91" s="21" t="n"/>
      <c r="D91" s="21" t="n"/>
      <c r="E91" s="23" t="n"/>
      <c r="F91" s="21" t="n"/>
      <c r="G91" s="21" t="n"/>
      <c r="H91" s="21" t="n"/>
      <c r="I91" s="21" t="n"/>
      <c r="J91" s="21" t="n"/>
      <c r="K91" s="21" t="n"/>
    </row>
    <row r="92" ht="22" customHeight="1">
      <c r="B92" s="28" t="n"/>
      <c r="C92" s="25" t="n"/>
      <c r="D92" s="25" t="n"/>
      <c r="E92" s="27" t="n"/>
      <c r="F92" s="25" t="n"/>
      <c r="G92" s="25" t="n"/>
      <c r="H92" s="25" t="n"/>
      <c r="I92" s="25" t="n"/>
      <c r="J92" s="25" t="n"/>
      <c r="K92" s="25" t="n"/>
    </row>
    <row r="93" ht="22" customHeight="1">
      <c r="B93" s="24" t="n"/>
      <c r="C93" s="21" t="n"/>
      <c r="D93" s="21" t="n"/>
      <c r="E93" s="23" t="n"/>
      <c r="F93" s="21" t="n"/>
      <c r="G93" s="21" t="n"/>
      <c r="H93" s="21" t="n"/>
      <c r="I93" s="21" t="n"/>
      <c r="J93" s="21" t="n"/>
      <c r="K93" s="21" t="n"/>
    </row>
    <row r="94" ht="22" customHeight="1">
      <c r="B94" s="28" t="n"/>
      <c r="C94" s="25" t="n"/>
      <c r="D94" s="25" t="n"/>
      <c r="E94" s="27" t="n"/>
      <c r="F94" s="25" t="n"/>
      <c r="G94" s="25" t="n"/>
      <c r="H94" s="25" t="n"/>
      <c r="I94" s="25" t="n"/>
      <c r="J94" s="25" t="n"/>
      <c r="K94" s="25" t="n"/>
    </row>
    <row r="95" ht="22" customHeight="1">
      <c r="B95" s="24" t="n"/>
      <c r="C95" s="21" t="n"/>
      <c r="D95" s="21" t="n"/>
      <c r="E95" s="23" t="n"/>
      <c r="F95" s="21" t="n"/>
      <c r="G95" s="21" t="n"/>
      <c r="H95" s="21" t="n"/>
      <c r="I95" s="21" t="n"/>
      <c r="J95" s="21" t="n"/>
      <c r="K95" s="21" t="n"/>
    </row>
    <row r="96" ht="22" customHeight="1">
      <c r="B96" s="28" t="n"/>
      <c r="C96" s="25" t="n"/>
      <c r="D96" s="25" t="n"/>
      <c r="E96" s="27" t="n"/>
      <c r="F96" s="25" t="n"/>
      <c r="G96" s="25" t="n"/>
      <c r="H96" s="25" t="n"/>
      <c r="I96" s="25" t="n"/>
      <c r="J96" s="25" t="n"/>
      <c r="K96" s="25" t="n"/>
    </row>
    <row r="97" ht="22" customHeight="1">
      <c r="B97" s="24" t="n"/>
      <c r="C97" s="21" t="n"/>
      <c r="D97" s="21" t="n"/>
      <c r="E97" s="23" t="n"/>
      <c r="F97" s="21" t="n"/>
      <c r="G97" s="21" t="n"/>
      <c r="H97" s="21" t="n"/>
      <c r="I97" s="21" t="n"/>
      <c r="J97" s="21" t="n"/>
      <c r="K97" s="21" t="n"/>
    </row>
    <row r="98" ht="22" customHeight="1">
      <c r="B98" s="28" t="n"/>
      <c r="C98" s="25" t="n"/>
      <c r="D98" s="25" t="n"/>
      <c r="E98" s="27" t="n"/>
      <c r="F98" s="25" t="n"/>
      <c r="G98" s="25" t="n"/>
      <c r="H98" s="25" t="n"/>
      <c r="I98" s="25" t="n"/>
      <c r="J98" s="25" t="n"/>
      <c r="K98" s="25" t="n"/>
    </row>
    <row r="99" ht="22" customHeight="1">
      <c r="B99" s="24" t="n"/>
      <c r="C99" s="21" t="n"/>
      <c r="D99" s="21" t="n"/>
      <c r="E99" s="23" t="n"/>
      <c r="F99" s="21" t="n"/>
      <c r="G99" s="21" t="n"/>
      <c r="H99" s="21" t="n"/>
      <c r="I99" s="21" t="n"/>
      <c r="J99" s="21" t="n"/>
      <c r="K99" s="21" t="n"/>
    </row>
    <row r="100" ht="22" customHeight="1">
      <c r="B100" s="28" t="n"/>
      <c r="C100" s="25" t="n"/>
      <c r="D100" s="25" t="n"/>
      <c r="E100" s="27" t="n"/>
      <c r="F100" s="25" t="n"/>
      <c r="G100" s="25" t="n"/>
      <c r="H100" s="25" t="n"/>
      <c r="I100" s="25" t="n"/>
      <c r="J100" s="25" t="n"/>
      <c r="K100" s="25" t="n"/>
    </row>
    <row r="101" ht="22" customHeight="1">
      <c r="B101" s="24" t="n"/>
      <c r="C101" s="21" t="n"/>
      <c r="D101" s="21" t="n"/>
      <c r="E101" s="23" t="n"/>
      <c r="F101" s="21" t="n"/>
      <c r="G101" s="21" t="n"/>
      <c r="H101" s="21" t="n"/>
      <c r="I101" s="21" t="n"/>
      <c r="J101" s="21" t="n"/>
      <c r="K101" s="21" t="n"/>
    </row>
    <row r="102" ht="22" customHeight="1">
      <c r="B102" s="28" t="n"/>
      <c r="C102" s="25" t="n"/>
      <c r="D102" s="25" t="n"/>
      <c r="E102" s="27" t="n"/>
      <c r="F102" s="25" t="n"/>
      <c r="G102" s="25" t="n"/>
      <c r="H102" s="25" t="n"/>
      <c r="I102" s="25" t="n"/>
      <c r="J102" s="25" t="n"/>
      <c r="K102" s="25" t="n"/>
    </row>
    <row r="103" ht="22" customHeight="1">
      <c r="B103" s="24" t="n"/>
      <c r="C103" s="21" t="n"/>
      <c r="D103" s="21" t="n"/>
      <c r="E103" s="23" t="n"/>
      <c r="F103" s="21" t="n"/>
      <c r="G103" s="21" t="n"/>
      <c r="H103" s="21" t="n"/>
      <c r="I103" s="21" t="n"/>
      <c r="J103" s="21" t="n"/>
      <c r="K103" s="21" t="n"/>
    </row>
    <row r="104" ht="22" customHeight="1">
      <c r="B104" s="28" t="n"/>
      <c r="C104" s="25" t="n"/>
      <c r="D104" s="25" t="n"/>
      <c r="E104" s="27" t="n"/>
      <c r="F104" s="25" t="n"/>
      <c r="G104" s="25" t="n"/>
      <c r="H104" s="25" t="n"/>
      <c r="I104" s="25" t="n"/>
      <c r="J104" s="25" t="n"/>
      <c r="K104" s="25" t="n"/>
    </row>
    <row r="105" ht="22" customHeight="1">
      <c r="B105" s="24" t="n"/>
      <c r="C105" s="21" t="n"/>
      <c r="D105" s="21" t="n"/>
      <c r="E105" s="23" t="n"/>
      <c r="F105" s="21" t="n"/>
      <c r="G105" s="21" t="n"/>
      <c r="H105" s="21" t="n"/>
      <c r="I105" s="21" t="n"/>
      <c r="J105" s="21" t="n"/>
      <c r="K105" s="21" t="n"/>
    </row>
    <row r="106" ht="22" customHeight="1">
      <c r="B106" s="28" t="n"/>
      <c r="C106" s="25" t="n"/>
      <c r="D106" s="25" t="n"/>
      <c r="E106" s="27" t="n"/>
      <c r="F106" s="25" t="n"/>
      <c r="G106" s="25" t="n"/>
      <c r="H106" s="25" t="n"/>
      <c r="I106" s="25" t="n"/>
      <c r="J106" s="25" t="n"/>
      <c r="K106" s="25" t="n"/>
    </row>
    <row r="107" ht="22" customHeight="1">
      <c r="B107" s="24" t="n"/>
      <c r="C107" s="21" t="n"/>
      <c r="D107" s="21" t="n"/>
      <c r="E107" s="23" t="n"/>
      <c r="F107" s="21" t="n"/>
      <c r="G107" s="21" t="n"/>
      <c r="H107" s="21" t="n"/>
      <c r="I107" s="21" t="n"/>
      <c r="J107" s="21" t="n"/>
      <c r="K107" s="21" t="n"/>
    </row>
    <row r="108" ht="22" customHeight="1">
      <c r="B108" s="28" t="n"/>
      <c r="C108" s="25" t="n"/>
      <c r="D108" s="25" t="n"/>
      <c r="E108" s="27" t="n"/>
      <c r="F108" s="25" t="n"/>
      <c r="G108" s="25" t="n"/>
      <c r="H108" s="25" t="n"/>
      <c r="I108" s="25" t="n"/>
      <c r="J108" s="25" t="n"/>
      <c r="K108" s="25" t="n"/>
    </row>
    <row r="109" ht="22" customHeight="1">
      <c r="B109" s="24" t="n"/>
      <c r="C109" s="21" t="n"/>
      <c r="D109" s="21" t="n"/>
      <c r="E109" s="23" t="n"/>
      <c r="F109" s="21" t="n"/>
      <c r="G109" s="21" t="n"/>
      <c r="H109" s="21" t="n"/>
      <c r="I109" s="21" t="n"/>
      <c r="J109" s="21" t="n"/>
      <c r="K109" s="21" t="n"/>
    </row>
    <row r="110" ht="22" customHeight="1">
      <c r="B110" s="28" t="n"/>
      <c r="C110" s="25" t="n"/>
      <c r="D110" s="25" t="n"/>
      <c r="E110" s="27" t="n"/>
      <c r="F110" s="25" t="n"/>
      <c r="G110" s="25" t="n"/>
      <c r="H110" s="25" t="n"/>
      <c r="I110" s="25" t="n"/>
      <c r="J110" s="25" t="n"/>
      <c r="K110" s="25" t="n"/>
    </row>
    <row r="111" ht="22" customHeight="1">
      <c r="B111" s="24" t="n"/>
      <c r="C111" s="21" t="n"/>
      <c r="D111" s="21" t="n"/>
      <c r="E111" s="23" t="n"/>
      <c r="F111" s="21" t="n"/>
      <c r="G111" s="21" t="n"/>
      <c r="H111" s="21" t="n"/>
      <c r="I111" s="21" t="n"/>
      <c r="J111" s="21" t="n"/>
      <c r="K111" s="21" t="n"/>
    </row>
    <row r="112" ht="22" customHeight="1">
      <c r="B112" s="28" t="n"/>
      <c r="C112" s="25" t="n"/>
      <c r="D112" s="25" t="n"/>
      <c r="E112" s="27" t="n"/>
      <c r="F112" s="25" t="n"/>
      <c r="G112" s="25" t="n"/>
      <c r="H112" s="25" t="n"/>
      <c r="I112" s="25" t="n"/>
      <c r="J112" s="25" t="n"/>
      <c r="K112" s="25" t="n"/>
    </row>
    <row r="113" ht="22" customHeight="1">
      <c r="B113" s="24" t="n"/>
      <c r="C113" s="21" t="n"/>
      <c r="D113" s="21" t="n"/>
      <c r="E113" s="23" t="n"/>
      <c r="F113" s="21" t="n"/>
      <c r="G113" s="21" t="n"/>
      <c r="H113" s="21" t="n"/>
      <c r="I113" s="21" t="n"/>
      <c r="J113" s="21" t="n"/>
      <c r="K113" s="21" t="n"/>
    </row>
    <row r="114" ht="22" customHeight="1">
      <c r="B114" s="28" t="n"/>
      <c r="C114" s="25" t="n"/>
      <c r="D114" s="25" t="n"/>
      <c r="E114" s="27" t="n"/>
      <c r="F114" s="25" t="n"/>
      <c r="G114" s="25" t="n"/>
      <c r="H114" s="25" t="n"/>
      <c r="I114" s="25" t="n"/>
      <c r="J114" s="25" t="n"/>
      <c r="K114" s="25" t="n"/>
    </row>
    <row r="115" ht="22" customHeight="1">
      <c r="B115" s="24" t="n"/>
      <c r="C115" s="21" t="n"/>
      <c r="D115" s="21" t="n"/>
      <c r="E115" s="23" t="n"/>
      <c r="F115" s="21" t="n"/>
      <c r="G115" s="21" t="n"/>
      <c r="H115" s="21" t="n"/>
      <c r="I115" s="21" t="n"/>
      <c r="J115" s="21" t="n"/>
      <c r="K115" s="21" t="n"/>
    </row>
    <row r="116" ht="22" customHeight="1">
      <c r="B116" s="28" t="n"/>
      <c r="C116" s="25" t="n"/>
      <c r="D116" s="25" t="n"/>
      <c r="E116" s="27" t="n"/>
      <c r="F116" s="25" t="n"/>
      <c r="G116" s="25" t="n"/>
      <c r="H116" s="25" t="n"/>
      <c r="I116" s="25" t="n"/>
      <c r="J116" s="25" t="n"/>
      <c r="K116" s="25" t="n"/>
    </row>
    <row r="117" ht="22" customHeight="1">
      <c r="B117" s="24" t="n"/>
      <c r="C117" s="21" t="n"/>
      <c r="D117" s="21" t="n"/>
      <c r="E117" s="23" t="n"/>
      <c r="F117" s="21" t="n"/>
      <c r="G117" s="21" t="n"/>
      <c r="H117" s="21" t="n"/>
      <c r="I117" s="21" t="n"/>
      <c r="J117" s="21" t="n"/>
      <c r="K117" s="21" t="n"/>
    </row>
    <row r="118" ht="22" customHeight="1">
      <c r="B118" s="28" t="n"/>
      <c r="C118" s="25" t="n"/>
      <c r="D118" s="25" t="n"/>
      <c r="E118" s="27" t="n"/>
      <c r="F118" s="25" t="n"/>
      <c r="G118" s="25" t="n"/>
      <c r="H118" s="25" t="n"/>
      <c r="I118" s="25" t="n"/>
      <c r="J118" s="25" t="n"/>
      <c r="K118" s="25" t="n"/>
    </row>
    <row r="119" ht="22" customHeight="1">
      <c r="B119" s="24" t="n"/>
      <c r="C119" s="21" t="n"/>
      <c r="D119" s="21" t="n"/>
      <c r="E119" s="23" t="n"/>
      <c r="F119" s="21" t="n"/>
      <c r="G119" s="21" t="n"/>
      <c r="H119" s="21" t="n"/>
      <c r="I119" s="21" t="n"/>
      <c r="J119" s="21" t="n"/>
      <c r="K119" s="21" t="n"/>
    </row>
    <row r="120" ht="22" customHeight="1">
      <c r="B120" s="28" t="n"/>
      <c r="C120" s="25" t="n"/>
      <c r="D120" s="25" t="n"/>
      <c r="E120" s="27" t="n"/>
      <c r="F120" s="25" t="n"/>
      <c r="G120" s="25" t="n"/>
      <c r="H120" s="25" t="n"/>
      <c r="I120" s="25" t="n"/>
      <c r="J120" s="25" t="n"/>
      <c r="K120" s="25" t="n"/>
    </row>
    <row r="121" ht="22" customHeight="1">
      <c r="B121" s="24" t="n"/>
      <c r="C121" s="21" t="n"/>
      <c r="D121" s="21" t="n"/>
      <c r="E121" s="23" t="n"/>
      <c r="F121" s="21" t="n"/>
      <c r="G121" s="21" t="n"/>
      <c r="H121" s="21" t="n"/>
      <c r="I121" s="21" t="n"/>
      <c r="J121" s="21" t="n"/>
      <c r="K121" s="21" t="n"/>
    </row>
    <row r="122" ht="22" customHeight="1">
      <c r="B122" s="28" t="n"/>
      <c r="C122" s="25" t="n"/>
      <c r="D122" s="25" t="n"/>
      <c r="E122" s="27" t="n"/>
      <c r="F122" s="25" t="n"/>
      <c r="G122" s="25" t="n"/>
      <c r="H122" s="25" t="n"/>
      <c r="I122" s="25" t="n"/>
      <c r="J122" s="25" t="n"/>
      <c r="K122" s="25" t="n"/>
    </row>
    <row r="123" ht="22" customHeight="1">
      <c r="B123" s="24" t="n"/>
      <c r="C123" s="21" t="n"/>
      <c r="D123" s="21" t="n"/>
      <c r="E123" s="23" t="n"/>
      <c r="F123" s="21" t="n"/>
      <c r="G123" s="21" t="n"/>
      <c r="H123" s="21" t="n"/>
      <c r="I123" s="21" t="n"/>
      <c r="J123" s="21" t="n"/>
      <c r="K123" s="21" t="n"/>
    </row>
    <row r="124" ht="22" customHeight="1">
      <c r="B124" s="28" t="n"/>
      <c r="C124" s="25" t="n"/>
      <c r="D124" s="25" t="n"/>
      <c r="E124" s="27" t="n"/>
      <c r="F124" s="25" t="n"/>
      <c r="G124" s="25" t="n"/>
      <c r="H124" s="25" t="n"/>
      <c r="I124" s="25" t="n"/>
      <c r="J124" s="25" t="n"/>
      <c r="K124" s="25" t="n"/>
    </row>
    <row r="125" ht="22" customHeight="1">
      <c r="B125" s="24" t="n"/>
      <c r="C125" s="21" t="n"/>
      <c r="D125" s="21" t="n"/>
      <c r="E125" s="23" t="n"/>
      <c r="F125" s="21" t="n"/>
      <c r="G125" s="21" t="n"/>
      <c r="H125" s="21" t="n"/>
      <c r="I125" s="21" t="n"/>
      <c r="J125" s="21" t="n"/>
      <c r="K125" s="21" t="n"/>
    </row>
    <row r="126" ht="22" customHeight="1">
      <c r="B126" s="28" t="n"/>
      <c r="C126" s="25" t="n"/>
      <c r="D126" s="25" t="n"/>
      <c r="E126" s="27" t="n"/>
      <c r="F126" s="25" t="n"/>
      <c r="G126" s="25" t="n"/>
      <c r="H126" s="25" t="n"/>
      <c r="I126" s="25" t="n"/>
      <c r="J126" s="25" t="n"/>
      <c r="K126" s="25" t="n"/>
    </row>
    <row r="127" ht="22" customHeight="1">
      <c r="B127" s="24" t="n"/>
      <c r="C127" s="21" t="n"/>
      <c r="D127" s="21" t="n"/>
      <c r="E127" s="23" t="n"/>
      <c r="F127" s="21" t="n"/>
      <c r="G127" s="21" t="n"/>
      <c r="H127" s="21" t="n"/>
      <c r="I127" s="21" t="n"/>
      <c r="J127" s="21" t="n"/>
      <c r="K127" s="21" t="n"/>
    </row>
    <row r="128" ht="22" customHeight="1">
      <c r="B128" s="28" t="n"/>
      <c r="C128" s="25" t="n"/>
      <c r="D128" s="25" t="n"/>
      <c r="E128" s="27" t="n"/>
      <c r="F128" s="25" t="n"/>
      <c r="G128" s="25" t="n"/>
      <c r="H128" s="25" t="n"/>
      <c r="I128" s="25" t="n"/>
      <c r="J128" s="25" t="n"/>
      <c r="K128" s="25" t="n"/>
    </row>
    <row r="129" ht="22" customHeight="1">
      <c r="B129" s="24" t="n"/>
      <c r="C129" s="21" t="n"/>
      <c r="D129" s="21" t="n"/>
      <c r="E129" s="23" t="n"/>
      <c r="F129" s="21" t="n"/>
      <c r="G129" s="21" t="n"/>
      <c r="H129" s="21" t="n"/>
      <c r="I129" s="21" t="n"/>
      <c r="J129" s="21" t="n"/>
      <c r="K129" s="21" t="n"/>
    </row>
    <row r="130" ht="22" customHeight="1">
      <c r="B130" s="28" t="n"/>
      <c r="C130" s="25" t="n"/>
      <c r="D130" s="25" t="n"/>
      <c r="E130" s="27" t="n"/>
      <c r="F130" s="25" t="n"/>
      <c r="G130" s="25" t="n"/>
      <c r="H130" s="25" t="n"/>
      <c r="I130" s="25" t="n"/>
      <c r="J130" s="25" t="n"/>
      <c r="K130" s="25" t="n"/>
    </row>
    <row r="131" ht="22" customHeight="1">
      <c r="B131" s="24" t="n"/>
      <c r="C131" s="21" t="n"/>
      <c r="D131" s="21" t="n"/>
      <c r="E131" s="23" t="n"/>
      <c r="F131" s="21" t="n"/>
      <c r="G131" s="21" t="n"/>
      <c r="H131" s="21" t="n"/>
      <c r="I131" s="21" t="n"/>
      <c r="J131" s="21" t="n"/>
      <c r="K131" s="21" t="n"/>
    </row>
    <row r="132" ht="22" customHeight="1">
      <c r="B132" s="28" t="n"/>
      <c r="C132" s="25" t="n"/>
      <c r="D132" s="25" t="n"/>
      <c r="E132" s="27" t="n"/>
      <c r="F132" s="25" t="n"/>
      <c r="G132" s="25" t="n"/>
      <c r="H132" s="25" t="n"/>
      <c r="I132" s="25" t="n"/>
      <c r="J132" s="25" t="n"/>
      <c r="K132" s="25" t="n"/>
    </row>
    <row r="133" ht="22" customHeight="1">
      <c r="B133" s="24" t="n"/>
      <c r="C133" s="21" t="n"/>
      <c r="D133" s="21" t="n"/>
      <c r="E133" s="23" t="n"/>
      <c r="F133" s="21" t="n"/>
      <c r="G133" s="21" t="n"/>
      <c r="H133" s="21" t="n"/>
      <c r="I133" s="21" t="n"/>
      <c r="J133" s="21" t="n"/>
      <c r="K133" s="21" t="n"/>
    </row>
    <row r="134" ht="22" customHeight="1">
      <c r="B134" s="28" t="n"/>
      <c r="C134" s="25" t="n"/>
      <c r="D134" s="25" t="n"/>
      <c r="E134" s="27" t="n"/>
      <c r="F134" s="25" t="n"/>
      <c r="G134" s="25" t="n"/>
      <c r="H134" s="25" t="n"/>
      <c r="I134" s="25" t="n"/>
      <c r="J134" s="25" t="n"/>
      <c r="K134" s="25" t="n"/>
    </row>
    <row r="135" ht="22" customHeight="1">
      <c r="B135" s="24" t="n"/>
      <c r="C135" s="21" t="n"/>
      <c r="D135" s="21" t="n"/>
      <c r="E135" s="23" t="n"/>
      <c r="F135" s="21" t="n"/>
      <c r="G135" s="21" t="n"/>
      <c r="H135" s="21" t="n"/>
      <c r="I135" s="21" t="n"/>
      <c r="J135" s="21" t="n"/>
      <c r="K135" s="21" t="n"/>
    </row>
    <row r="136" ht="22" customHeight="1">
      <c r="B136" s="28" t="n"/>
      <c r="C136" s="25" t="n"/>
      <c r="D136" s="25" t="n"/>
      <c r="E136" s="27" t="n"/>
      <c r="F136" s="25" t="n"/>
      <c r="G136" s="25" t="n"/>
      <c r="H136" s="25" t="n"/>
      <c r="I136" s="25" t="n"/>
      <c r="J136" s="25" t="n"/>
      <c r="K136" s="25" t="n"/>
    </row>
    <row r="137" ht="22" customHeight="1">
      <c r="B137" s="24" t="n"/>
      <c r="C137" s="21" t="n"/>
      <c r="D137" s="21" t="n"/>
      <c r="E137" s="23" t="n"/>
      <c r="F137" s="21" t="n"/>
      <c r="G137" s="21" t="n"/>
      <c r="H137" s="21" t="n"/>
      <c r="I137" s="21" t="n"/>
      <c r="J137" s="21" t="n"/>
      <c r="K137" s="21" t="n"/>
    </row>
    <row r="138" ht="22" customHeight="1">
      <c r="B138" s="28" t="n"/>
      <c r="C138" s="25" t="n"/>
      <c r="D138" s="25" t="n"/>
      <c r="E138" s="27" t="n"/>
      <c r="F138" s="25" t="n"/>
      <c r="G138" s="25" t="n"/>
      <c r="H138" s="25" t="n"/>
      <c r="I138" s="25" t="n"/>
      <c r="J138" s="25" t="n"/>
      <c r="K138" s="25" t="n"/>
    </row>
    <row r="139" ht="22" customHeight="1">
      <c r="B139" s="24" t="n"/>
      <c r="C139" s="21" t="n"/>
      <c r="D139" s="21" t="n"/>
      <c r="E139" s="23" t="n"/>
      <c r="F139" s="21" t="n"/>
      <c r="G139" s="21" t="n"/>
      <c r="H139" s="21" t="n"/>
      <c r="I139" s="21" t="n"/>
      <c r="J139" s="21" t="n"/>
      <c r="K139" s="21" t="n"/>
    </row>
    <row r="140" ht="22" customHeight="1">
      <c r="B140" s="28" t="n"/>
      <c r="C140" s="25" t="n"/>
      <c r="D140" s="25" t="n"/>
      <c r="E140" s="27" t="n"/>
      <c r="F140" s="25" t="n"/>
      <c r="G140" s="25" t="n"/>
      <c r="H140" s="25" t="n"/>
      <c r="I140" s="25" t="n"/>
      <c r="J140" s="25" t="n"/>
      <c r="K140" s="25" t="n"/>
    </row>
    <row r="141" ht="22" customHeight="1">
      <c r="B141" s="24" t="n"/>
      <c r="C141" s="21" t="n"/>
      <c r="D141" s="21" t="n"/>
      <c r="E141" s="23" t="n"/>
      <c r="F141" s="21" t="n"/>
      <c r="G141" s="21" t="n"/>
      <c r="H141" s="21" t="n"/>
      <c r="I141" s="21" t="n"/>
      <c r="J141" s="21" t="n"/>
      <c r="K141" s="21" t="n"/>
    </row>
    <row r="142" ht="22" customHeight="1">
      <c r="B142" s="28" t="n"/>
      <c r="C142" s="25" t="n"/>
      <c r="D142" s="25" t="n"/>
      <c r="E142" s="27" t="n"/>
      <c r="F142" s="25" t="n"/>
      <c r="G142" s="25" t="n"/>
      <c r="H142" s="25" t="n"/>
      <c r="I142" s="25" t="n"/>
      <c r="J142" s="25" t="n"/>
      <c r="K142" s="25" t="n"/>
    </row>
    <row r="143" ht="22" customHeight="1">
      <c r="B143" s="24" t="n"/>
      <c r="C143" s="21" t="n"/>
      <c r="D143" s="21" t="n"/>
      <c r="E143" s="23" t="n"/>
      <c r="F143" s="21" t="n"/>
      <c r="G143" s="21" t="n"/>
      <c r="H143" s="21" t="n"/>
      <c r="I143" s="21" t="n"/>
      <c r="J143" s="21" t="n"/>
      <c r="K143" s="21" t="n"/>
    </row>
    <row r="144" ht="22" customHeight="1">
      <c r="B144" s="28" t="n"/>
      <c r="C144" s="25" t="n"/>
      <c r="D144" s="25" t="n"/>
      <c r="E144" s="27" t="n"/>
      <c r="F144" s="25" t="n"/>
      <c r="G144" s="25" t="n"/>
      <c r="H144" s="25" t="n"/>
      <c r="I144" s="25" t="n"/>
      <c r="J144" s="25" t="n"/>
      <c r="K144" s="25" t="n"/>
    </row>
    <row r="145" ht="22" customHeight="1">
      <c r="B145" s="24" t="n"/>
      <c r="C145" s="21" t="n"/>
      <c r="D145" s="21" t="n"/>
      <c r="E145" s="23" t="n"/>
      <c r="F145" s="21" t="n"/>
      <c r="G145" s="21" t="n"/>
      <c r="H145" s="21" t="n"/>
      <c r="I145" s="21" t="n"/>
      <c r="J145" s="21" t="n"/>
      <c r="K145" s="21" t="n"/>
    </row>
    <row r="146" ht="22" customHeight="1">
      <c r="B146" s="28" t="n"/>
      <c r="C146" s="25" t="n"/>
      <c r="D146" s="25" t="n"/>
      <c r="E146" s="27" t="n"/>
      <c r="F146" s="25" t="n"/>
      <c r="G146" s="25" t="n"/>
      <c r="H146" s="25" t="n"/>
      <c r="I146" s="25" t="n"/>
      <c r="J146" s="25" t="n"/>
      <c r="K146" s="25" t="n"/>
    </row>
    <row r="147" ht="22" customHeight="1">
      <c r="B147" s="24" t="n"/>
      <c r="C147" s="21" t="n"/>
      <c r="D147" s="21" t="n"/>
      <c r="E147" s="23" t="n"/>
      <c r="F147" s="21" t="n"/>
      <c r="G147" s="21" t="n"/>
      <c r="H147" s="21" t="n"/>
      <c r="I147" s="21" t="n"/>
      <c r="J147" s="21" t="n"/>
      <c r="K147" s="21" t="n"/>
    </row>
    <row r="148" ht="22" customHeight="1">
      <c r="B148" s="28" t="n"/>
      <c r="C148" s="25" t="n"/>
      <c r="D148" s="25" t="n"/>
      <c r="E148" s="27" t="n"/>
      <c r="F148" s="25" t="n"/>
      <c r="G148" s="25" t="n"/>
      <c r="H148" s="25" t="n"/>
      <c r="I148" s="25" t="n"/>
      <c r="J148" s="25" t="n"/>
      <c r="K148" s="25" t="n"/>
    </row>
    <row r="149" ht="22" customHeight="1">
      <c r="B149" s="24" t="n"/>
      <c r="C149" s="21" t="n"/>
      <c r="D149" s="21" t="n"/>
      <c r="E149" s="23" t="n"/>
      <c r="F149" s="21" t="n"/>
      <c r="G149" s="21" t="n"/>
      <c r="H149" s="21" t="n"/>
      <c r="I149" s="21" t="n"/>
      <c r="J149" s="21" t="n"/>
      <c r="K149" s="21" t="n"/>
    </row>
    <row r="150" ht="22" customHeight="1">
      <c r="B150" s="28" t="n"/>
      <c r="C150" s="25" t="n"/>
      <c r="D150" s="25" t="n"/>
      <c r="E150" s="27" t="n"/>
      <c r="F150" s="25" t="n"/>
      <c r="G150" s="25" t="n"/>
      <c r="H150" s="25" t="n"/>
      <c r="I150" s="25" t="n"/>
      <c r="J150" s="25" t="n"/>
      <c r="K150" s="25" t="n"/>
    </row>
    <row r="151" ht="22" customHeight="1">
      <c r="B151" s="24" t="n"/>
      <c r="C151" s="21" t="n"/>
      <c r="D151" s="21" t="n"/>
      <c r="E151" s="23" t="n"/>
      <c r="F151" s="21" t="n"/>
      <c r="G151" s="21" t="n"/>
      <c r="H151" s="21" t="n"/>
      <c r="I151" s="21" t="n"/>
      <c r="J151" s="21" t="n"/>
      <c r="K151" s="21" t="n"/>
    </row>
    <row r="152" ht="22" customHeight="1">
      <c r="B152" s="28" t="n"/>
      <c r="C152" s="25" t="n"/>
      <c r="D152" s="25" t="n"/>
      <c r="E152" s="27" t="n"/>
      <c r="F152" s="25" t="n"/>
      <c r="G152" s="25" t="n"/>
      <c r="H152" s="25" t="n"/>
      <c r="I152" s="25" t="n"/>
      <c r="J152" s="25" t="n"/>
      <c r="K152" s="25" t="n"/>
    </row>
    <row r="153" ht="22" customHeight="1">
      <c r="B153" s="24" t="n"/>
      <c r="C153" s="21" t="n"/>
      <c r="D153" s="21" t="n"/>
      <c r="E153" s="23" t="n"/>
      <c r="F153" s="21" t="n"/>
      <c r="G153" s="21" t="n"/>
      <c r="H153" s="21" t="n"/>
      <c r="I153" s="21" t="n"/>
      <c r="J153" s="21" t="n"/>
      <c r="K153" s="21" t="n"/>
    </row>
    <row r="154" ht="22" customHeight="1">
      <c r="B154" s="28" t="n"/>
      <c r="C154" s="25" t="n"/>
      <c r="D154" s="25" t="n"/>
      <c r="E154" s="27" t="n"/>
      <c r="F154" s="25" t="n"/>
      <c r="G154" s="25" t="n"/>
      <c r="H154" s="25" t="n"/>
      <c r="I154" s="25" t="n"/>
      <c r="J154" s="25" t="n"/>
      <c r="K154" s="25" t="n"/>
    </row>
    <row r="155" ht="22" customHeight="1">
      <c r="B155" s="24" t="n"/>
      <c r="C155" s="21" t="n"/>
      <c r="D155" s="21" t="n"/>
      <c r="E155" s="23" t="n"/>
      <c r="F155" s="21" t="n"/>
      <c r="G155" s="21" t="n"/>
      <c r="H155" s="21" t="n"/>
      <c r="I155" s="21" t="n"/>
      <c r="J155" s="21" t="n"/>
      <c r="K155" s="21" t="n"/>
    </row>
    <row r="156" ht="22" customHeight="1">
      <c r="B156" s="28" t="n"/>
      <c r="C156" s="25" t="n"/>
      <c r="D156" s="25" t="n"/>
      <c r="E156" s="27" t="n"/>
      <c r="F156" s="25" t="n"/>
      <c r="G156" s="25" t="n"/>
      <c r="H156" s="25" t="n"/>
      <c r="I156" s="25" t="n"/>
      <c r="J156" s="25" t="n"/>
      <c r="K156" s="25" t="n"/>
    </row>
    <row r="157" ht="22" customHeight="1">
      <c r="B157" s="24" t="n"/>
      <c r="C157" s="21" t="n"/>
      <c r="D157" s="21" t="n"/>
      <c r="E157" s="23" t="n"/>
      <c r="F157" s="21" t="n"/>
      <c r="G157" s="21" t="n"/>
      <c r="H157" s="21" t="n"/>
      <c r="I157" s="21" t="n"/>
      <c r="J157" s="21" t="n"/>
      <c r="K157" s="21" t="n"/>
    </row>
    <row r="158" ht="22" customHeight="1">
      <c r="B158" s="28" t="n"/>
      <c r="C158" s="25" t="n"/>
      <c r="D158" s="25" t="n"/>
      <c r="E158" s="27" t="n"/>
      <c r="F158" s="25" t="n"/>
      <c r="G158" s="25" t="n"/>
      <c r="H158" s="25" t="n"/>
      <c r="I158" s="25" t="n"/>
      <c r="J158" s="25" t="n"/>
      <c r="K158" s="25" t="n"/>
    </row>
    <row r="159" ht="22" customHeight="1">
      <c r="B159" s="24" t="n"/>
      <c r="C159" s="21" t="n"/>
      <c r="D159" s="21" t="n"/>
      <c r="E159" s="23" t="n"/>
      <c r="F159" s="21" t="n"/>
      <c r="G159" s="21" t="n"/>
      <c r="H159" s="21" t="n"/>
      <c r="I159" s="21" t="n"/>
      <c r="J159" s="21" t="n"/>
      <c r="K159" s="21" t="n"/>
    </row>
    <row r="160" ht="22" customHeight="1">
      <c r="B160" s="28" t="n"/>
      <c r="C160" s="25" t="n"/>
      <c r="D160" s="25" t="n"/>
      <c r="E160" s="27" t="n"/>
      <c r="F160" s="25" t="n"/>
      <c r="G160" s="25" t="n"/>
      <c r="H160" s="25" t="n"/>
      <c r="I160" s="25" t="n"/>
      <c r="J160" s="25" t="n"/>
      <c r="K160" s="25" t="n"/>
    </row>
    <row r="161" ht="22" customHeight="1">
      <c r="B161" s="24" t="n"/>
      <c r="C161" s="21" t="n"/>
      <c r="D161" s="21" t="n"/>
      <c r="E161" s="23" t="n"/>
      <c r="F161" s="21" t="n"/>
      <c r="G161" s="21" t="n"/>
      <c r="H161" s="21" t="n"/>
      <c r="I161" s="21" t="n"/>
      <c r="J161" s="21" t="n"/>
      <c r="K161" s="21" t="n"/>
    </row>
    <row r="162" ht="22" customHeight="1">
      <c r="B162" s="28" t="n"/>
      <c r="C162" s="25" t="n"/>
      <c r="D162" s="25" t="n"/>
      <c r="E162" s="27" t="n"/>
      <c r="F162" s="25" t="n"/>
      <c r="G162" s="25" t="n"/>
      <c r="H162" s="25" t="n"/>
      <c r="I162" s="25" t="n"/>
      <c r="J162" s="25" t="n"/>
      <c r="K162" s="25" t="n"/>
    </row>
    <row r="163" ht="22" customHeight="1">
      <c r="B163" s="24" t="n"/>
      <c r="C163" s="21" t="n"/>
      <c r="D163" s="21" t="n"/>
      <c r="E163" s="23" t="n"/>
      <c r="F163" s="21" t="n"/>
      <c r="G163" s="21" t="n"/>
      <c r="H163" s="21" t="n"/>
      <c r="I163" s="21" t="n"/>
      <c r="J163" s="21" t="n"/>
      <c r="K163" s="21" t="n"/>
    </row>
    <row r="164" ht="22" customHeight="1">
      <c r="B164" s="28" t="n"/>
      <c r="C164" s="25" t="n"/>
      <c r="D164" s="25" t="n"/>
      <c r="E164" s="27" t="n"/>
      <c r="F164" s="25" t="n"/>
      <c r="G164" s="25" t="n"/>
      <c r="H164" s="25" t="n"/>
      <c r="I164" s="25" t="n"/>
      <c r="J164" s="25" t="n"/>
      <c r="K164" s="25" t="n"/>
    </row>
    <row r="165" ht="22" customHeight="1">
      <c r="B165" s="24" t="n"/>
      <c r="C165" s="21" t="n"/>
      <c r="D165" s="21" t="n"/>
      <c r="E165" s="23" t="n"/>
      <c r="F165" s="21" t="n"/>
      <c r="G165" s="21" t="n"/>
      <c r="H165" s="21" t="n"/>
      <c r="I165" s="21" t="n"/>
      <c r="J165" s="21" t="n"/>
      <c r="K165" s="21" t="n"/>
    </row>
    <row r="166" ht="22" customHeight="1">
      <c r="B166" s="28" t="n"/>
      <c r="C166" s="25" t="n"/>
      <c r="D166" s="25" t="n"/>
      <c r="E166" s="27" t="n"/>
      <c r="F166" s="25" t="n"/>
      <c r="G166" s="25" t="n"/>
      <c r="H166" s="25" t="n"/>
      <c r="I166" s="25" t="n"/>
      <c r="J166" s="25" t="n"/>
      <c r="K166" s="25" t="n"/>
    </row>
    <row r="167" ht="22" customHeight="1">
      <c r="B167" s="24" t="n"/>
      <c r="C167" s="21" t="n"/>
      <c r="D167" s="21" t="n"/>
      <c r="E167" s="23" t="n"/>
      <c r="F167" s="21" t="n"/>
      <c r="G167" s="21" t="n"/>
      <c r="H167" s="21" t="n"/>
      <c r="I167" s="21" t="n"/>
      <c r="J167" s="21" t="n"/>
      <c r="K167" s="21" t="n"/>
    </row>
    <row r="168" ht="22" customHeight="1">
      <c r="B168" s="28" t="n"/>
      <c r="C168" s="25" t="n"/>
      <c r="D168" s="25" t="n"/>
      <c r="E168" s="27" t="n"/>
      <c r="F168" s="25" t="n"/>
      <c r="G168" s="25" t="n"/>
      <c r="H168" s="25" t="n"/>
      <c r="I168" s="25" t="n"/>
      <c r="J168" s="25" t="n"/>
      <c r="K168" s="25" t="n"/>
    </row>
    <row r="169" ht="22" customHeight="1">
      <c r="B169" s="24" t="n"/>
      <c r="C169" s="21" t="n"/>
      <c r="D169" s="21" t="n"/>
      <c r="E169" s="23" t="n"/>
      <c r="F169" s="21" t="n"/>
      <c r="G169" s="21" t="n"/>
      <c r="H169" s="21" t="n"/>
      <c r="I169" s="21" t="n"/>
      <c r="J169" s="21" t="n"/>
      <c r="K169" s="21" t="n"/>
    </row>
    <row r="170" ht="22" customHeight="1">
      <c r="B170" s="28" t="n"/>
      <c r="C170" s="25" t="n"/>
      <c r="D170" s="25" t="n"/>
      <c r="E170" s="27" t="n"/>
      <c r="F170" s="25" t="n"/>
      <c r="G170" s="25" t="n"/>
      <c r="H170" s="25" t="n"/>
      <c r="I170" s="25" t="n"/>
      <c r="J170" s="25" t="n"/>
      <c r="K170" s="25" t="n"/>
    </row>
    <row r="171" ht="22" customHeight="1">
      <c r="B171" s="24" t="n"/>
      <c r="C171" s="21" t="n"/>
      <c r="D171" s="21" t="n"/>
      <c r="E171" s="23" t="n"/>
      <c r="F171" s="21" t="n"/>
      <c r="G171" s="21" t="n"/>
      <c r="H171" s="21" t="n"/>
      <c r="I171" s="21" t="n"/>
      <c r="J171" s="21" t="n"/>
      <c r="K171" s="21" t="n"/>
    </row>
    <row r="172" ht="22" customHeight="1">
      <c r="B172" s="28" t="n"/>
      <c r="C172" s="25" t="n"/>
      <c r="D172" s="25" t="n"/>
      <c r="E172" s="27" t="n"/>
      <c r="F172" s="25" t="n"/>
      <c r="G172" s="25" t="n"/>
      <c r="H172" s="25" t="n"/>
      <c r="I172" s="25" t="n"/>
      <c r="J172" s="25" t="n"/>
      <c r="K172" s="25" t="n"/>
    </row>
    <row r="173" ht="22" customHeight="1">
      <c r="B173" s="24" t="n"/>
      <c r="C173" s="21" t="n"/>
      <c r="D173" s="21" t="n"/>
      <c r="E173" s="23" t="n"/>
      <c r="F173" s="21" t="n"/>
      <c r="G173" s="21" t="n"/>
      <c r="H173" s="21" t="n"/>
      <c r="I173" s="21" t="n"/>
      <c r="J173" s="21" t="n"/>
      <c r="K173" s="21" t="n"/>
    </row>
    <row r="174" ht="22" customHeight="1">
      <c r="B174" s="28" t="n"/>
      <c r="C174" s="25" t="n"/>
      <c r="D174" s="25" t="n"/>
      <c r="E174" s="27" t="n"/>
      <c r="F174" s="25" t="n"/>
      <c r="G174" s="25" t="n"/>
      <c r="H174" s="25" t="n"/>
      <c r="I174" s="25" t="n"/>
      <c r="J174" s="25" t="n"/>
      <c r="K174" s="25" t="n"/>
    </row>
    <row r="175" ht="22" customHeight="1">
      <c r="B175" s="24" t="n"/>
      <c r="C175" s="21" t="n"/>
      <c r="D175" s="21" t="n"/>
      <c r="E175" s="23" t="n"/>
      <c r="F175" s="21" t="n"/>
      <c r="G175" s="21" t="n"/>
      <c r="H175" s="21" t="n"/>
      <c r="I175" s="21" t="n"/>
      <c r="J175" s="21" t="n"/>
      <c r="K175" s="21" t="n"/>
    </row>
    <row r="176" ht="22" customHeight="1">
      <c r="B176" s="28" t="n"/>
      <c r="C176" s="25" t="n"/>
      <c r="D176" s="25" t="n"/>
      <c r="E176" s="27" t="n"/>
      <c r="F176" s="25" t="n"/>
      <c r="G176" s="25" t="n"/>
      <c r="H176" s="25" t="n"/>
      <c r="I176" s="25" t="n"/>
      <c r="J176" s="25" t="n"/>
      <c r="K176" s="25" t="n"/>
    </row>
    <row r="177" ht="22" customHeight="1">
      <c r="B177" s="24" t="n"/>
      <c r="C177" s="21" t="n"/>
      <c r="D177" s="21" t="n"/>
      <c r="E177" s="23" t="n"/>
      <c r="F177" s="21" t="n"/>
      <c r="G177" s="21" t="n"/>
      <c r="H177" s="21" t="n"/>
      <c r="I177" s="21" t="n"/>
      <c r="J177" s="21" t="n"/>
      <c r="K177" s="21" t="n"/>
    </row>
    <row r="178" ht="22" customHeight="1">
      <c r="B178" s="28" t="n"/>
      <c r="C178" s="25" t="n"/>
      <c r="D178" s="25" t="n"/>
      <c r="E178" s="27" t="n"/>
      <c r="F178" s="25" t="n"/>
      <c r="G178" s="25" t="n"/>
      <c r="H178" s="25" t="n"/>
      <c r="I178" s="25" t="n"/>
      <c r="J178" s="25" t="n"/>
      <c r="K178" s="25" t="n"/>
    </row>
    <row r="179" ht="22" customHeight="1">
      <c r="B179" s="24" t="n"/>
      <c r="C179" s="21" t="n"/>
      <c r="D179" s="21" t="n"/>
      <c r="E179" s="23" t="n"/>
      <c r="F179" s="21" t="n"/>
      <c r="G179" s="21" t="n"/>
      <c r="H179" s="21" t="n"/>
      <c r="I179" s="21" t="n"/>
      <c r="J179" s="21" t="n"/>
      <c r="K179" s="21" t="n"/>
    </row>
    <row r="180" ht="22" customHeight="1">
      <c r="B180" s="28" t="n"/>
      <c r="C180" s="25" t="n"/>
      <c r="D180" s="25" t="n"/>
      <c r="E180" s="27" t="n"/>
      <c r="F180" s="25" t="n"/>
      <c r="G180" s="25" t="n"/>
      <c r="H180" s="25" t="n"/>
      <c r="I180" s="25" t="n"/>
      <c r="J180" s="25" t="n"/>
      <c r="K180" s="25" t="n"/>
    </row>
    <row r="181" ht="22" customHeight="1">
      <c r="B181" s="24" t="n"/>
      <c r="C181" s="21" t="n"/>
      <c r="D181" s="21" t="n"/>
      <c r="E181" s="23" t="n"/>
      <c r="F181" s="21" t="n"/>
      <c r="G181" s="21" t="n"/>
      <c r="H181" s="21" t="n"/>
      <c r="I181" s="21" t="n"/>
      <c r="J181" s="21" t="n"/>
      <c r="K181" s="21" t="n"/>
    </row>
    <row r="182" ht="22" customHeight="1">
      <c r="B182" s="28" t="n"/>
      <c r="C182" s="25" t="n"/>
      <c r="D182" s="25" t="n"/>
      <c r="E182" s="27" t="n"/>
      <c r="F182" s="25" t="n"/>
      <c r="G182" s="25" t="n"/>
      <c r="H182" s="25" t="n"/>
      <c r="I182" s="25" t="n"/>
      <c r="J182" s="25" t="n"/>
      <c r="K182" s="25" t="n"/>
    </row>
    <row r="183" ht="22" customHeight="1">
      <c r="B183" s="24" t="n"/>
      <c r="C183" s="21" t="n"/>
      <c r="D183" s="21" t="n"/>
      <c r="E183" s="23" t="n"/>
      <c r="F183" s="21" t="n"/>
      <c r="G183" s="21" t="n"/>
      <c r="H183" s="21" t="n"/>
      <c r="I183" s="21" t="n"/>
      <c r="J183" s="21" t="n"/>
      <c r="K183" s="21" t="n"/>
    </row>
    <row r="184" ht="22" customHeight="1">
      <c r="B184" s="28" t="n"/>
      <c r="C184" s="25" t="n"/>
      <c r="D184" s="25" t="n"/>
      <c r="E184" s="27" t="n"/>
      <c r="F184" s="25" t="n"/>
      <c r="G184" s="25" t="n"/>
      <c r="H184" s="25" t="n"/>
      <c r="I184" s="25" t="n"/>
      <c r="J184" s="25" t="n"/>
      <c r="K184" s="25" t="n"/>
    </row>
    <row r="185" ht="22" customHeight="1">
      <c r="B185" s="24" t="n"/>
      <c r="C185" s="21" t="n"/>
      <c r="D185" s="21" t="n"/>
      <c r="E185" s="23" t="n"/>
      <c r="F185" s="21" t="n"/>
      <c r="G185" s="21" t="n"/>
      <c r="H185" s="21" t="n"/>
      <c r="I185" s="21" t="n"/>
      <c r="J185" s="21" t="n"/>
      <c r="K185" s="21" t="n"/>
    </row>
    <row r="186" ht="22" customHeight="1">
      <c r="B186" s="28" t="n"/>
      <c r="C186" s="25" t="n"/>
      <c r="D186" s="25" t="n"/>
      <c r="E186" s="27" t="n"/>
      <c r="F186" s="25" t="n"/>
      <c r="G186" s="25" t="n"/>
      <c r="H186" s="25" t="n"/>
      <c r="I186" s="25" t="n"/>
      <c r="J186" s="25" t="n"/>
      <c r="K186" s="25" t="n"/>
    </row>
    <row r="187" ht="22" customHeight="1">
      <c r="B187" s="24" t="n"/>
      <c r="C187" s="21" t="n"/>
      <c r="D187" s="21" t="n"/>
      <c r="E187" s="23" t="n"/>
      <c r="F187" s="21" t="n"/>
      <c r="G187" s="21" t="n"/>
      <c r="H187" s="21" t="n"/>
      <c r="I187" s="21" t="n"/>
      <c r="J187" s="21" t="n"/>
      <c r="K187" s="21" t="n"/>
    </row>
    <row r="188" ht="22" customHeight="1">
      <c r="B188" s="28" t="n"/>
      <c r="C188" s="25" t="n"/>
      <c r="D188" s="25" t="n"/>
      <c r="E188" s="27" t="n"/>
      <c r="F188" s="25" t="n"/>
      <c r="G188" s="25" t="n"/>
      <c r="H188" s="25" t="n"/>
      <c r="I188" s="25" t="n"/>
      <c r="J188" s="25" t="n"/>
      <c r="K188" s="25" t="n"/>
    </row>
    <row r="189" ht="22" customHeight="1">
      <c r="B189" s="24" t="n"/>
      <c r="C189" s="21" t="n"/>
      <c r="D189" s="21" t="n"/>
      <c r="E189" s="23" t="n"/>
      <c r="F189" s="21" t="n"/>
      <c r="G189" s="21" t="n"/>
      <c r="H189" s="21" t="n"/>
      <c r="I189" s="21" t="n"/>
      <c r="J189" s="21" t="n"/>
      <c r="K189" s="21" t="n"/>
    </row>
    <row r="190" ht="22" customHeight="1">
      <c r="B190" s="28" t="n"/>
      <c r="C190" s="25" t="n"/>
      <c r="D190" s="25" t="n"/>
      <c r="E190" s="27" t="n"/>
      <c r="F190" s="25" t="n"/>
      <c r="G190" s="25" t="n"/>
      <c r="H190" s="25" t="n"/>
      <c r="I190" s="25" t="n"/>
      <c r="J190" s="25" t="n"/>
      <c r="K190" s="25" t="n"/>
    </row>
    <row r="191" ht="22" customHeight="1">
      <c r="B191" s="24" t="n"/>
      <c r="C191" s="21" t="n"/>
      <c r="D191" s="21" t="n"/>
      <c r="E191" s="23" t="n"/>
      <c r="F191" s="21" t="n"/>
      <c r="G191" s="21" t="n"/>
      <c r="H191" s="21" t="n"/>
      <c r="I191" s="21" t="n"/>
      <c r="J191" s="21" t="n"/>
      <c r="K191" s="21" t="n"/>
    </row>
    <row r="192" ht="22" customHeight="1">
      <c r="B192" s="28" t="n"/>
      <c r="C192" s="25" t="n"/>
      <c r="D192" s="25" t="n"/>
      <c r="E192" s="27" t="n"/>
      <c r="F192" s="25" t="n"/>
      <c r="G192" s="25" t="n"/>
      <c r="H192" s="25" t="n"/>
      <c r="I192" s="25" t="n"/>
      <c r="J192" s="25" t="n"/>
      <c r="K192" s="25" t="n"/>
    </row>
    <row r="193" ht="22" customHeight="1">
      <c r="B193" s="24" t="n"/>
      <c r="C193" s="21" t="n"/>
      <c r="D193" s="21" t="n"/>
      <c r="E193" s="23" t="n"/>
      <c r="F193" s="21" t="n"/>
      <c r="G193" s="21" t="n"/>
      <c r="H193" s="21" t="n"/>
      <c r="I193" s="21" t="n"/>
      <c r="J193" s="21" t="n"/>
      <c r="K193" s="21" t="n"/>
    </row>
    <row r="194" ht="22" customHeight="1">
      <c r="B194" s="28" t="n"/>
      <c r="C194" s="25" t="n"/>
      <c r="D194" s="25" t="n"/>
      <c r="E194" s="27" t="n"/>
      <c r="F194" s="25" t="n"/>
      <c r="G194" s="25" t="n"/>
      <c r="H194" s="25" t="n"/>
      <c r="I194" s="25" t="n"/>
      <c r="J194" s="25" t="n"/>
      <c r="K194" s="25" t="n"/>
    </row>
    <row r="195" ht="22" customHeight="1">
      <c r="B195" s="24" t="n"/>
      <c r="C195" s="21" t="n"/>
      <c r="D195" s="21" t="n"/>
      <c r="E195" s="23" t="n"/>
      <c r="F195" s="21" t="n"/>
      <c r="G195" s="21" t="n"/>
      <c r="H195" s="21" t="n"/>
      <c r="I195" s="21" t="n"/>
      <c r="J195" s="21" t="n"/>
      <c r="K195" s="21" t="n"/>
    </row>
    <row r="196" ht="22" customHeight="1">
      <c r="B196" s="28" t="n"/>
      <c r="C196" s="25" t="n"/>
      <c r="D196" s="25" t="n"/>
      <c r="E196" s="27" t="n"/>
      <c r="F196" s="25" t="n"/>
      <c r="G196" s="25" t="n"/>
      <c r="H196" s="25" t="n"/>
      <c r="I196" s="25" t="n"/>
      <c r="J196" s="25" t="n"/>
      <c r="K196" s="25" t="n"/>
    </row>
    <row r="197" ht="22" customHeight="1">
      <c r="B197" s="24" t="n"/>
      <c r="C197" s="21" t="n"/>
      <c r="D197" s="21" t="n"/>
      <c r="E197" s="23" t="n"/>
      <c r="F197" s="21" t="n"/>
      <c r="G197" s="21" t="n"/>
      <c r="H197" s="21" t="n"/>
      <c r="I197" s="21" t="n"/>
      <c r="J197" s="21" t="n"/>
      <c r="K197" s="21" t="n"/>
    </row>
    <row r="198" ht="22" customHeight="1">
      <c r="B198" s="28" t="n"/>
      <c r="C198" s="25" t="n"/>
      <c r="D198" s="25" t="n"/>
      <c r="E198" s="27" t="n"/>
      <c r="F198" s="25" t="n"/>
      <c r="G198" s="25" t="n"/>
      <c r="H198" s="25" t="n"/>
      <c r="I198" s="25" t="n"/>
      <c r="J198" s="25" t="n"/>
      <c r="K198" s="25" t="n"/>
    </row>
    <row r="199" ht="22" customHeight="1">
      <c r="B199" s="24" t="n"/>
      <c r="C199" s="21" t="n"/>
      <c r="D199" s="21" t="n"/>
      <c r="E199" s="23" t="n"/>
      <c r="F199" s="21" t="n"/>
      <c r="G199" s="21" t="n"/>
      <c r="H199" s="21" t="n"/>
      <c r="I199" s="21" t="n"/>
      <c r="J199" s="21" t="n"/>
      <c r="K199" s="21" t="n"/>
    </row>
    <row r="200" ht="22" customHeight="1">
      <c r="B200" s="28" t="n"/>
      <c r="C200" s="25" t="n"/>
      <c r="D200" s="25" t="n"/>
      <c r="E200" s="27" t="n"/>
      <c r="F200" s="25" t="n"/>
      <c r="G200" s="25" t="n"/>
      <c r="H200" s="25" t="n"/>
      <c r="I200" s="25" t="n"/>
      <c r="J200" s="25" t="n"/>
      <c r="K200" s="25" t="n"/>
    </row>
    <row r="201" ht="22" customHeight="1">
      <c r="B201" s="24" t="n"/>
      <c r="C201" s="21" t="n"/>
      <c r="D201" s="21" t="n"/>
      <c r="E201" s="23" t="n"/>
      <c r="F201" s="21" t="n"/>
      <c r="G201" s="21" t="n"/>
      <c r="H201" s="21" t="n"/>
      <c r="I201" s="21" t="n"/>
      <c r="J201" s="21" t="n"/>
      <c r="K201" s="21" t="n"/>
    </row>
    <row r="202" ht="22" customHeight="1">
      <c r="B202" s="28" t="n"/>
      <c r="C202" s="25" t="n"/>
      <c r="D202" s="25" t="n"/>
      <c r="E202" s="27" t="n"/>
      <c r="F202" s="25" t="n"/>
      <c r="G202" s="25" t="n"/>
      <c r="H202" s="25" t="n"/>
      <c r="I202" s="25" t="n"/>
      <c r="J202" s="25" t="n"/>
      <c r="K202" s="25" t="n"/>
    </row>
    <row r="203" ht="22" customHeight="1">
      <c r="B203" s="24" t="n"/>
      <c r="C203" s="21" t="n"/>
      <c r="D203" s="21" t="n"/>
      <c r="E203" s="23" t="n"/>
      <c r="F203" s="21" t="n"/>
      <c r="G203" s="21" t="n"/>
      <c r="H203" s="21" t="n"/>
      <c r="I203" s="21" t="n"/>
      <c r="J203" s="21" t="n"/>
      <c r="K203" s="21" t="n"/>
    </row>
    <row r="204" ht="22" customHeight="1">
      <c r="B204" s="28" t="n"/>
      <c r="C204" s="25" t="n"/>
      <c r="D204" s="25" t="n"/>
      <c r="E204" s="27" t="n"/>
      <c r="F204" s="25" t="n"/>
      <c r="G204" s="25" t="n"/>
      <c r="H204" s="25" t="n"/>
      <c r="I204" s="25" t="n"/>
      <c r="J204" s="25" t="n"/>
      <c r="K204" s="25" t="n"/>
    </row>
    <row r="205" ht="22" customHeight="1">
      <c r="B205" s="24" t="n"/>
      <c r="C205" s="21" t="n"/>
      <c r="D205" s="21" t="n"/>
      <c r="E205" s="23" t="n"/>
      <c r="F205" s="21" t="n"/>
      <c r="G205" s="21" t="n"/>
      <c r="H205" s="21" t="n"/>
      <c r="I205" s="21" t="n"/>
      <c r="J205" s="21" t="n"/>
      <c r="K205" s="21" t="n"/>
    </row>
    <row r="206" ht="22" customHeight="1">
      <c r="B206" s="28" t="n"/>
      <c r="C206" s="25" t="n"/>
      <c r="D206" s="25" t="n"/>
      <c r="E206" s="27" t="n"/>
      <c r="F206" s="25" t="n"/>
      <c r="G206" s="25" t="n"/>
      <c r="H206" s="25" t="n"/>
      <c r="I206" s="25" t="n"/>
      <c r="J206" s="25" t="n"/>
      <c r="K206" s="25" t="n"/>
    </row>
    <row r="207" ht="22" customHeight="1">
      <c r="B207" s="24" t="n"/>
      <c r="C207" s="21" t="n"/>
      <c r="D207" s="21" t="n"/>
      <c r="E207" s="23" t="n"/>
      <c r="F207" s="21" t="n"/>
      <c r="G207" s="21" t="n"/>
      <c r="H207" s="21" t="n"/>
      <c r="I207" s="21" t="n"/>
      <c r="J207" s="21" t="n"/>
      <c r="K207" s="21" t="n"/>
    </row>
    <row r="208" ht="22" customHeight="1">
      <c r="B208" s="28" t="n"/>
      <c r="C208" s="25" t="n"/>
      <c r="D208" s="25" t="n"/>
      <c r="E208" s="27" t="n"/>
      <c r="F208" s="25" t="n"/>
      <c r="G208" s="25" t="n"/>
      <c r="H208" s="25" t="n"/>
      <c r="I208" s="25" t="n"/>
      <c r="J208" s="25" t="n"/>
      <c r="K208" s="25" t="n"/>
    </row>
    <row r="209" ht="22" customHeight="1">
      <c r="B209" s="24" t="n"/>
      <c r="C209" s="21" t="n"/>
      <c r="D209" s="21" t="n"/>
      <c r="E209" s="23" t="n"/>
      <c r="F209" s="21" t="n"/>
      <c r="G209" s="21" t="n"/>
      <c r="H209" s="21" t="n"/>
      <c r="I209" s="21" t="n"/>
      <c r="J209" s="21" t="n"/>
      <c r="K209" s="21" t="n"/>
    </row>
    <row r="210" ht="22" customHeight="1">
      <c r="B210" s="28" t="n"/>
      <c r="C210" s="25" t="n"/>
      <c r="D210" s="25" t="n"/>
      <c r="E210" s="27" t="n"/>
      <c r="F210" s="25" t="n"/>
      <c r="G210" s="25" t="n"/>
      <c r="H210" s="25" t="n"/>
      <c r="I210" s="25" t="n"/>
      <c r="J210" s="25" t="n"/>
      <c r="K210" s="25" t="n"/>
    </row>
    <row r="211" ht="22" customHeight="1">
      <c r="B211" s="24" t="n"/>
      <c r="C211" s="21" t="n"/>
      <c r="D211" s="21" t="n"/>
      <c r="E211" s="23" t="n"/>
      <c r="F211" s="21" t="n"/>
      <c r="G211" s="21" t="n"/>
      <c r="H211" s="21" t="n"/>
      <c r="I211" s="21" t="n"/>
      <c r="J211" s="21" t="n"/>
      <c r="K211" s="21" t="n"/>
    </row>
    <row r="212" ht="22" customHeight="1">
      <c r="B212" s="28" t="n"/>
      <c r="C212" s="25" t="n"/>
      <c r="D212" s="25" t="n"/>
      <c r="E212" s="27" t="n"/>
      <c r="F212" s="25" t="n"/>
      <c r="G212" s="25" t="n"/>
      <c r="H212" s="25" t="n"/>
      <c r="I212" s="25" t="n"/>
      <c r="J212" s="25" t="n"/>
      <c r="K212" s="25" t="n"/>
    </row>
    <row r="213" ht="22" customHeight="1">
      <c r="B213" s="24" t="n"/>
      <c r="C213" s="21" t="n"/>
      <c r="D213" s="21" t="n"/>
      <c r="E213" s="23" t="n"/>
      <c r="F213" s="21" t="n"/>
      <c r="G213" s="21" t="n"/>
      <c r="H213" s="21" t="n"/>
      <c r="I213" s="21" t="n"/>
      <c r="J213" s="21" t="n"/>
      <c r="K213" s="21" t="n"/>
    </row>
    <row r="214" ht="22" customHeight="1">
      <c r="B214" s="28" t="n"/>
      <c r="C214" s="25" t="n"/>
      <c r="D214" s="25" t="n"/>
      <c r="E214" s="27" t="n"/>
      <c r="F214" s="25" t="n"/>
      <c r="G214" s="25" t="n"/>
      <c r="H214" s="25" t="n"/>
      <c r="I214" s="25" t="n"/>
      <c r="J214" s="25" t="n"/>
      <c r="K214" s="25" t="n"/>
    </row>
    <row r="215" ht="22" customHeight="1">
      <c r="B215" s="24" t="n"/>
      <c r="C215" s="21" t="n"/>
      <c r="D215" s="21" t="n"/>
      <c r="E215" s="23" t="n"/>
      <c r="F215" s="21" t="n"/>
      <c r="G215" s="21" t="n"/>
      <c r="H215" s="21" t="n"/>
      <c r="I215" s="21" t="n"/>
      <c r="J215" s="21" t="n"/>
      <c r="K215" s="21" t="n"/>
    </row>
    <row r="216" ht="22" customHeight="1">
      <c r="B216" s="28" t="n"/>
      <c r="C216" s="25" t="n"/>
      <c r="D216" s="25" t="n"/>
      <c r="E216" s="27" t="n"/>
      <c r="F216" s="25" t="n"/>
      <c r="G216" s="25" t="n"/>
      <c r="H216" s="25" t="n"/>
      <c r="I216" s="25" t="n"/>
      <c r="J216" s="25" t="n"/>
      <c r="K216" s="25" t="n"/>
    </row>
    <row r="217" ht="22" customHeight="1">
      <c r="B217" s="24" t="n"/>
      <c r="C217" s="21" t="n"/>
      <c r="D217" s="21" t="n"/>
      <c r="E217" s="23" t="n"/>
      <c r="F217" s="21" t="n"/>
      <c r="G217" s="21" t="n"/>
      <c r="H217" s="21" t="n"/>
      <c r="I217" s="21" t="n"/>
      <c r="J217" s="21" t="n"/>
      <c r="K217" s="21" t="n"/>
    </row>
    <row r="218" ht="22" customHeight="1">
      <c r="B218" s="28" t="n"/>
      <c r="C218" s="25" t="n"/>
      <c r="D218" s="25" t="n"/>
      <c r="E218" s="27" t="n"/>
      <c r="F218" s="25" t="n"/>
      <c r="G218" s="25" t="n"/>
      <c r="H218" s="25" t="n"/>
      <c r="I218" s="25" t="n"/>
      <c r="J218" s="25" t="n"/>
      <c r="K218" s="25" t="n"/>
    </row>
    <row r="219" ht="22" customHeight="1">
      <c r="B219" s="24" t="n"/>
      <c r="C219" s="21" t="n"/>
      <c r="D219" s="21" t="n"/>
      <c r="E219" s="23" t="n"/>
      <c r="F219" s="21" t="n"/>
      <c r="G219" s="21" t="n"/>
      <c r="H219" s="21" t="n"/>
      <c r="I219" s="21" t="n"/>
      <c r="J219" s="21" t="n"/>
      <c r="K219" s="21" t="n"/>
    </row>
    <row r="220" ht="22" customHeight="1">
      <c r="B220" s="28" t="n"/>
      <c r="C220" s="25" t="n"/>
      <c r="D220" s="25" t="n"/>
      <c r="E220" s="27" t="n"/>
      <c r="F220" s="25" t="n"/>
      <c r="G220" s="25" t="n"/>
      <c r="H220" s="25" t="n"/>
      <c r="I220" s="25" t="n"/>
      <c r="J220" s="25" t="n"/>
      <c r="K220" s="25" t="n"/>
    </row>
    <row r="221" ht="22" customHeight="1">
      <c r="B221" s="24" t="n"/>
      <c r="C221" s="21" t="n"/>
      <c r="D221" s="21" t="n"/>
      <c r="E221" s="23" t="n"/>
      <c r="F221" s="21" t="n"/>
      <c r="G221" s="21" t="n"/>
      <c r="H221" s="21" t="n"/>
      <c r="I221" s="21" t="n"/>
      <c r="J221" s="21" t="n"/>
      <c r="K221" s="21" t="n"/>
    </row>
    <row r="222" ht="22" customHeight="1">
      <c r="B222" s="28" t="n"/>
      <c r="C222" s="25" t="n"/>
      <c r="D222" s="25" t="n"/>
      <c r="E222" s="27" t="n"/>
      <c r="F222" s="25" t="n"/>
      <c r="G222" s="25" t="n"/>
      <c r="H222" s="25" t="n"/>
      <c r="I222" s="25" t="n"/>
      <c r="J222" s="25" t="n"/>
      <c r="K222" s="25" t="n"/>
    </row>
    <row r="223" ht="22" customHeight="1">
      <c r="B223" s="24" t="n"/>
      <c r="C223" s="21" t="n"/>
      <c r="D223" s="21" t="n"/>
      <c r="E223" s="23" t="n"/>
      <c r="F223" s="21" t="n"/>
      <c r="G223" s="21" t="n"/>
      <c r="H223" s="21" t="n"/>
      <c r="I223" s="21" t="n"/>
      <c r="J223" s="21" t="n"/>
      <c r="K223" s="21" t="n"/>
    </row>
    <row r="224" ht="22" customHeight="1">
      <c r="B224" s="28" t="n"/>
      <c r="C224" s="25" t="n"/>
      <c r="D224" s="25" t="n"/>
      <c r="E224" s="27" t="n"/>
      <c r="F224" s="25" t="n"/>
      <c r="G224" s="25" t="n"/>
      <c r="H224" s="25" t="n"/>
      <c r="I224" s="25" t="n"/>
      <c r="J224" s="25" t="n"/>
      <c r="K224" s="25" t="n"/>
    </row>
    <row r="225" ht="22" customHeight="1">
      <c r="B225" s="24" t="n"/>
      <c r="C225" s="21" t="n"/>
      <c r="D225" s="21" t="n"/>
      <c r="E225" s="23" t="n"/>
      <c r="F225" s="21" t="n"/>
      <c r="G225" s="21" t="n"/>
      <c r="H225" s="21" t="n"/>
      <c r="I225" s="21" t="n"/>
      <c r="J225" s="21" t="n"/>
      <c r="K225" s="21" t="n"/>
    </row>
    <row r="226" ht="22" customHeight="1">
      <c r="B226" s="28" t="n"/>
      <c r="C226" s="25" t="n"/>
      <c r="D226" s="25" t="n"/>
      <c r="E226" s="27" t="n"/>
      <c r="F226" s="25" t="n"/>
      <c r="G226" s="25" t="n"/>
      <c r="H226" s="25" t="n"/>
      <c r="I226" s="25" t="n"/>
      <c r="J226" s="25" t="n"/>
      <c r="K226" s="25" t="n"/>
    </row>
    <row r="227" ht="22" customHeight="1">
      <c r="B227" s="24" t="n"/>
      <c r="C227" s="21" t="n"/>
      <c r="D227" s="21" t="n"/>
      <c r="E227" s="23" t="n"/>
      <c r="F227" s="21" t="n"/>
      <c r="G227" s="21" t="n"/>
      <c r="H227" s="21" t="n"/>
      <c r="I227" s="21" t="n"/>
      <c r="J227" s="21" t="n"/>
      <c r="K227" s="21" t="n"/>
    </row>
    <row r="228" ht="22" customHeight="1">
      <c r="B228" s="28" t="n"/>
      <c r="C228" s="25" t="n"/>
      <c r="D228" s="25" t="n"/>
      <c r="E228" s="27" t="n"/>
      <c r="F228" s="25" t="n"/>
      <c r="G228" s="25" t="n"/>
      <c r="H228" s="25" t="n"/>
      <c r="I228" s="25" t="n"/>
      <c r="J228" s="25" t="n"/>
      <c r="K228" s="25" t="n"/>
    </row>
    <row r="229" ht="22" customHeight="1">
      <c r="B229" s="24" t="n"/>
      <c r="C229" s="21" t="n"/>
      <c r="D229" s="21" t="n"/>
      <c r="E229" s="23" t="n"/>
      <c r="F229" s="21" t="n"/>
      <c r="G229" s="21" t="n"/>
      <c r="H229" s="21" t="n"/>
      <c r="I229" s="21" t="n"/>
      <c r="J229" s="21" t="n"/>
      <c r="K229" s="21" t="n"/>
    </row>
    <row r="230" ht="22" customHeight="1">
      <c r="B230" s="28" t="n"/>
      <c r="C230" s="25" t="n"/>
      <c r="D230" s="25" t="n"/>
      <c r="E230" s="27" t="n"/>
      <c r="F230" s="25" t="n"/>
      <c r="G230" s="25" t="n"/>
      <c r="H230" s="25" t="n"/>
      <c r="I230" s="25" t="n"/>
      <c r="J230" s="25" t="n"/>
      <c r="K230" s="25" t="n"/>
    </row>
    <row r="231" ht="22" customHeight="1">
      <c r="B231" s="24" t="n"/>
      <c r="C231" s="21" t="n"/>
      <c r="D231" s="21" t="n"/>
      <c r="E231" s="23" t="n"/>
      <c r="F231" s="21" t="n"/>
      <c r="G231" s="21" t="n"/>
      <c r="H231" s="21" t="n"/>
      <c r="I231" s="21" t="n"/>
      <c r="J231" s="21" t="n"/>
      <c r="K231" s="21" t="n"/>
    </row>
    <row r="232" ht="22" customHeight="1">
      <c r="B232" s="28" t="n"/>
      <c r="C232" s="25" t="n"/>
      <c r="D232" s="25" t="n"/>
      <c r="E232" s="27" t="n"/>
      <c r="F232" s="25" t="n"/>
      <c r="G232" s="25" t="n"/>
      <c r="H232" s="25" t="n"/>
      <c r="I232" s="25" t="n"/>
      <c r="J232" s="25" t="n"/>
      <c r="K232" s="25" t="n"/>
    </row>
    <row r="233" ht="22" customHeight="1">
      <c r="B233" s="24" t="n"/>
      <c r="C233" s="21" t="n"/>
      <c r="D233" s="21" t="n"/>
      <c r="E233" s="23" t="n"/>
      <c r="F233" s="21" t="n"/>
      <c r="G233" s="21" t="n"/>
      <c r="H233" s="21" t="n"/>
      <c r="I233" s="21" t="n"/>
      <c r="J233" s="21" t="n"/>
      <c r="K233" s="21" t="n"/>
    </row>
    <row r="234" ht="22" customHeight="1">
      <c r="B234" s="28" t="n"/>
      <c r="C234" s="25" t="n"/>
      <c r="D234" s="25" t="n"/>
      <c r="E234" s="27" t="n"/>
      <c r="F234" s="25" t="n"/>
      <c r="G234" s="25" t="n"/>
      <c r="H234" s="25" t="n"/>
      <c r="I234" s="25" t="n"/>
      <c r="J234" s="25" t="n"/>
      <c r="K234" s="25" t="n"/>
    </row>
    <row r="235" ht="22" customHeight="1">
      <c r="B235" s="24" t="n"/>
      <c r="C235" s="21" t="n"/>
      <c r="D235" s="21" t="n"/>
      <c r="E235" s="23" t="n"/>
      <c r="F235" s="21" t="n"/>
      <c r="G235" s="21" t="n"/>
      <c r="H235" s="21" t="n"/>
      <c r="I235" s="21" t="n"/>
      <c r="J235" s="21" t="n"/>
      <c r="K235" s="21" t="n"/>
    </row>
    <row r="236" ht="22" customHeight="1">
      <c r="B236" s="28" t="n"/>
      <c r="C236" s="25" t="n"/>
      <c r="D236" s="25" t="n"/>
      <c r="E236" s="27" t="n"/>
      <c r="F236" s="25" t="n"/>
      <c r="G236" s="25" t="n"/>
      <c r="H236" s="25" t="n"/>
      <c r="I236" s="25" t="n"/>
      <c r="J236" s="25" t="n"/>
      <c r="K236" s="25" t="n"/>
    </row>
    <row r="237" ht="22" customHeight="1">
      <c r="B237" s="24" t="n"/>
      <c r="C237" s="21" t="n"/>
      <c r="D237" s="21" t="n"/>
      <c r="E237" s="23" t="n"/>
      <c r="F237" s="21" t="n"/>
      <c r="G237" s="21" t="n"/>
      <c r="H237" s="21" t="n"/>
      <c r="I237" s="21" t="n"/>
      <c r="J237" s="21" t="n"/>
      <c r="K237" s="21" t="n"/>
    </row>
    <row r="238" ht="22" customHeight="1">
      <c r="B238" s="28" t="n"/>
      <c r="C238" s="25" t="n"/>
      <c r="D238" s="25" t="n"/>
      <c r="E238" s="27" t="n"/>
      <c r="F238" s="25" t="n"/>
      <c r="G238" s="25" t="n"/>
      <c r="H238" s="25" t="n"/>
      <c r="I238" s="25" t="n"/>
      <c r="J238" s="25" t="n"/>
      <c r="K238" s="25" t="n"/>
    </row>
    <row r="239" ht="22" customHeight="1">
      <c r="B239" s="24" t="n"/>
      <c r="C239" s="21" t="n"/>
      <c r="D239" s="21" t="n"/>
      <c r="E239" s="23" t="n"/>
      <c r="F239" s="21" t="n"/>
      <c r="G239" s="21" t="n"/>
      <c r="H239" s="21" t="n"/>
      <c r="I239" s="21" t="n"/>
      <c r="J239" s="21" t="n"/>
      <c r="K239" s="21" t="n"/>
    </row>
    <row r="240" ht="22" customHeight="1">
      <c r="B240" s="28" t="n"/>
      <c r="C240" s="25" t="n"/>
      <c r="D240" s="25" t="n"/>
      <c r="E240" s="27" t="n"/>
      <c r="F240" s="25" t="n"/>
      <c r="G240" s="25" t="n"/>
      <c r="H240" s="25" t="n"/>
      <c r="I240" s="25" t="n"/>
      <c r="J240" s="25" t="n"/>
      <c r="K240" s="25" t="n"/>
    </row>
    <row r="241" ht="22" customHeight="1">
      <c r="B241" s="24" t="n"/>
      <c r="C241" s="21" t="n"/>
      <c r="D241" s="21" t="n"/>
      <c r="E241" s="23" t="n"/>
      <c r="F241" s="21" t="n"/>
      <c r="G241" s="21" t="n"/>
      <c r="H241" s="21" t="n"/>
      <c r="I241" s="21" t="n"/>
      <c r="J241" s="21" t="n"/>
      <c r="K241" s="21" t="n"/>
    </row>
    <row r="242" ht="22" customHeight="1">
      <c r="B242" s="28" t="n"/>
      <c r="C242" s="25" t="n"/>
      <c r="D242" s="25" t="n"/>
      <c r="E242" s="27" t="n"/>
      <c r="F242" s="25" t="n"/>
      <c r="G242" s="25" t="n"/>
      <c r="H242" s="25" t="n"/>
      <c r="I242" s="25" t="n"/>
      <c r="J242" s="25" t="n"/>
      <c r="K242" s="25" t="n"/>
    </row>
    <row r="243" ht="22" customHeight="1">
      <c r="B243" s="24" t="n"/>
      <c r="C243" s="21" t="n"/>
      <c r="D243" s="21" t="n"/>
      <c r="E243" s="23" t="n"/>
      <c r="F243" s="21" t="n"/>
      <c r="G243" s="21" t="n"/>
      <c r="H243" s="21" t="n"/>
      <c r="I243" s="21" t="n"/>
      <c r="J243" s="21" t="n"/>
      <c r="K243" s="21" t="n"/>
    </row>
    <row r="244" ht="22" customHeight="1">
      <c r="B244" s="28" t="n"/>
      <c r="C244" s="25" t="n"/>
      <c r="D244" s="25" t="n"/>
      <c r="E244" s="27" t="n"/>
      <c r="F244" s="25" t="n"/>
      <c r="G244" s="25" t="n"/>
      <c r="H244" s="25" t="n"/>
      <c r="I244" s="25" t="n"/>
      <c r="J244" s="25" t="n"/>
      <c r="K244" s="25" t="n"/>
    </row>
    <row r="245" ht="22" customHeight="1">
      <c r="B245" s="24" t="n"/>
      <c r="C245" s="21" t="n"/>
      <c r="D245" s="21" t="n"/>
      <c r="E245" s="23" t="n"/>
      <c r="F245" s="21" t="n"/>
      <c r="G245" s="21" t="n"/>
      <c r="H245" s="21" t="n"/>
      <c r="I245" s="21" t="n"/>
      <c r="J245" s="21" t="n"/>
      <c r="K245" s="21" t="n"/>
    </row>
    <row r="246" ht="22" customHeight="1">
      <c r="B246" s="28" t="n"/>
      <c r="C246" s="25" t="n"/>
      <c r="D246" s="25" t="n"/>
      <c r="E246" s="27" t="n"/>
      <c r="F246" s="25" t="n"/>
      <c r="G246" s="25" t="n"/>
      <c r="H246" s="25" t="n"/>
      <c r="I246" s="25" t="n"/>
      <c r="J246" s="25" t="n"/>
      <c r="K246" s="25" t="n"/>
    </row>
    <row r="247" ht="22" customHeight="1">
      <c r="B247" s="24" t="n"/>
      <c r="C247" s="21" t="n"/>
      <c r="D247" s="21" t="n"/>
      <c r="E247" s="23" t="n"/>
      <c r="F247" s="21" t="n"/>
      <c r="G247" s="21" t="n"/>
      <c r="H247" s="21" t="n"/>
      <c r="I247" s="21" t="n"/>
      <c r="J247" s="21" t="n"/>
      <c r="K247" s="21" t="n"/>
    </row>
    <row r="248" ht="22" customHeight="1">
      <c r="B248" s="28" t="n"/>
      <c r="C248" s="25" t="n"/>
      <c r="D248" s="25" t="n"/>
      <c r="E248" s="27" t="n"/>
      <c r="F248" s="25" t="n"/>
      <c r="G248" s="25" t="n"/>
      <c r="H248" s="25" t="n"/>
      <c r="I248" s="25" t="n"/>
      <c r="J248" s="25" t="n"/>
      <c r="K248" s="25" t="n"/>
    </row>
    <row r="249" ht="22" customHeight="1">
      <c r="B249" s="24" t="n"/>
      <c r="C249" s="21" t="n"/>
      <c r="D249" s="21" t="n"/>
      <c r="E249" s="23" t="n"/>
      <c r="F249" s="21" t="n"/>
      <c r="G249" s="21" t="n"/>
      <c r="H249" s="21" t="n"/>
      <c r="I249" s="21" t="n"/>
      <c r="J249" s="21" t="n"/>
      <c r="K249" s="21" t="n"/>
    </row>
    <row r="250" ht="22" customHeight="1">
      <c r="B250" s="28" t="n"/>
      <c r="C250" s="25" t="n"/>
      <c r="D250" s="25" t="n"/>
      <c r="E250" s="27" t="n"/>
      <c r="F250" s="25" t="n"/>
      <c r="G250" s="25" t="n"/>
      <c r="H250" s="25" t="n"/>
      <c r="I250" s="25" t="n"/>
      <c r="J250" s="25" t="n"/>
      <c r="K250" s="25" t="n"/>
    </row>
    <row r="251" ht="22" customHeight="1">
      <c r="B251" s="24" t="n"/>
      <c r="C251" s="21" t="n"/>
      <c r="D251" s="21" t="n"/>
      <c r="E251" s="23" t="n"/>
      <c r="F251" s="21" t="n"/>
      <c r="G251" s="21" t="n"/>
      <c r="H251" s="21" t="n"/>
      <c r="I251" s="21" t="n"/>
      <c r="J251" s="21" t="n"/>
      <c r="K251" s="21" t="n"/>
    </row>
    <row r="252" ht="22" customHeight="1">
      <c r="B252" s="28" t="n"/>
      <c r="C252" s="25" t="n"/>
      <c r="D252" s="25" t="n"/>
      <c r="E252" s="27" t="n"/>
      <c r="F252" s="25" t="n"/>
      <c r="G252" s="25" t="n"/>
      <c r="H252" s="25" t="n"/>
      <c r="I252" s="25" t="n"/>
      <c r="J252" s="25" t="n"/>
      <c r="K252" s="25" t="n"/>
    </row>
    <row r="253" ht="22" customHeight="1">
      <c r="B253" s="24" t="n"/>
      <c r="C253" s="21" t="n"/>
      <c r="D253" s="21" t="n"/>
      <c r="E253" s="23" t="n"/>
      <c r="F253" s="21" t="n"/>
      <c r="G253" s="21" t="n"/>
      <c r="H253" s="21" t="n"/>
      <c r="I253" s="21" t="n"/>
      <c r="J253" s="21" t="n"/>
      <c r="K253" s="21" t="n"/>
    </row>
    <row r="254" ht="22" customHeight="1">
      <c r="B254" s="28" t="n"/>
      <c r="C254" s="25" t="n"/>
      <c r="D254" s="25" t="n"/>
      <c r="E254" s="27" t="n"/>
      <c r="F254" s="25" t="n"/>
      <c r="G254" s="25" t="n"/>
      <c r="H254" s="25" t="n"/>
      <c r="I254" s="25" t="n"/>
      <c r="J254" s="25" t="n"/>
      <c r="K254" s="25" t="n"/>
    </row>
    <row r="255" ht="22" customHeight="1">
      <c r="B255" s="24" t="n"/>
      <c r="C255" s="21" t="n"/>
      <c r="D255" s="21" t="n"/>
      <c r="E255" s="23" t="n"/>
      <c r="F255" s="21" t="n"/>
      <c r="G255" s="21" t="n"/>
      <c r="H255" s="21" t="n"/>
      <c r="I255" s="21" t="n"/>
      <c r="J255" s="21" t="n"/>
      <c r="K255" s="21" t="n"/>
    </row>
    <row r="256" ht="22" customHeight="1">
      <c r="B256" s="28" t="n"/>
      <c r="C256" s="25" t="n"/>
      <c r="D256" s="25" t="n"/>
      <c r="E256" s="27" t="n"/>
      <c r="F256" s="25" t="n"/>
      <c r="G256" s="25" t="n"/>
      <c r="H256" s="25" t="n"/>
      <c r="I256" s="25" t="n"/>
      <c r="J256" s="25" t="n"/>
      <c r="K256" s="25" t="n"/>
    </row>
    <row r="257" ht="22" customHeight="1">
      <c r="B257" s="24" t="n"/>
      <c r="C257" s="21" t="n"/>
      <c r="D257" s="21" t="n"/>
      <c r="E257" s="23" t="n"/>
      <c r="F257" s="21" t="n"/>
      <c r="G257" s="21" t="n"/>
      <c r="H257" s="21" t="n"/>
      <c r="I257" s="21" t="n"/>
      <c r="J257" s="21" t="n"/>
      <c r="K257" s="21" t="n"/>
    </row>
    <row r="258" ht="22" customHeight="1">
      <c r="B258" s="28" t="n"/>
      <c r="C258" s="25" t="n"/>
      <c r="D258" s="25" t="n"/>
      <c r="E258" s="27" t="n"/>
      <c r="F258" s="25" t="n"/>
      <c r="G258" s="25" t="n"/>
      <c r="H258" s="25" t="n"/>
      <c r="I258" s="25" t="n"/>
      <c r="J258" s="25" t="n"/>
      <c r="K258" s="25" t="n"/>
    </row>
    <row r="259" ht="22" customHeight="1">
      <c r="B259" s="24" t="n"/>
      <c r="C259" s="21" t="n"/>
      <c r="D259" s="21" t="n"/>
      <c r="E259" s="23" t="n"/>
      <c r="F259" s="21" t="n"/>
      <c r="G259" s="21" t="n"/>
      <c r="H259" s="21" t="n"/>
      <c r="I259" s="21" t="n"/>
      <c r="J259" s="21" t="n"/>
      <c r="K259" s="21" t="n"/>
    </row>
    <row r="260" ht="22" customHeight="1">
      <c r="B260" s="28" t="n"/>
      <c r="C260" s="25" t="n"/>
      <c r="D260" s="25" t="n"/>
      <c r="E260" s="27" t="n"/>
      <c r="F260" s="25" t="n"/>
      <c r="G260" s="25" t="n"/>
      <c r="H260" s="25" t="n"/>
      <c r="I260" s="25" t="n"/>
      <c r="J260" s="25" t="n"/>
      <c r="K260" s="25" t="n"/>
    </row>
    <row r="261" ht="22" customHeight="1">
      <c r="B261" s="24" t="n"/>
      <c r="C261" s="21" t="n"/>
      <c r="D261" s="21" t="n"/>
      <c r="E261" s="23" t="n"/>
      <c r="F261" s="21" t="n"/>
      <c r="G261" s="21" t="n"/>
      <c r="H261" s="21" t="n"/>
      <c r="I261" s="21" t="n"/>
      <c r="J261" s="21" t="n"/>
      <c r="K261" s="21" t="n"/>
    </row>
    <row r="262" ht="22" customHeight="1">
      <c r="B262" s="28" t="n"/>
      <c r="C262" s="25" t="n"/>
      <c r="D262" s="25" t="n"/>
      <c r="E262" s="27" t="n"/>
      <c r="F262" s="25" t="n"/>
      <c r="G262" s="25" t="n"/>
      <c r="H262" s="25" t="n"/>
      <c r="I262" s="25" t="n"/>
      <c r="J262" s="25" t="n"/>
      <c r="K262" s="25" t="n"/>
    </row>
    <row r="263" ht="22" customHeight="1">
      <c r="B263" s="24" t="n"/>
      <c r="C263" s="21" t="n"/>
      <c r="D263" s="21" t="n"/>
      <c r="E263" s="23" t="n"/>
      <c r="F263" s="21" t="n"/>
      <c r="G263" s="21" t="n"/>
      <c r="H263" s="21" t="n"/>
      <c r="I263" s="21" t="n"/>
      <c r="J263" s="21" t="n"/>
      <c r="K263" s="21" t="n"/>
    </row>
    <row r="264" ht="22" customHeight="1">
      <c r="B264" s="28" t="n"/>
      <c r="C264" s="25" t="n"/>
      <c r="D264" s="25" t="n"/>
      <c r="E264" s="27" t="n"/>
      <c r="F264" s="25" t="n"/>
      <c r="G264" s="25" t="n"/>
      <c r="H264" s="25" t="n"/>
      <c r="I264" s="25" t="n"/>
      <c r="J264" s="25" t="n"/>
      <c r="K264" s="25" t="n"/>
    </row>
    <row r="265" ht="22" customHeight="1">
      <c r="B265" s="24" t="n"/>
      <c r="C265" s="21" t="n"/>
      <c r="D265" s="21" t="n"/>
      <c r="E265" s="23" t="n"/>
      <c r="F265" s="21" t="n"/>
      <c r="G265" s="21" t="n"/>
      <c r="H265" s="21" t="n"/>
      <c r="I265" s="21" t="n"/>
      <c r="J265" s="21" t="n"/>
      <c r="K265" s="21" t="n"/>
    </row>
    <row r="266" ht="22" customHeight="1">
      <c r="B266" s="28" t="n"/>
      <c r="C266" s="25" t="n"/>
      <c r="D266" s="25" t="n"/>
      <c r="E266" s="27" t="n"/>
      <c r="F266" s="25" t="n"/>
      <c r="G266" s="25" t="n"/>
      <c r="H266" s="25" t="n"/>
      <c r="I266" s="25" t="n"/>
      <c r="J266" s="25" t="n"/>
      <c r="K266" s="25" t="n"/>
    </row>
    <row r="267" ht="22" customHeight="1">
      <c r="B267" s="24" t="n"/>
      <c r="C267" s="21" t="n"/>
      <c r="D267" s="21" t="n"/>
      <c r="E267" s="23" t="n"/>
      <c r="F267" s="21" t="n"/>
      <c r="G267" s="21" t="n"/>
      <c r="H267" s="21" t="n"/>
      <c r="I267" s="21" t="n"/>
      <c r="J267" s="21" t="n"/>
      <c r="K267" s="21" t="n"/>
    </row>
    <row r="268" ht="22" customHeight="1">
      <c r="B268" s="28" t="n"/>
      <c r="C268" s="25" t="n"/>
      <c r="D268" s="25" t="n"/>
      <c r="E268" s="27" t="n"/>
      <c r="F268" s="25" t="n"/>
      <c r="G268" s="25" t="n"/>
      <c r="H268" s="25" t="n"/>
      <c r="I268" s="25" t="n"/>
      <c r="J268" s="25" t="n"/>
      <c r="K268" s="25" t="n"/>
    </row>
    <row r="269" ht="22" customHeight="1">
      <c r="B269" s="24" t="n"/>
      <c r="C269" s="21" t="n"/>
      <c r="D269" s="21" t="n"/>
      <c r="E269" s="23" t="n"/>
      <c r="F269" s="21" t="n"/>
      <c r="G269" s="21" t="n"/>
      <c r="H269" s="21" t="n"/>
      <c r="I269" s="21" t="n"/>
      <c r="J269" s="21" t="n"/>
      <c r="K269" s="21" t="n"/>
    </row>
    <row r="270" ht="22" customHeight="1">
      <c r="B270" s="28" t="n"/>
      <c r="C270" s="25" t="n"/>
      <c r="D270" s="25" t="n"/>
      <c r="E270" s="27" t="n"/>
      <c r="F270" s="25" t="n"/>
      <c r="G270" s="25" t="n"/>
      <c r="H270" s="25" t="n"/>
      <c r="I270" s="25" t="n"/>
      <c r="J270" s="25" t="n"/>
      <c r="K270" s="25" t="n"/>
    </row>
    <row r="271" ht="22" customHeight="1">
      <c r="B271" s="24" t="n"/>
      <c r="C271" s="21" t="n"/>
      <c r="D271" s="21" t="n"/>
      <c r="E271" s="23" t="n"/>
      <c r="F271" s="21" t="n"/>
      <c r="G271" s="21" t="n"/>
      <c r="H271" s="21" t="n"/>
      <c r="I271" s="21" t="n"/>
      <c r="J271" s="21" t="n"/>
      <c r="K271" s="21" t="n"/>
    </row>
    <row r="272" ht="22" customHeight="1">
      <c r="B272" s="28" t="n"/>
      <c r="C272" s="25" t="n"/>
      <c r="D272" s="25" t="n"/>
      <c r="E272" s="27" t="n"/>
      <c r="F272" s="25" t="n"/>
      <c r="G272" s="25" t="n"/>
      <c r="H272" s="25" t="n"/>
      <c r="I272" s="25" t="n"/>
      <c r="J272" s="25" t="n"/>
      <c r="K272" s="25" t="n"/>
    </row>
    <row r="273" ht="22" customHeight="1">
      <c r="B273" s="24" t="n"/>
      <c r="C273" s="21" t="n"/>
      <c r="D273" s="21" t="n"/>
      <c r="E273" s="23" t="n"/>
      <c r="F273" s="21" t="n"/>
      <c r="G273" s="21" t="n"/>
      <c r="H273" s="21" t="n"/>
      <c r="I273" s="21" t="n"/>
      <c r="J273" s="21" t="n"/>
      <c r="K273" s="21" t="n"/>
    </row>
    <row r="274" ht="22" customHeight="1">
      <c r="B274" s="28" t="n"/>
      <c r="C274" s="25" t="n"/>
      <c r="D274" s="25" t="n"/>
      <c r="E274" s="27" t="n"/>
      <c r="F274" s="25" t="n"/>
      <c r="G274" s="25" t="n"/>
      <c r="H274" s="25" t="n"/>
      <c r="I274" s="25" t="n"/>
      <c r="J274" s="25" t="n"/>
      <c r="K274" s="25" t="n"/>
    </row>
    <row r="275" ht="22" customHeight="1">
      <c r="B275" s="24" t="n"/>
      <c r="C275" s="21" t="n"/>
      <c r="D275" s="21" t="n"/>
      <c r="E275" s="23" t="n"/>
      <c r="F275" s="21" t="n"/>
      <c r="G275" s="21" t="n"/>
      <c r="H275" s="21" t="n"/>
      <c r="I275" s="21" t="n"/>
      <c r="J275" s="21" t="n"/>
      <c r="K275" s="21" t="n"/>
    </row>
    <row r="276" ht="22" customHeight="1">
      <c r="B276" s="28" t="n"/>
      <c r="C276" s="25" t="n"/>
      <c r="D276" s="25" t="n"/>
      <c r="E276" s="27" t="n"/>
      <c r="F276" s="25" t="n"/>
      <c r="G276" s="25" t="n"/>
      <c r="H276" s="25" t="n"/>
      <c r="I276" s="25" t="n"/>
      <c r="J276" s="25" t="n"/>
      <c r="K276" s="25" t="n"/>
    </row>
    <row r="277" ht="22" customHeight="1">
      <c r="B277" s="24" t="n"/>
      <c r="C277" s="21" t="n"/>
      <c r="D277" s="21" t="n"/>
      <c r="E277" s="23" t="n"/>
      <c r="F277" s="21" t="n"/>
      <c r="G277" s="21" t="n"/>
      <c r="H277" s="21" t="n"/>
      <c r="I277" s="21" t="n"/>
      <c r="J277" s="21" t="n"/>
      <c r="K277" s="21" t="n"/>
    </row>
    <row r="278" ht="22" customHeight="1">
      <c r="B278" s="28" t="n"/>
      <c r="C278" s="25" t="n"/>
      <c r="D278" s="25" t="n"/>
      <c r="E278" s="27" t="n"/>
      <c r="F278" s="25" t="n"/>
      <c r="G278" s="25" t="n"/>
      <c r="H278" s="25" t="n"/>
      <c r="I278" s="25" t="n"/>
      <c r="J278" s="25" t="n"/>
      <c r="K278" s="25" t="n"/>
    </row>
    <row r="279" ht="22" customHeight="1">
      <c r="B279" s="24" t="n"/>
      <c r="C279" s="21" t="n"/>
      <c r="D279" s="21" t="n"/>
      <c r="E279" s="23" t="n"/>
      <c r="F279" s="21" t="n"/>
      <c r="G279" s="21" t="n"/>
      <c r="H279" s="21" t="n"/>
      <c r="I279" s="21" t="n"/>
      <c r="J279" s="21" t="n"/>
      <c r="K279" s="21" t="n"/>
    </row>
    <row r="280" ht="22" customHeight="1">
      <c r="B280" s="28" t="n"/>
      <c r="C280" s="25" t="n"/>
      <c r="D280" s="25" t="n"/>
      <c r="E280" s="27" t="n"/>
      <c r="F280" s="25" t="n"/>
      <c r="G280" s="25" t="n"/>
      <c r="H280" s="25" t="n"/>
      <c r="I280" s="25" t="n"/>
      <c r="J280" s="25" t="n"/>
      <c r="K280" s="25" t="n"/>
    </row>
    <row r="281" ht="22" customHeight="1">
      <c r="B281" s="24" t="n"/>
      <c r="C281" s="21" t="n"/>
      <c r="D281" s="21" t="n"/>
      <c r="E281" s="23" t="n"/>
      <c r="F281" s="21" t="n"/>
      <c r="G281" s="21" t="n"/>
      <c r="H281" s="21" t="n"/>
      <c r="I281" s="21" t="n"/>
      <c r="J281" s="21" t="n"/>
      <c r="K281" s="21" t="n"/>
    </row>
    <row r="282" ht="22" customHeight="1">
      <c r="B282" s="28" t="n"/>
      <c r="C282" s="25" t="n"/>
      <c r="D282" s="25" t="n"/>
      <c r="E282" s="27" t="n"/>
      <c r="F282" s="25" t="n"/>
      <c r="G282" s="25" t="n"/>
      <c r="H282" s="25" t="n"/>
      <c r="I282" s="25" t="n"/>
      <c r="J282" s="25" t="n"/>
      <c r="K282" s="25" t="n"/>
    </row>
    <row r="283" ht="22" customHeight="1">
      <c r="B283" s="24" t="n"/>
      <c r="C283" s="21" t="n"/>
      <c r="D283" s="21" t="n"/>
      <c r="E283" s="23" t="n"/>
      <c r="F283" s="21" t="n"/>
      <c r="G283" s="21" t="n"/>
      <c r="H283" s="21" t="n"/>
      <c r="I283" s="21" t="n"/>
      <c r="J283" s="21" t="n"/>
      <c r="K283" s="21" t="n"/>
    </row>
    <row r="284" ht="22" customHeight="1">
      <c r="B284" s="28" t="n"/>
      <c r="C284" s="25" t="n"/>
      <c r="D284" s="25" t="n"/>
      <c r="E284" s="27" t="n"/>
      <c r="F284" s="25" t="n"/>
      <c r="G284" s="25" t="n"/>
      <c r="H284" s="25" t="n"/>
      <c r="I284" s="25" t="n"/>
      <c r="J284" s="25" t="n"/>
      <c r="K284" s="25" t="n"/>
    </row>
    <row r="285" ht="22" customHeight="1">
      <c r="B285" s="24" t="n"/>
      <c r="C285" s="21" t="n"/>
      <c r="D285" s="21" t="n"/>
      <c r="E285" s="23" t="n"/>
      <c r="F285" s="21" t="n"/>
      <c r="G285" s="21" t="n"/>
      <c r="H285" s="21" t="n"/>
      <c r="I285" s="21" t="n"/>
      <c r="J285" s="21" t="n"/>
      <c r="K285" s="21" t="n"/>
    </row>
    <row r="286" ht="22" customHeight="1">
      <c r="B286" s="28" t="n"/>
      <c r="C286" s="25" t="n"/>
      <c r="D286" s="25" t="n"/>
      <c r="E286" s="27" t="n"/>
      <c r="F286" s="25" t="n"/>
      <c r="G286" s="25" t="n"/>
      <c r="H286" s="25" t="n"/>
      <c r="I286" s="25" t="n"/>
      <c r="J286" s="25" t="n"/>
      <c r="K286" s="25" t="n"/>
    </row>
    <row r="287" ht="22" customHeight="1">
      <c r="B287" s="24" t="n"/>
      <c r="C287" s="21" t="n"/>
      <c r="D287" s="21" t="n"/>
      <c r="E287" s="23" t="n"/>
      <c r="F287" s="21" t="n"/>
      <c r="G287" s="21" t="n"/>
      <c r="H287" s="21" t="n"/>
      <c r="I287" s="21" t="n"/>
      <c r="J287" s="21" t="n"/>
      <c r="K287" s="21" t="n"/>
    </row>
    <row r="288" ht="22" customHeight="1">
      <c r="B288" s="28" t="n"/>
      <c r="C288" s="25" t="n"/>
      <c r="D288" s="25" t="n"/>
      <c r="E288" s="27" t="n"/>
      <c r="F288" s="25" t="n"/>
      <c r="G288" s="25" t="n"/>
      <c r="H288" s="25" t="n"/>
      <c r="I288" s="25" t="n"/>
      <c r="J288" s="25" t="n"/>
      <c r="K288" s="25" t="n"/>
    </row>
    <row r="289" ht="22" customHeight="1">
      <c r="B289" s="24" t="n"/>
      <c r="C289" s="21" t="n"/>
      <c r="D289" s="21" t="n"/>
      <c r="E289" s="23" t="n"/>
      <c r="F289" s="21" t="n"/>
      <c r="G289" s="21" t="n"/>
      <c r="H289" s="21" t="n"/>
      <c r="I289" s="21" t="n"/>
      <c r="J289" s="21" t="n"/>
      <c r="K289" s="21" t="n"/>
    </row>
    <row r="290" ht="22" customHeight="1">
      <c r="B290" s="28" t="n"/>
      <c r="C290" s="25" t="n"/>
      <c r="D290" s="25" t="n"/>
      <c r="E290" s="27" t="n"/>
      <c r="F290" s="25" t="n"/>
      <c r="G290" s="25" t="n"/>
      <c r="H290" s="25" t="n"/>
      <c r="I290" s="25" t="n"/>
      <c r="J290" s="25" t="n"/>
      <c r="K290" s="25" t="n"/>
    </row>
    <row r="291" ht="22" customHeight="1">
      <c r="B291" s="24" t="n"/>
      <c r="C291" s="21" t="n"/>
      <c r="D291" s="21" t="n"/>
      <c r="E291" s="23" t="n"/>
      <c r="F291" s="21" t="n"/>
      <c r="G291" s="21" t="n"/>
      <c r="H291" s="21" t="n"/>
      <c r="I291" s="21" t="n"/>
      <c r="J291" s="21" t="n"/>
      <c r="K291" s="21" t="n"/>
    </row>
    <row r="292" ht="22" customHeight="1">
      <c r="B292" s="28" t="n"/>
      <c r="C292" s="25" t="n"/>
      <c r="D292" s="25" t="n"/>
      <c r="E292" s="27" t="n"/>
      <c r="F292" s="25" t="n"/>
      <c r="G292" s="25" t="n"/>
      <c r="H292" s="25" t="n"/>
      <c r="I292" s="25" t="n"/>
      <c r="J292" s="25" t="n"/>
      <c r="K292" s="25" t="n"/>
    </row>
    <row r="293" ht="22" customHeight="1">
      <c r="B293" s="24" t="n"/>
      <c r="C293" s="21" t="n"/>
      <c r="D293" s="21" t="n"/>
      <c r="E293" s="23" t="n"/>
      <c r="F293" s="21" t="n"/>
      <c r="G293" s="21" t="n"/>
      <c r="H293" s="21" t="n"/>
      <c r="I293" s="21" t="n"/>
      <c r="J293" s="21" t="n"/>
      <c r="K293" s="21" t="n"/>
    </row>
    <row r="294" ht="22" customHeight="1">
      <c r="B294" s="28" t="n"/>
      <c r="C294" s="25" t="n"/>
      <c r="D294" s="25" t="n"/>
      <c r="E294" s="27" t="n"/>
      <c r="F294" s="25" t="n"/>
      <c r="G294" s="25" t="n"/>
      <c r="H294" s="25" t="n"/>
      <c r="I294" s="25" t="n"/>
      <c r="J294" s="25" t="n"/>
      <c r="K294" s="25" t="n"/>
    </row>
    <row r="295" ht="22" customHeight="1">
      <c r="B295" s="24" t="n"/>
      <c r="C295" s="21" t="n"/>
      <c r="D295" s="21" t="n"/>
      <c r="E295" s="23" t="n"/>
      <c r="F295" s="21" t="n"/>
      <c r="G295" s="21" t="n"/>
      <c r="H295" s="21" t="n"/>
      <c r="I295" s="21" t="n"/>
      <c r="J295" s="21" t="n"/>
      <c r="K295" s="21" t="n"/>
    </row>
    <row r="296" ht="22" customHeight="1">
      <c r="B296" s="28" t="n"/>
      <c r="C296" s="25" t="n"/>
      <c r="D296" s="25" t="n"/>
      <c r="E296" s="27" t="n"/>
      <c r="F296" s="25" t="n"/>
      <c r="G296" s="25" t="n"/>
      <c r="H296" s="25" t="n"/>
      <c r="I296" s="25" t="n"/>
      <c r="J296" s="25" t="n"/>
      <c r="K296" s="25" t="n"/>
    </row>
    <row r="297" ht="22" customHeight="1">
      <c r="B297" s="24" t="n"/>
      <c r="C297" s="21" t="n"/>
      <c r="D297" s="21" t="n"/>
      <c r="E297" s="23" t="n"/>
      <c r="F297" s="21" t="n"/>
      <c r="G297" s="21" t="n"/>
      <c r="H297" s="21" t="n"/>
      <c r="I297" s="21" t="n"/>
      <c r="J297" s="21" t="n"/>
      <c r="K297" s="21" t="n"/>
    </row>
    <row r="298" ht="22" customHeight="1">
      <c r="B298" s="28" t="n"/>
      <c r="C298" s="25" t="n"/>
      <c r="D298" s="25" t="n"/>
      <c r="E298" s="27" t="n"/>
      <c r="F298" s="25" t="n"/>
      <c r="G298" s="25" t="n"/>
      <c r="H298" s="25" t="n"/>
      <c r="I298" s="25" t="n"/>
      <c r="J298" s="25" t="n"/>
      <c r="K298" s="25" t="n"/>
    </row>
    <row r="299" ht="22" customHeight="1">
      <c r="B299" s="24" t="n"/>
      <c r="C299" s="21" t="n"/>
      <c r="D299" s="21" t="n"/>
      <c r="E299" s="23" t="n"/>
      <c r="F299" s="21" t="n"/>
      <c r="G299" s="21" t="n"/>
      <c r="H299" s="21" t="n"/>
      <c r="I299" s="21" t="n"/>
      <c r="J299" s="21" t="n"/>
      <c r="K299" s="21" t="n"/>
    </row>
    <row r="300" ht="22" customHeight="1">
      <c r="B300" s="28" t="n"/>
      <c r="C300" s="25" t="n"/>
      <c r="D300" s="25" t="n"/>
      <c r="E300" s="27" t="n"/>
      <c r="F300" s="25" t="n"/>
      <c r="G300" s="25" t="n"/>
      <c r="H300" s="25" t="n"/>
      <c r="I300" s="25" t="n"/>
      <c r="J300" s="25" t="n"/>
      <c r="K300" s="25" t="n"/>
    </row>
    <row r="301" ht="22" customHeight="1">
      <c r="B301" s="24" t="n"/>
      <c r="C301" s="21" t="n"/>
      <c r="D301" s="21" t="n"/>
      <c r="E301" s="23" t="n"/>
      <c r="F301" s="21" t="n"/>
      <c r="G301" s="21" t="n"/>
      <c r="H301" s="21" t="n"/>
      <c r="I301" s="21" t="n"/>
      <c r="J301" s="21" t="n"/>
      <c r="K301" s="21" t="n"/>
    </row>
    <row r="302" ht="22" customHeight="1">
      <c r="B302" s="28" t="n"/>
      <c r="C302" s="25" t="n"/>
      <c r="D302" s="25" t="n"/>
      <c r="E302" s="27" t="n"/>
      <c r="F302" s="25" t="n"/>
      <c r="G302" s="25" t="n"/>
      <c r="H302" s="25" t="n"/>
      <c r="I302" s="25" t="n"/>
      <c r="J302" s="25" t="n"/>
      <c r="K302" s="25" t="n"/>
    </row>
    <row r="303" ht="22" customHeight="1">
      <c r="B303" s="24" t="n"/>
      <c r="C303" s="21" t="n"/>
      <c r="D303" s="21" t="n"/>
      <c r="E303" s="23" t="n"/>
      <c r="F303" s="21" t="n"/>
      <c r="G303" s="21" t="n"/>
      <c r="H303" s="21" t="n"/>
      <c r="I303" s="21" t="n"/>
      <c r="J303" s="21" t="n"/>
      <c r="K303" s="21" t="n"/>
    </row>
    <row r="304" ht="22" customHeight="1">
      <c r="B304" s="28" t="n"/>
      <c r="C304" s="25" t="n"/>
      <c r="D304" s="25" t="n"/>
      <c r="E304" s="27" t="n"/>
      <c r="F304" s="25" t="n"/>
      <c r="G304" s="25" t="n"/>
      <c r="H304" s="25" t="n"/>
      <c r="I304" s="25" t="n"/>
      <c r="J304" s="25" t="n"/>
      <c r="K304" s="25" t="n"/>
    </row>
    <row r="307">
      <c r="B307" s="32" t="inlineStr">
        <is>
          <t>EXPENSE SUMMARY BY CATEGORY</t>
        </is>
      </c>
    </row>
    <row r="308">
      <c r="B308" s="20" t="inlineStr">
        <is>
          <t>Category</t>
        </is>
      </c>
      <c r="C308" s="20" t="inlineStr">
        <is>
          <t>Total (AED)</t>
        </is>
      </c>
    </row>
    <row r="309">
      <c r="B309" s="39" t="inlineStr">
        <is>
          <t>Manpower/Staff</t>
        </is>
      </c>
      <c r="C309" s="40">
        <f>IFERROR(SUMPRODUCT((C5:C304="Manpower/Staff")*(E5:E304)),0)</f>
        <v/>
      </c>
    </row>
    <row r="310">
      <c r="B310" s="41" t="inlineStr">
        <is>
          <t>Municipality Fees</t>
        </is>
      </c>
      <c r="C310" s="42">
        <f>IFERROR(SUMPRODUCT((C5:C304="Municipality Fees")*(E5:E304)),0)</f>
        <v/>
      </c>
    </row>
    <row r="311">
      <c r="B311" s="39" t="inlineStr">
        <is>
          <t>Maintenance</t>
        </is>
      </c>
      <c r="C311" s="40">
        <f>IFERROR(SUMPRODUCT((C5:C304="Maintenance")*(E5:E304)),0)</f>
        <v/>
      </c>
    </row>
    <row r="312">
      <c r="B312" s="41" t="inlineStr">
        <is>
          <t>Leasing Commission</t>
        </is>
      </c>
      <c r="C312" s="42">
        <f>IFERROR(SUMPRODUCT((C5:C304="Leasing Commission")*(E5:E304)),0)</f>
        <v/>
      </c>
    </row>
    <row r="313">
      <c r="B313" s="39" t="inlineStr">
        <is>
          <t>Insurance</t>
        </is>
      </c>
      <c r="C313" s="40">
        <f>IFERROR(SUMPRODUCT((C5:C304="Insurance")*(E5:E304)),0)</f>
        <v/>
      </c>
    </row>
    <row r="314">
      <c r="B314" s="41" t="inlineStr">
        <is>
          <t>Utilities</t>
        </is>
      </c>
      <c r="C314" s="42">
        <f>IFERROR(SUMPRODUCT((C5:C304="Utilities")*(E5:E304)),0)</f>
        <v/>
      </c>
    </row>
    <row r="315">
      <c r="B315" s="39" t="inlineStr">
        <is>
          <t>Marketing</t>
        </is>
      </c>
      <c r="C315" s="40">
        <f>IFERROR(SUMPRODUCT((C5:C304="Marketing")*(E5:E304)),0)</f>
        <v/>
      </c>
    </row>
    <row r="316">
      <c r="B316" s="41" t="inlineStr">
        <is>
          <t>Legal</t>
        </is>
      </c>
      <c r="C316" s="42">
        <f>IFERROR(SUMPRODUCT((C5:C304="Legal")*(E5:E304)),0)</f>
        <v/>
      </c>
    </row>
    <row r="317">
      <c r="B317" s="39" t="inlineStr">
        <is>
          <t>Cleaning</t>
        </is>
      </c>
      <c r="C317" s="40">
        <f>IFERROR(SUMPRODUCT((C5:C304="Cleaning")*(E5:E304)),0)</f>
        <v/>
      </c>
    </row>
    <row r="318">
      <c r="B318" s="41" t="inlineStr">
        <is>
          <t>Security</t>
        </is>
      </c>
      <c r="C318" s="42">
        <f>IFERROR(SUMPRODUCT((C5:C304="Security")*(E5:E304)),0)</f>
        <v/>
      </c>
    </row>
    <row r="319">
      <c r="B319" s="39" t="inlineStr">
        <is>
          <t>Pest Control</t>
        </is>
      </c>
      <c r="C319" s="40">
        <f>IFERROR(SUMPRODUCT((C5:C304="Pest Control")*(E5:E304)),0)</f>
        <v/>
      </c>
    </row>
    <row r="320">
      <c r="B320" s="41" t="inlineStr">
        <is>
          <t>Elevator Service</t>
        </is>
      </c>
      <c r="C320" s="42">
        <f>IFERROR(SUMPRODUCT((C5:C304="Elevator Service")*(E5:E304)),0)</f>
        <v/>
      </c>
    </row>
    <row r="321">
      <c r="B321" s="39" t="inlineStr">
        <is>
          <t>Other</t>
        </is>
      </c>
      <c r="C321" s="40">
        <f>IFERROR(SUMPRODUCT((C5:C304="Other")*(E5:E304)),0)</f>
        <v/>
      </c>
    </row>
    <row r="322" ht="26" customHeight="1">
      <c r="B322" s="29" t="inlineStr">
        <is>
          <t>GRAND TOTAL</t>
        </is>
      </c>
      <c r="C322" s="31">
        <f>IFERROR(SUM(C309:C321),0)</f>
        <v/>
      </c>
    </row>
  </sheetData>
  <mergeCells count="2">
    <mergeCell ref="B307:C307"/>
    <mergeCell ref="B2:K2"/>
  </mergeCells>
  <dataValidations count="4">
    <dataValidation sqref="C5:C304" showDropDown="0" showInputMessage="0" showErrorMessage="0" allowBlank="1" prompt="Select Category" type="list">
      <formula1>"Manpower/Staff,Municipality Fees,Maintenance,Leasing Commission,Insurance,Utilities,Marketing,Legal,Cleaning,Security,Pest Control,Elevator Service,Other"</formula1>
    </dataValidation>
    <dataValidation sqref="F5:F304" showDropDown="0" showInputMessage="0" showErrorMessage="0" allowBlank="1" type="list">
      <formula1>"Cash,Bank Transfer,Cheque,Online"</formula1>
    </dataValidation>
    <dataValidation sqref="I5:I304" showDropDown="0" showInputMessage="0" showErrorMessage="0" allowBlank="1" type="list">
      <formula1>"Yes,No"</formula1>
    </dataValidation>
    <dataValidation sqref="J5:J304" showDropDown="0" showInputMessage="0" showErrorMessage="0" allowBlank="1" type="list">
      <formula1>"All Buildings,Building A,Building B,Building C,Building D"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O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15" customHeight="1"/>
    <row r="2" ht="32" customHeight="1">
      <c r="B2" s="1" t="inlineStr">
        <is>
          <t>Revenue Analysis — Annual Overview</t>
        </is>
      </c>
    </row>
    <row r="3" ht="8" customHeight="1"/>
    <row r="4" ht="28" customHeight="1">
      <c r="B4" s="20" t="inlineStr">
        <is>
          <t>Revenue Line Item</t>
        </is>
      </c>
      <c r="C4" s="20" t="inlineStr">
        <is>
          <t>Jan</t>
        </is>
      </c>
      <c r="D4" s="20" t="inlineStr">
        <is>
          <t>Feb</t>
        </is>
      </c>
      <c r="E4" s="20" t="inlineStr">
        <is>
          <t>Mar</t>
        </is>
      </c>
      <c r="F4" s="20" t="inlineStr">
        <is>
          <t>Apr</t>
        </is>
      </c>
      <c r="G4" s="20" t="inlineStr">
        <is>
          <t>May</t>
        </is>
      </c>
      <c r="H4" s="20" t="inlineStr">
        <is>
          <t>Jun</t>
        </is>
      </c>
      <c r="I4" s="20" t="inlineStr">
        <is>
          <t>Jul</t>
        </is>
      </c>
      <c r="J4" s="20" t="inlineStr">
        <is>
          <t>Aug</t>
        </is>
      </c>
      <c r="K4" s="20" t="inlineStr">
        <is>
          <t>Sep</t>
        </is>
      </c>
      <c r="L4" s="20" t="inlineStr">
        <is>
          <t>Oct</t>
        </is>
      </c>
      <c r="M4" s="20" t="inlineStr">
        <is>
          <t>Nov</t>
        </is>
      </c>
      <c r="N4" s="20" t="inlineStr">
        <is>
          <t>Dec</t>
        </is>
      </c>
      <c r="O4" s="20" t="inlineStr">
        <is>
          <t>Annual Total</t>
        </is>
      </c>
    </row>
    <row r="5">
      <c r="B5" s="43" t="inlineStr">
        <is>
          <t>Rental Income</t>
        </is>
      </c>
      <c r="C5" s="44">
        <f>IFERROR(SUMPRODUCT(('Property Registry'!I5:I154="Rented")*('Property Registry'!G5:G154)),0)</f>
        <v/>
      </c>
      <c r="D5" s="44">
        <f>IFERROR(SUMPRODUCT(('Property Registry'!I5:I154="Rented")*('Property Registry'!G5:G154)),0)</f>
        <v/>
      </c>
      <c r="E5" s="44">
        <f>IFERROR(SUMPRODUCT(('Property Registry'!I5:I154="Rented")*('Property Registry'!G5:G154)),0)</f>
        <v/>
      </c>
      <c r="F5" s="44">
        <f>IFERROR(SUMPRODUCT(('Property Registry'!I5:I154="Rented")*('Property Registry'!G5:G154)),0)</f>
        <v/>
      </c>
      <c r="G5" s="44">
        <f>IFERROR(SUMPRODUCT(('Property Registry'!I5:I154="Rented")*('Property Registry'!G5:G154)),0)</f>
        <v/>
      </c>
      <c r="H5" s="44">
        <f>IFERROR(SUMPRODUCT(('Property Registry'!I5:I154="Rented")*('Property Registry'!G5:G154)),0)</f>
        <v/>
      </c>
      <c r="I5" s="44">
        <f>IFERROR(SUMPRODUCT(('Property Registry'!I5:I154="Rented")*('Property Registry'!G5:G154)),0)</f>
        <v/>
      </c>
      <c r="J5" s="44">
        <f>IFERROR(SUMPRODUCT(('Property Registry'!I5:I154="Rented")*('Property Registry'!G5:G154)),0)</f>
        <v/>
      </c>
      <c r="K5" s="44">
        <f>IFERROR(SUMPRODUCT(('Property Registry'!I5:I154="Rented")*('Property Registry'!G5:G154)),0)</f>
        <v/>
      </c>
      <c r="L5" s="44">
        <f>IFERROR(SUMPRODUCT(('Property Registry'!I5:I154="Rented")*('Property Registry'!G5:G154)),0)</f>
        <v/>
      </c>
      <c r="M5" s="44">
        <f>IFERROR(SUMPRODUCT(('Property Registry'!I5:I154="Rented")*('Property Registry'!G5:G154)),0)</f>
        <v/>
      </c>
      <c r="N5" s="44">
        <f>IFERROR(SUMPRODUCT(('Property Registry'!I5:I154="Rented")*('Property Registry'!G5:G154)),0)</f>
        <v/>
      </c>
      <c r="O5" s="44">
        <f>IFERROR(SUM(C5:N5),0)</f>
        <v/>
      </c>
    </row>
    <row r="6">
      <c r="B6" s="43" t="inlineStr">
        <is>
          <t>Municipality Fees Collected</t>
        </is>
      </c>
      <c r="C6" s="44">
        <f>IFERROR(SUM('Property Registry'!H5:H154),0)</f>
        <v/>
      </c>
      <c r="D6" s="44">
        <f>IFERROR(SUM('Property Registry'!H5:H154),0)</f>
        <v/>
      </c>
      <c r="E6" s="44">
        <f>IFERROR(SUM('Property Registry'!H5:H154),0)</f>
        <v/>
      </c>
      <c r="F6" s="44">
        <f>IFERROR(SUM('Property Registry'!H5:H154),0)</f>
        <v/>
      </c>
      <c r="G6" s="44">
        <f>IFERROR(SUM('Property Registry'!H5:H154),0)</f>
        <v/>
      </c>
      <c r="H6" s="44">
        <f>IFERROR(SUM('Property Registry'!H5:H154),0)</f>
        <v/>
      </c>
      <c r="I6" s="44">
        <f>IFERROR(SUM('Property Registry'!H5:H154),0)</f>
        <v/>
      </c>
      <c r="J6" s="44">
        <f>IFERROR(SUM('Property Registry'!H5:H154),0)</f>
        <v/>
      </c>
      <c r="K6" s="44">
        <f>IFERROR(SUM('Property Registry'!H5:H154),0)</f>
        <v/>
      </c>
      <c r="L6" s="44">
        <f>IFERROR(SUM('Property Registry'!H5:H154),0)</f>
        <v/>
      </c>
      <c r="M6" s="44">
        <f>IFERROR(SUM('Property Registry'!H5:H154),0)</f>
        <v/>
      </c>
      <c r="N6" s="44">
        <f>IFERROR(SUM('Property Registry'!H5:H154),0)</f>
        <v/>
      </c>
      <c r="O6" s="44">
        <f>IFERROR(SUM(C6:N6),0)</f>
        <v/>
      </c>
    </row>
    <row r="7">
      <c r="B7" s="43" t="inlineStr">
        <is>
          <t>Other Income</t>
        </is>
      </c>
      <c r="C7" s="44" t="n">
        <v>0</v>
      </c>
      <c r="D7" s="44" t="n">
        <v>0</v>
      </c>
      <c r="E7" s="44" t="n">
        <v>0</v>
      </c>
      <c r="F7" s="44" t="n">
        <v>0</v>
      </c>
      <c r="G7" s="44" t="n">
        <v>0</v>
      </c>
      <c r="H7" s="44" t="n">
        <v>0</v>
      </c>
      <c r="I7" s="44" t="n">
        <v>0</v>
      </c>
      <c r="J7" s="44" t="n">
        <v>0</v>
      </c>
      <c r="K7" s="44" t="n">
        <v>0</v>
      </c>
      <c r="L7" s="44" t="n">
        <v>0</v>
      </c>
      <c r="M7" s="44" t="n">
        <v>0</v>
      </c>
      <c r="N7" s="44" t="n">
        <v>0</v>
      </c>
      <c r="O7" s="44">
        <f>IFERROR(SUM(C7:N7),0)</f>
        <v/>
      </c>
    </row>
    <row r="8">
      <c r="B8" s="45" t="inlineStr">
        <is>
          <t>GROSS REVENUE</t>
        </is>
      </c>
      <c r="C8" s="46">
        <f>IFERROR(SUM(C5:C7),0)</f>
        <v/>
      </c>
      <c r="D8" s="46">
        <f>IFERROR(SUM(D5:D7),0)</f>
        <v/>
      </c>
      <c r="E8" s="46">
        <f>IFERROR(SUM(E5:E7),0)</f>
        <v/>
      </c>
      <c r="F8" s="46">
        <f>IFERROR(SUM(F5:F7),0)</f>
        <v/>
      </c>
      <c r="G8" s="46">
        <f>IFERROR(SUM(G5:G7),0)</f>
        <v/>
      </c>
      <c r="H8" s="46">
        <f>IFERROR(SUM(H5:H7),0)</f>
        <v/>
      </c>
      <c r="I8" s="46">
        <f>IFERROR(SUM(I5:I7),0)</f>
        <v/>
      </c>
      <c r="J8" s="46">
        <f>IFERROR(SUM(J5:J7),0)</f>
        <v/>
      </c>
      <c r="K8" s="46">
        <f>IFERROR(SUM(K5:K7),0)</f>
        <v/>
      </c>
      <c r="L8" s="46">
        <f>IFERROR(SUM(L5:L7),0)</f>
        <v/>
      </c>
      <c r="M8" s="46">
        <f>IFERROR(SUM(M5:M7),0)</f>
        <v/>
      </c>
      <c r="N8" s="46">
        <f>IFERROR(SUM(N5:N7),0)</f>
        <v/>
      </c>
      <c r="O8" s="46">
        <f>IFERROR(SUM(O5:O7),0)</f>
        <v/>
      </c>
    </row>
    <row r="9">
      <c r="B9" s="43" t="inlineStr">
        <is>
          <t>Less: Vacancy Loss</t>
        </is>
      </c>
      <c r="C9" s="44">
        <f>IFERROR(-SUMPRODUCT(('Property Registry'!I5:I154="Vacant")*('Property Registry'!G5:G154)),0)</f>
        <v/>
      </c>
      <c r="D9" s="44">
        <f>IFERROR(-SUMPRODUCT(('Property Registry'!I5:I154="Vacant")*('Property Registry'!G5:G154)),0)</f>
        <v/>
      </c>
      <c r="E9" s="44">
        <f>IFERROR(-SUMPRODUCT(('Property Registry'!I5:I154="Vacant")*('Property Registry'!G5:G154)),0)</f>
        <v/>
      </c>
      <c r="F9" s="44">
        <f>IFERROR(-SUMPRODUCT(('Property Registry'!I5:I154="Vacant")*('Property Registry'!G5:G154)),0)</f>
        <v/>
      </c>
      <c r="G9" s="44">
        <f>IFERROR(-SUMPRODUCT(('Property Registry'!I5:I154="Vacant")*('Property Registry'!G5:G154)),0)</f>
        <v/>
      </c>
      <c r="H9" s="44">
        <f>IFERROR(-SUMPRODUCT(('Property Registry'!I5:I154="Vacant")*('Property Registry'!G5:G154)),0)</f>
        <v/>
      </c>
      <c r="I9" s="44">
        <f>IFERROR(-SUMPRODUCT(('Property Registry'!I5:I154="Vacant")*('Property Registry'!G5:G154)),0)</f>
        <v/>
      </c>
      <c r="J9" s="44">
        <f>IFERROR(-SUMPRODUCT(('Property Registry'!I5:I154="Vacant")*('Property Registry'!G5:G154)),0)</f>
        <v/>
      </c>
      <c r="K9" s="44">
        <f>IFERROR(-SUMPRODUCT(('Property Registry'!I5:I154="Vacant")*('Property Registry'!G5:G154)),0)</f>
        <v/>
      </c>
      <c r="L9" s="44">
        <f>IFERROR(-SUMPRODUCT(('Property Registry'!I5:I154="Vacant")*('Property Registry'!G5:G154)),0)</f>
        <v/>
      </c>
      <c r="M9" s="44">
        <f>IFERROR(-SUMPRODUCT(('Property Registry'!I5:I154="Vacant")*('Property Registry'!G5:G154)),0)</f>
        <v/>
      </c>
      <c r="N9" s="44">
        <f>IFERROR(-SUMPRODUCT(('Property Registry'!I5:I154="Vacant")*('Property Registry'!G5:G154)),0)</f>
        <v/>
      </c>
      <c r="O9" s="44">
        <f>IFERROR(SUM(C9:N9),0)</f>
        <v/>
      </c>
    </row>
    <row r="10">
      <c r="B10" s="43" t="inlineStr">
        <is>
          <t>Less: Bad Debt/Unpaid</t>
        </is>
      </c>
      <c r="C10" s="44">
        <f>IFERROR(-SUM('Rent Collection'!H5:H154),0)</f>
        <v/>
      </c>
      <c r="D10" s="44">
        <f>IFERROR(-SUM('Rent Collection'!H5:H154),0)</f>
        <v/>
      </c>
      <c r="E10" s="44">
        <f>IFERROR(-SUM('Rent Collection'!H5:H154),0)</f>
        <v/>
      </c>
      <c r="F10" s="44">
        <f>IFERROR(-SUM('Rent Collection'!H5:H154),0)</f>
        <v/>
      </c>
      <c r="G10" s="44">
        <f>IFERROR(-SUM('Rent Collection'!H5:H154),0)</f>
        <v/>
      </c>
      <c r="H10" s="44">
        <f>IFERROR(-SUM('Rent Collection'!H5:H154),0)</f>
        <v/>
      </c>
      <c r="I10" s="44">
        <f>IFERROR(-SUM('Rent Collection'!H5:H154),0)</f>
        <v/>
      </c>
      <c r="J10" s="44">
        <f>IFERROR(-SUM('Rent Collection'!H5:H154),0)</f>
        <v/>
      </c>
      <c r="K10" s="44">
        <f>IFERROR(-SUM('Rent Collection'!H5:H154),0)</f>
        <v/>
      </c>
      <c r="L10" s="44">
        <f>IFERROR(-SUM('Rent Collection'!H5:H154),0)</f>
        <v/>
      </c>
      <c r="M10" s="44">
        <f>IFERROR(-SUM('Rent Collection'!H5:H154),0)</f>
        <v/>
      </c>
      <c r="N10" s="44">
        <f>IFERROR(-SUM('Rent Collection'!H5:H154),0)</f>
        <v/>
      </c>
      <c r="O10" s="44">
        <f>IFERROR(SUM(C10:N10),0)</f>
        <v/>
      </c>
    </row>
    <row r="11">
      <c r="B11" s="45" t="inlineStr">
        <is>
          <t>NET REVENUE</t>
        </is>
      </c>
      <c r="C11" s="46">
        <f>IFERROR(C8+C9+C10,0)</f>
        <v/>
      </c>
      <c r="D11" s="46">
        <f>IFERROR(D8+D9+D10,0)</f>
        <v/>
      </c>
      <c r="E11" s="46">
        <f>IFERROR(E8+E9+E10,0)</f>
        <v/>
      </c>
      <c r="F11" s="46">
        <f>IFERROR(F8+F9+F10,0)</f>
        <v/>
      </c>
      <c r="G11" s="46">
        <f>IFERROR(G8+G9+G10,0)</f>
        <v/>
      </c>
      <c r="H11" s="46">
        <f>IFERROR(H8+H9+H10,0)</f>
        <v/>
      </c>
      <c r="I11" s="46">
        <f>IFERROR(I8+I9+I10,0)</f>
        <v/>
      </c>
      <c r="J11" s="46">
        <f>IFERROR(J8+J9+J10,0)</f>
        <v/>
      </c>
      <c r="K11" s="46">
        <f>IFERROR(K8+K9+K10,0)</f>
        <v/>
      </c>
      <c r="L11" s="46">
        <f>IFERROR(L8+L9+L10,0)</f>
        <v/>
      </c>
      <c r="M11" s="46">
        <f>IFERROR(M8+M9+M10,0)</f>
        <v/>
      </c>
      <c r="N11" s="46">
        <f>IFERROR(N8+N9+N10,0)</f>
        <v/>
      </c>
      <c r="O11" s="46">
        <f>IFERROR(O8+O9+O10,0)</f>
        <v/>
      </c>
    </row>
    <row r="14">
      <c r="B14" s="17" t="inlineStr">
        <is>
          <t>Category</t>
        </is>
      </c>
      <c r="C14" s="17" t="inlineStr">
        <is>
          <t>Amount</t>
        </is>
      </c>
    </row>
    <row r="15">
      <c r="B15" s="17" t="inlineStr">
        <is>
          <t>Gross Revenue</t>
        </is>
      </c>
      <c r="C15" s="19">
        <f>O8</f>
        <v/>
      </c>
    </row>
    <row r="16">
      <c r="B16" s="17" t="inlineStr">
        <is>
          <t>Vacancy Loss</t>
        </is>
      </c>
      <c r="C16" s="19">
        <f>O9</f>
        <v/>
      </c>
    </row>
    <row r="17">
      <c r="B17" s="17" t="inlineStr">
        <is>
          <t>Bad Debt</t>
        </is>
      </c>
      <c r="C17" s="19">
        <f>O10</f>
        <v/>
      </c>
    </row>
    <row r="18">
      <c r="B18" s="17" t="inlineStr">
        <is>
          <t>Net Revenue</t>
        </is>
      </c>
      <c r="C18" s="19">
        <f>O11</f>
        <v/>
      </c>
    </row>
  </sheetData>
  <mergeCells count="1">
    <mergeCell ref="B2:O2"/>
  </mergeCells>
  <conditionalFormatting sqref="C5">
    <cfRule type="expression" priority="1" dxfId="1">
      <formula>C5&lt;0</formula>
    </cfRule>
  </conditionalFormatting>
  <conditionalFormatting sqref="D5">
    <cfRule type="expression" priority="2" dxfId="1">
      <formula>D5&lt;0</formula>
    </cfRule>
  </conditionalFormatting>
  <conditionalFormatting sqref="E5">
    <cfRule type="expression" priority="3" dxfId="1">
      <formula>E5&lt;0</formula>
    </cfRule>
  </conditionalFormatting>
  <conditionalFormatting sqref="F5">
    <cfRule type="expression" priority="4" dxfId="1">
      <formula>F5&lt;0</formula>
    </cfRule>
  </conditionalFormatting>
  <conditionalFormatting sqref="G5">
    <cfRule type="expression" priority="5" dxfId="1">
      <formula>G5&lt;0</formula>
    </cfRule>
  </conditionalFormatting>
  <conditionalFormatting sqref="H5">
    <cfRule type="expression" priority="6" dxfId="1">
      <formula>H5&lt;0</formula>
    </cfRule>
  </conditionalFormatting>
  <conditionalFormatting sqref="I5">
    <cfRule type="expression" priority="7" dxfId="1">
      <formula>I5&lt;0</formula>
    </cfRule>
  </conditionalFormatting>
  <conditionalFormatting sqref="J5">
    <cfRule type="expression" priority="8" dxfId="1">
      <formula>J5&lt;0</formula>
    </cfRule>
  </conditionalFormatting>
  <conditionalFormatting sqref="K5">
    <cfRule type="expression" priority="9" dxfId="1">
      <formula>K5&lt;0</formula>
    </cfRule>
  </conditionalFormatting>
  <conditionalFormatting sqref="L5">
    <cfRule type="expression" priority="10" dxfId="1">
      <formula>L5&lt;0</formula>
    </cfRule>
  </conditionalFormatting>
  <conditionalFormatting sqref="M5">
    <cfRule type="expression" priority="11" dxfId="1">
      <formula>M5&lt;0</formula>
    </cfRule>
  </conditionalFormatting>
  <conditionalFormatting sqref="N5">
    <cfRule type="expression" priority="12" dxfId="1">
      <formula>N5&lt;0</formula>
    </cfRule>
  </conditionalFormatting>
  <conditionalFormatting sqref="O5">
    <cfRule type="expression" priority="13" dxfId="1">
      <formula>O5&lt;0</formula>
    </cfRule>
  </conditionalFormatting>
  <conditionalFormatting sqref="C6">
    <cfRule type="expression" priority="14" dxfId="1">
      <formula>C6&lt;0</formula>
    </cfRule>
  </conditionalFormatting>
  <conditionalFormatting sqref="D6">
    <cfRule type="expression" priority="15" dxfId="1">
      <formula>D6&lt;0</formula>
    </cfRule>
  </conditionalFormatting>
  <conditionalFormatting sqref="E6">
    <cfRule type="expression" priority="16" dxfId="1">
      <formula>E6&lt;0</formula>
    </cfRule>
  </conditionalFormatting>
  <conditionalFormatting sqref="F6">
    <cfRule type="expression" priority="17" dxfId="1">
      <formula>F6&lt;0</formula>
    </cfRule>
  </conditionalFormatting>
  <conditionalFormatting sqref="G6">
    <cfRule type="expression" priority="18" dxfId="1">
      <formula>G6&lt;0</formula>
    </cfRule>
  </conditionalFormatting>
  <conditionalFormatting sqref="H6">
    <cfRule type="expression" priority="19" dxfId="1">
      <formula>H6&lt;0</formula>
    </cfRule>
  </conditionalFormatting>
  <conditionalFormatting sqref="I6">
    <cfRule type="expression" priority="20" dxfId="1">
      <formula>I6&lt;0</formula>
    </cfRule>
  </conditionalFormatting>
  <conditionalFormatting sqref="J6">
    <cfRule type="expression" priority="21" dxfId="1">
      <formula>J6&lt;0</formula>
    </cfRule>
  </conditionalFormatting>
  <conditionalFormatting sqref="K6">
    <cfRule type="expression" priority="22" dxfId="1">
      <formula>K6&lt;0</formula>
    </cfRule>
  </conditionalFormatting>
  <conditionalFormatting sqref="L6">
    <cfRule type="expression" priority="23" dxfId="1">
      <formula>L6&lt;0</formula>
    </cfRule>
  </conditionalFormatting>
  <conditionalFormatting sqref="M6">
    <cfRule type="expression" priority="24" dxfId="1">
      <formula>M6&lt;0</formula>
    </cfRule>
  </conditionalFormatting>
  <conditionalFormatting sqref="N6">
    <cfRule type="expression" priority="25" dxfId="1">
      <formula>N6&lt;0</formula>
    </cfRule>
  </conditionalFormatting>
  <conditionalFormatting sqref="O6">
    <cfRule type="expression" priority="26" dxfId="1">
      <formula>O6&lt;0</formula>
    </cfRule>
  </conditionalFormatting>
  <conditionalFormatting sqref="C7">
    <cfRule type="expression" priority="27" dxfId="1">
      <formula>C7&lt;0</formula>
    </cfRule>
  </conditionalFormatting>
  <conditionalFormatting sqref="D7">
    <cfRule type="expression" priority="28" dxfId="1">
      <formula>D7&lt;0</formula>
    </cfRule>
  </conditionalFormatting>
  <conditionalFormatting sqref="E7">
    <cfRule type="expression" priority="29" dxfId="1">
      <formula>E7&lt;0</formula>
    </cfRule>
  </conditionalFormatting>
  <conditionalFormatting sqref="F7">
    <cfRule type="expression" priority="30" dxfId="1">
      <formula>F7&lt;0</formula>
    </cfRule>
  </conditionalFormatting>
  <conditionalFormatting sqref="G7">
    <cfRule type="expression" priority="31" dxfId="1">
      <formula>G7&lt;0</formula>
    </cfRule>
  </conditionalFormatting>
  <conditionalFormatting sqref="H7">
    <cfRule type="expression" priority="32" dxfId="1">
      <formula>H7&lt;0</formula>
    </cfRule>
  </conditionalFormatting>
  <conditionalFormatting sqref="I7">
    <cfRule type="expression" priority="33" dxfId="1">
      <formula>I7&lt;0</formula>
    </cfRule>
  </conditionalFormatting>
  <conditionalFormatting sqref="J7">
    <cfRule type="expression" priority="34" dxfId="1">
      <formula>J7&lt;0</formula>
    </cfRule>
  </conditionalFormatting>
  <conditionalFormatting sqref="K7">
    <cfRule type="expression" priority="35" dxfId="1">
      <formula>K7&lt;0</formula>
    </cfRule>
  </conditionalFormatting>
  <conditionalFormatting sqref="L7">
    <cfRule type="expression" priority="36" dxfId="1">
      <formula>L7&lt;0</formula>
    </cfRule>
  </conditionalFormatting>
  <conditionalFormatting sqref="M7">
    <cfRule type="expression" priority="37" dxfId="1">
      <formula>M7&lt;0</formula>
    </cfRule>
  </conditionalFormatting>
  <conditionalFormatting sqref="N7">
    <cfRule type="expression" priority="38" dxfId="1">
      <formula>N7&lt;0</formula>
    </cfRule>
  </conditionalFormatting>
  <conditionalFormatting sqref="O7">
    <cfRule type="expression" priority="39" dxfId="1">
      <formula>O7&lt;0</formula>
    </cfRule>
  </conditionalFormatting>
  <conditionalFormatting sqref="C8">
    <cfRule type="expression" priority="40" dxfId="1">
      <formula>C8&lt;0</formula>
    </cfRule>
  </conditionalFormatting>
  <conditionalFormatting sqref="D8">
    <cfRule type="expression" priority="41" dxfId="1">
      <formula>D8&lt;0</formula>
    </cfRule>
  </conditionalFormatting>
  <conditionalFormatting sqref="E8">
    <cfRule type="expression" priority="42" dxfId="1">
      <formula>E8&lt;0</formula>
    </cfRule>
  </conditionalFormatting>
  <conditionalFormatting sqref="F8">
    <cfRule type="expression" priority="43" dxfId="1">
      <formula>F8&lt;0</formula>
    </cfRule>
  </conditionalFormatting>
  <conditionalFormatting sqref="G8">
    <cfRule type="expression" priority="44" dxfId="1">
      <formula>G8&lt;0</formula>
    </cfRule>
  </conditionalFormatting>
  <conditionalFormatting sqref="H8">
    <cfRule type="expression" priority="45" dxfId="1">
      <formula>H8&lt;0</formula>
    </cfRule>
  </conditionalFormatting>
  <conditionalFormatting sqref="I8">
    <cfRule type="expression" priority="46" dxfId="1">
      <formula>I8&lt;0</formula>
    </cfRule>
  </conditionalFormatting>
  <conditionalFormatting sqref="J8">
    <cfRule type="expression" priority="47" dxfId="1">
      <formula>J8&lt;0</formula>
    </cfRule>
  </conditionalFormatting>
  <conditionalFormatting sqref="K8">
    <cfRule type="expression" priority="48" dxfId="1">
      <formula>K8&lt;0</formula>
    </cfRule>
  </conditionalFormatting>
  <conditionalFormatting sqref="L8">
    <cfRule type="expression" priority="49" dxfId="1">
      <formula>L8&lt;0</formula>
    </cfRule>
  </conditionalFormatting>
  <conditionalFormatting sqref="M8">
    <cfRule type="expression" priority="50" dxfId="1">
      <formula>M8&lt;0</formula>
    </cfRule>
  </conditionalFormatting>
  <conditionalFormatting sqref="N8">
    <cfRule type="expression" priority="51" dxfId="1">
      <formula>N8&lt;0</formula>
    </cfRule>
  </conditionalFormatting>
  <conditionalFormatting sqref="O8">
    <cfRule type="expression" priority="52" dxfId="1">
      <formula>O8&lt;0</formula>
    </cfRule>
  </conditionalFormatting>
  <conditionalFormatting sqref="C9">
    <cfRule type="expression" priority="53" dxfId="1">
      <formula>C9&lt;0</formula>
    </cfRule>
  </conditionalFormatting>
  <conditionalFormatting sqref="D9">
    <cfRule type="expression" priority="54" dxfId="1">
      <formula>D9&lt;0</formula>
    </cfRule>
  </conditionalFormatting>
  <conditionalFormatting sqref="E9">
    <cfRule type="expression" priority="55" dxfId="1">
      <formula>E9&lt;0</formula>
    </cfRule>
  </conditionalFormatting>
  <conditionalFormatting sqref="F9">
    <cfRule type="expression" priority="56" dxfId="1">
      <formula>F9&lt;0</formula>
    </cfRule>
  </conditionalFormatting>
  <conditionalFormatting sqref="G9">
    <cfRule type="expression" priority="57" dxfId="1">
      <formula>G9&lt;0</formula>
    </cfRule>
  </conditionalFormatting>
  <conditionalFormatting sqref="H9">
    <cfRule type="expression" priority="58" dxfId="1">
      <formula>H9&lt;0</formula>
    </cfRule>
  </conditionalFormatting>
  <conditionalFormatting sqref="I9">
    <cfRule type="expression" priority="59" dxfId="1">
      <formula>I9&lt;0</formula>
    </cfRule>
  </conditionalFormatting>
  <conditionalFormatting sqref="J9">
    <cfRule type="expression" priority="60" dxfId="1">
      <formula>J9&lt;0</formula>
    </cfRule>
  </conditionalFormatting>
  <conditionalFormatting sqref="K9">
    <cfRule type="expression" priority="61" dxfId="1">
      <formula>K9&lt;0</formula>
    </cfRule>
  </conditionalFormatting>
  <conditionalFormatting sqref="L9">
    <cfRule type="expression" priority="62" dxfId="1">
      <formula>L9&lt;0</formula>
    </cfRule>
  </conditionalFormatting>
  <conditionalFormatting sqref="M9">
    <cfRule type="expression" priority="63" dxfId="1">
      <formula>M9&lt;0</formula>
    </cfRule>
  </conditionalFormatting>
  <conditionalFormatting sqref="N9">
    <cfRule type="expression" priority="64" dxfId="1">
      <formula>N9&lt;0</formula>
    </cfRule>
  </conditionalFormatting>
  <conditionalFormatting sqref="O9">
    <cfRule type="expression" priority="65" dxfId="1">
      <formula>O9&lt;0</formula>
    </cfRule>
  </conditionalFormatting>
  <conditionalFormatting sqref="C10">
    <cfRule type="expression" priority="66" dxfId="1">
      <formula>C10&lt;0</formula>
    </cfRule>
  </conditionalFormatting>
  <conditionalFormatting sqref="D10">
    <cfRule type="expression" priority="67" dxfId="1">
      <formula>D10&lt;0</formula>
    </cfRule>
  </conditionalFormatting>
  <conditionalFormatting sqref="E10">
    <cfRule type="expression" priority="68" dxfId="1">
      <formula>E10&lt;0</formula>
    </cfRule>
  </conditionalFormatting>
  <conditionalFormatting sqref="F10">
    <cfRule type="expression" priority="69" dxfId="1">
      <formula>F10&lt;0</formula>
    </cfRule>
  </conditionalFormatting>
  <conditionalFormatting sqref="G10">
    <cfRule type="expression" priority="70" dxfId="1">
      <formula>G10&lt;0</formula>
    </cfRule>
  </conditionalFormatting>
  <conditionalFormatting sqref="H10">
    <cfRule type="expression" priority="71" dxfId="1">
      <formula>H10&lt;0</formula>
    </cfRule>
  </conditionalFormatting>
  <conditionalFormatting sqref="I10">
    <cfRule type="expression" priority="72" dxfId="1">
      <formula>I10&lt;0</formula>
    </cfRule>
  </conditionalFormatting>
  <conditionalFormatting sqref="J10">
    <cfRule type="expression" priority="73" dxfId="1">
      <formula>J10&lt;0</formula>
    </cfRule>
  </conditionalFormatting>
  <conditionalFormatting sqref="K10">
    <cfRule type="expression" priority="74" dxfId="1">
      <formula>K10&lt;0</formula>
    </cfRule>
  </conditionalFormatting>
  <conditionalFormatting sqref="L10">
    <cfRule type="expression" priority="75" dxfId="1">
      <formula>L10&lt;0</formula>
    </cfRule>
  </conditionalFormatting>
  <conditionalFormatting sqref="M10">
    <cfRule type="expression" priority="76" dxfId="1">
      <formula>M10&lt;0</formula>
    </cfRule>
  </conditionalFormatting>
  <conditionalFormatting sqref="N10">
    <cfRule type="expression" priority="77" dxfId="1">
      <formula>N10&lt;0</formula>
    </cfRule>
  </conditionalFormatting>
  <conditionalFormatting sqref="O10">
    <cfRule type="expression" priority="78" dxfId="1">
      <formula>O10&lt;0</formula>
    </cfRule>
  </conditionalFormatting>
  <conditionalFormatting sqref="C11">
    <cfRule type="expression" priority="79" dxfId="1">
      <formula>C11&lt;0</formula>
    </cfRule>
  </conditionalFormatting>
  <conditionalFormatting sqref="D11">
    <cfRule type="expression" priority="80" dxfId="1">
      <formula>D11&lt;0</formula>
    </cfRule>
  </conditionalFormatting>
  <conditionalFormatting sqref="E11">
    <cfRule type="expression" priority="81" dxfId="1">
      <formula>E11&lt;0</formula>
    </cfRule>
  </conditionalFormatting>
  <conditionalFormatting sqref="F11">
    <cfRule type="expression" priority="82" dxfId="1">
      <formula>F11&lt;0</formula>
    </cfRule>
  </conditionalFormatting>
  <conditionalFormatting sqref="G11">
    <cfRule type="expression" priority="83" dxfId="1">
      <formula>G11&lt;0</formula>
    </cfRule>
  </conditionalFormatting>
  <conditionalFormatting sqref="H11">
    <cfRule type="expression" priority="84" dxfId="1">
      <formula>H11&lt;0</formula>
    </cfRule>
  </conditionalFormatting>
  <conditionalFormatting sqref="I11">
    <cfRule type="expression" priority="85" dxfId="1">
      <formula>I11&lt;0</formula>
    </cfRule>
  </conditionalFormatting>
  <conditionalFormatting sqref="J11">
    <cfRule type="expression" priority="86" dxfId="1">
      <formula>J11&lt;0</formula>
    </cfRule>
  </conditionalFormatting>
  <conditionalFormatting sqref="K11">
    <cfRule type="expression" priority="87" dxfId="1">
      <formula>K11&lt;0</formula>
    </cfRule>
  </conditionalFormatting>
  <conditionalFormatting sqref="L11">
    <cfRule type="expression" priority="88" dxfId="1">
      <formula>L11&lt;0</formula>
    </cfRule>
  </conditionalFormatting>
  <conditionalFormatting sqref="M11">
    <cfRule type="expression" priority="89" dxfId="1">
      <formula>M11&lt;0</formula>
    </cfRule>
  </conditionalFormatting>
  <conditionalFormatting sqref="N11">
    <cfRule type="expression" priority="90" dxfId="1">
      <formula>N11&lt;0</formula>
    </cfRule>
  </conditionalFormatting>
  <conditionalFormatting sqref="O11">
    <cfRule type="expression" priority="91" dxfId="1">
      <formula>O11&lt;0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5" customWidth="1" min="4" max="4"/>
  </cols>
  <sheetData>
    <row r="1" ht="15" customHeight="1"/>
    <row r="2" ht="32" customHeight="1">
      <c r="B2" s="1" t="inlineStr">
        <is>
          <t>Profit &amp; Loss Statement — Al Reef Al Janoubi</t>
        </is>
      </c>
    </row>
    <row r="3" ht="8" customHeight="1"/>
    <row r="5" ht="28" customHeight="1">
      <c r="B5" s="45" t="inlineStr">
        <is>
          <t>REVENUE</t>
        </is>
      </c>
      <c r="C5" s="5" t="n"/>
      <c r="D5" s="5" t="n"/>
    </row>
    <row r="6" ht="22" customHeight="1">
      <c r="B6" s="47" t="inlineStr">
        <is>
          <t>Rental Income</t>
        </is>
      </c>
      <c r="C6" s="48">
        <f>IFERROR('Revenue Analysis'!O5,0)</f>
        <v/>
      </c>
    </row>
    <row r="7" ht="22" customHeight="1">
      <c r="B7" s="47" t="inlineStr">
        <is>
          <t>Other Income</t>
        </is>
      </c>
      <c r="C7" s="48">
        <f>IFERROR('Revenue Analysis'!O7,0)</f>
        <v/>
      </c>
    </row>
    <row r="8" ht="26" customHeight="1">
      <c r="B8" s="29" t="inlineStr">
        <is>
          <t>Total Revenue</t>
        </is>
      </c>
      <c r="C8" s="49">
        <f>IFERROR(SUM(C6:C7),0)</f>
        <v/>
      </c>
      <c r="D8" s="50" t="n"/>
    </row>
    <row r="10" ht="28" customHeight="1">
      <c r="B10" s="45" t="inlineStr">
        <is>
          <t>COST OF OPERATIONS</t>
        </is>
      </c>
      <c r="C10" s="5" t="n"/>
      <c r="D10" s="5" t="n"/>
    </row>
    <row r="11" ht="22" customHeight="1">
      <c r="B11" s="47" t="inlineStr">
        <is>
          <t>Manpower/Staff Costs</t>
        </is>
      </c>
      <c r="C11" s="48">
        <f>IFERROR(SUMPRODUCT(('Expenses'!C5:C304="Manpower/Staff")*('Expenses'!E5:E304)),0)</f>
        <v/>
      </c>
    </row>
    <row r="12" ht="22" customHeight="1">
      <c r="B12" s="47" t="inlineStr">
        <is>
          <t>Maintenance Costs</t>
        </is>
      </c>
      <c r="C12" s="48">
        <f>IFERROR(SUMPRODUCT(('Expenses'!C5:C304="Maintenance")*('Expenses'!E5:E304)),0)</f>
        <v/>
      </c>
    </row>
    <row r="13" ht="22" customHeight="1">
      <c r="B13" s="47" t="inlineStr">
        <is>
          <t>Municipality Fees</t>
        </is>
      </c>
      <c r="C13" s="48">
        <f>IFERROR(SUMPRODUCT(('Expenses'!C5:C304="Municipality Fees")*('Expenses'!E5:E304)),0)</f>
        <v/>
      </c>
    </row>
    <row r="14" ht="22" customHeight="1">
      <c r="B14" s="47" t="inlineStr">
        <is>
          <t>Leasing Commissions</t>
        </is>
      </c>
      <c r="C14" s="48">
        <f>IFERROR(SUMPRODUCT(('Expenses'!C5:C304="Leasing Commission")*('Expenses'!E5:E304)),0)</f>
        <v/>
      </c>
    </row>
    <row r="15" ht="22" customHeight="1">
      <c r="B15" s="47" t="inlineStr">
        <is>
          <t>Insurance</t>
        </is>
      </c>
      <c r="C15" s="48">
        <f>IFERROR(SUMPRODUCT(('Expenses'!C5:C304="Insurance")*('Expenses'!E5:E304)),0)</f>
        <v/>
      </c>
    </row>
    <row r="16" ht="22" customHeight="1">
      <c r="B16" s="47" t="inlineStr">
        <is>
          <t>Utilities</t>
        </is>
      </c>
      <c r="C16" s="48">
        <f>IFERROR(SUMPRODUCT(('Expenses'!C5:C304="Utilities")*('Expenses'!E5:E304)),0)</f>
        <v/>
      </c>
    </row>
    <row r="17" ht="26" customHeight="1">
      <c r="B17" s="29" t="inlineStr">
        <is>
          <t>Total Cost of Operations</t>
        </is>
      </c>
      <c r="C17" s="49">
        <f>IFERROR(SUM(C11:C16),0)</f>
        <v/>
      </c>
      <c r="D17" s="50" t="n"/>
    </row>
    <row r="19" ht="26" customHeight="1">
      <c r="B19" s="29" t="inlineStr">
        <is>
          <t>Gross Profit</t>
        </is>
      </c>
      <c r="C19" s="49">
        <f>IFERROR(C8-C17,0)</f>
        <v/>
      </c>
      <c r="D19" s="50" t="n"/>
    </row>
    <row r="20" ht="22" customHeight="1">
      <c r="B20" s="17" t="inlineStr">
        <is>
          <t>Gross Margin %</t>
        </is>
      </c>
      <c r="C20" s="51">
        <f>IFERROR(C19/C8,0)</f>
        <v/>
      </c>
    </row>
    <row r="22" ht="28" customHeight="1">
      <c r="B22" s="45" t="inlineStr">
        <is>
          <t>OPERATING EXPENSES</t>
        </is>
      </c>
      <c r="C22" s="5" t="n"/>
      <c r="D22" s="5" t="n"/>
    </row>
    <row r="23" ht="22" customHeight="1">
      <c r="B23" s="47" t="inlineStr">
        <is>
          <t>Marketing</t>
        </is>
      </c>
      <c r="C23" s="48">
        <f>IFERROR(SUMPRODUCT(('Expenses'!C5:C304="Marketing")*('Expenses'!E5:E304)),0)</f>
        <v/>
      </c>
    </row>
    <row r="24" ht="22" customHeight="1">
      <c r="B24" s="47" t="inlineStr">
        <is>
          <t>Legal &amp; Professional</t>
        </is>
      </c>
      <c r="C24" s="48">
        <f>IFERROR(SUMPRODUCT(('Expenses'!C5:C304="Legal")*('Expenses'!E5:E304)),0)</f>
        <v/>
      </c>
    </row>
    <row r="25" ht="22" customHeight="1">
      <c r="B25" s="47" t="inlineStr">
        <is>
          <t>Cleaning &amp; Security</t>
        </is>
      </c>
      <c r="C25" s="48">
        <f>IFERROR(SUMPRODUCT(('Expenses'!C5:C304="Cleaning")*('Expenses'!E5:E304)),0)</f>
        <v/>
      </c>
    </row>
    <row r="26" ht="22" customHeight="1">
      <c r="B26" s="47" t="inlineStr">
        <is>
          <t>Security Costs</t>
        </is>
      </c>
      <c r="C26" s="48">
        <f>IFERROR(SUMPRODUCT(('Expenses'!C5:C304="Security")*('Expenses'!E5:E304)),0)</f>
        <v/>
      </c>
    </row>
    <row r="27" ht="22" customHeight="1">
      <c r="B27" s="47" t="inlineStr">
        <is>
          <t>Pest Control</t>
        </is>
      </c>
      <c r="C27" s="48">
        <f>IFERROR(SUMPRODUCT(('Expenses'!C5:C304="Pest Control")*('Expenses'!E5:E304)),0)</f>
        <v/>
      </c>
    </row>
    <row r="28" ht="22" customHeight="1">
      <c r="B28" s="47" t="inlineStr">
        <is>
          <t>Elevator Service</t>
        </is>
      </c>
      <c r="C28" s="48">
        <f>IFERROR(SUMPRODUCT(('Expenses'!C5:C304="Elevator Service")*('Expenses'!E5:E304)),0)</f>
        <v/>
      </c>
    </row>
    <row r="29" ht="22" customHeight="1">
      <c r="B29" s="47" t="inlineStr">
        <is>
          <t>Other</t>
        </is>
      </c>
      <c r="C29" s="48">
        <f>IFERROR(SUMPRODUCT(('Expenses'!C5:C304="Other")*('Expenses'!E5:E304)),0)</f>
        <v/>
      </c>
    </row>
    <row r="30" ht="26" customHeight="1">
      <c r="B30" s="29" t="inlineStr">
        <is>
          <t>Total Operating Expenses</t>
        </is>
      </c>
      <c r="C30" s="49">
        <f>IFERROR(SUM(C23:C29),0)</f>
        <v/>
      </c>
      <c r="D30" s="50" t="n"/>
    </row>
    <row r="32" ht="26" customHeight="1">
      <c r="B32" s="29" t="inlineStr">
        <is>
          <t>Net Profit</t>
        </is>
      </c>
      <c r="C32" s="49">
        <f>IFERROR(C19-C30,0)</f>
        <v/>
      </c>
      <c r="D32" s="50" t="n"/>
    </row>
    <row r="33" ht="22" customHeight="1">
      <c r="B33" s="17" t="inlineStr">
        <is>
          <t>Net Margin %</t>
        </is>
      </c>
      <c r="C33" s="51">
        <f>IFERROR(C32/C8,0)</f>
        <v/>
      </c>
    </row>
    <row r="36" ht="28" customHeight="1">
      <c r="B36" s="45" t="inlineStr">
        <is>
          <t>WATERFALL SUMMARY</t>
        </is>
      </c>
      <c r="C36" s="5" t="n"/>
      <c r="D36" s="5" t="n"/>
    </row>
    <row r="37" ht="22" customHeight="1">
      <c r="B37" s="43" t="inlineStr">
        <is>
          <t>Total Revenue</t>
        </is>
      </c>
      <c r="C37" s="52">
        <f>C8</f>
        <v/>
      </c>
    </row>
    <row r="38" ht="22" customHeight="1">
      <c r="B38" s="43" t="inlineStr">
        <is>
          <t>Less: Cost of Operations</t>
        </is>
      </c>
      <c r="C38" s="53">
        <f>-C17</f>
        <v/>
      </c>
    </row>
    <row r="39" ht="22" customHeight="1">
      <c r="B39" s="43" t="inlineStr">
        <is>
          <t>Gross Profit</t>
        </is>
      </c>
      <c r="C39" s="52">
        <f>C19</f>
        <v/>
      </c>
    </row>
    <row r="40" ht="22" customHeight="1">
      <c r="B40" s="43" t="inlineStr">
        <is>
          <t>Less: Operating Expenses</t>
        </is>
      </c>
      <c r="C40" s="53">
        <f>-C30</f>
        <v/>
      </c>
    </row>
    <row r="41" ht="22" customHeight="1">
      <c r="B41" s="43" t="inlineStr">
        <is>
          <t>Net Profit</t>
        </is>
      </c>
      <c r="C41" s="54">
        <f>C32</f>
        <v/>
      </c>
    </row>
  </sheetData>
  <mergeCells count="1">
    <mergeCell ref="B2:D2"/>
  </mergeCells>
  <conditionalFormatting sqref="C5:C41">
    <cfRule type="expression" priority="1" dxfId="1">
      <formula>C5&lt;0</formula>
    </cfRule>
    <cfRule type="expression" priority="2" dxfId="0">
      <formula>AND(C5&gt;0,ROW()&gt;5)</formula>
    </cfRule>
  </conditionalFormatting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B2:L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6" customWidth="1" min="11" max="11"/>
    <col width="24" customWidth="1" min="12" max="12"/>
  </cols>
  <sheetData>
    <row r="1" ht="15" customHeight="1"/>
    <row r="2" ht="32" customHeight="1">
      <c r="B2" s="1" t="inlineStr">
        <is>
          <t>Lease Contract Tracker</t>
        </is>
      </c>
    </row>
    <row r="3" ht="8" customHeight="1"/>
    <row r="4" ht="28" customHeight="1">
      <c r="B4" s="20" t="inlineStr">
        <is>
          <t>Unit ID</t>
        </is>
      </c>
      <c r="C4" s="20" t="inlineStr">
        <is>
          <t>Tenant</t>
        </is>
      </c>
      <c r="D4" s="20" t="inlineStr">
        <is>
          <t>Phone</t>
        </is>
      </c>
      <c r="E4" s="20" t="inlineStr">
        <is>
          <t>Building</t>
        </is>
      </c>
      <c r="F4" s="20" t="inlineStr">
        <is>
          <t>Unit Type</t>
        </is>
      </c>
      <c r="G4" s="20" t="inlineStr">
        <is>
          <t>Lease Start</t>
        </is>
      </c>
      <c r="H4" s="20" t="inlineStr">
        <is>
          <t>Lease End</t>
        </is>
      </c>
      <c r="I4" s="20" t="inlineStr">
        <is>
          <t>Days Until Expiry</t>
        </is>
      </c>
      <c r="J4" s="20" t="inlineStr">
        <is>
          <t>Renewal Status</t>
        </is>
      </c>
      <c r="K4" s="20" t="inlineStr">
        <is>
          <t>New Rent (AED)</t>
        </is>
      </c>
      <c r="L4" s="20" t="inlineStr">
        <is>
          <t>Notes</t>
        </is>
      </c>
    </row>
    <row r="5" ht="22" customHeight="1">
      <c r="B5" s="21" t="n"/>
      <c r="C5" s="21" t="n"/>
      <c r="D5" s="21" t="n"/>
      <c r="E5" s="21" t="n"/>
      <c r="F5" s="21" t="n"/>
      <c r="G5" s="24" t="n"/>
      <c r="H5" s="24" t="n"/>
      <c r="I5" s="22">
        <f>IFERROR(MAX(0,H5-TODAY()),0)</f>
        <v/>
      </c>
      <c r="J5" s="21" t="n"/>
      <c r="K5" s="23" t="n"/>
      <c r="L5" s="21" t="n"/>
    </row>
    <row r="6" ht="22" customHeight="1">
      <c r="B6" s="25" t="n"/>
      <c r="C6" s="25" t="n"/>
      <c r="D6" s="25" t="n"/>
      <c r="E6" s="25" t="n"/>
      <c r="F6" s="25" t="n"/>
      <c r="G6" s="28" t="n"/>
      <c r="H6" s="28" t="n"/>
      <c r="I6" s="26">
        <f>IFERROR(MAX(0,H6-TODAY()),0)</f>
        <v/>
      </c>
      <c r="J6" s="25" t="n"/>
      <c r="K6" s="27" t="n"/>
      <c r="L6" s="25" t="n"/>
    </row>
    <row r="7" ht="22" customHeight="1">
      <c r="B7" s="21" t="n"/>
      <c r="C7" s="21" t="n"/>
      <c r="D7" s="21" t="n"/>
      <c r="E7" s="21" t="n"/>
      <c r="F7" s="21" t="n"/>
      <c r="G7" s="24" t="n"/>
      <c r="H7" s="24" t="n"/>
      <c r="I7" s="22">
        <f>IFERROR(MAX(0,H7-TODAY()),0)</f>
        <v/>
      </c>
      <c r="J7" s="21" t="n"/>
      <c r="K7" s="23" t="n"/>
      <c r="L7" s="21" t="n"/>
    </row>
    <row r="8" ht="22" customHeight="1">
      <c r="B8" s="25" t="n"/>
      <c r="C8" s="25" t="n"/>
      <c r="D8" s="25" t="n"/>
      <c r="E8" s="25" t="n"/>
      <c r="F8" s="25" t="n"/>
      <c r="G8" s="28" t="n"/>
      <c r="H8" s="28" t="n"/>
      <c r="I8" s="26">
        <f>IFERROR(MAX(0,H8-TODAY()),0)</f>
        <v/>
      </c>
      <c r="J8" s="25" t="n"/>
      <c r="K8" s="27" t="n"/>
      <c r="L8" s="25" t="n"/>
    </row>
    <row r="9" ht="22" customHeight="1">
      <c r="B9" s="21" t="n"/>
      <c r="C9" s="21" t="n"/>
      <c r="D9" s="21" t="n"/>
      <c r="E9" s="21" t="n"/>
      <c r="F9" s="21" t="n"/>
      <c r="G9" s="24" t="n"/>
      <c r="H9" s="24" t="n"/>
      <c r="I9" s="22">
        <f>IFERROR(MAX(0,H9-TODAY()),0)</f>
        <v/>
      </c>
      <c r="J9" s="21" t="n"/>
      <c r="K9" s="23" t="n"/>
      <c r="L9" s="21" t="n"/>
    </row>
    <row r="10" ht="22" customHeight="1">
      <c r="B10" s="25" t="n"/>
      <c r="C10" s="25" t="n"/>
      <c r="D10" s="25" t="n"/>
      <c r="E10" s="25" t="n"/>
      <c r="F10" s="25" t="n"/>
      <c r="G10" s="28" t="n"/>
      <c r="H10" s="28" t="n"/>
      <c r="I10" s="26">
        <f>IFERROR(MAX(0,H10-TODAY()),0)</f>
        <v/>
      </c>
      <c r="J10" s="25" t="n"/>
      <c r="K10" s="27" t="n"/>
      <c r="L10" s="25" t="n"/>
    </row>
    <row r="11" ht="22" customHeight="1">
      <c r="B11" s="21" t="n"/>
      <c r="C11" s="21" t="n"/>
      <c r="D11" s="21" t="n"/>
      <c r="E11" s="21" t="n"/>
      <c r="F11" s="21" t="n"/>
      <c r="G11" s="24" t="n"/>
      <c r="H11" s="24" t="n"/>
      <c r="I11" s="22">
        <f>IFERROR(MAX(0,H11-TODAY()),0)</f>
        <v/>
      </c>
      <c r="J11" s="21" t="n"/>
      <c r="K11" s="23" t="n"/>
      <c r="L11" s="21" t="n"/>
    </row>
    <row r="12" ht="22" customHeight="1">
      <c r="B12" s="25" t="n"/>
      <c r="C12" s="25" t="n"/>
      <c r="D12" s="25" t="n"/>
      <c r="E12" s="25" t="n"/>
      <c r="F12" s="25" t="n"/>
      <c r="G12" s="28" t="n"/>
      <c r="H12" s="28" t="n"/>
      <c r="I12" s="26">
        <f>IFERROR(MAX(0,H12-TODAY()),0)</f>
        <v/>
      </c>
      <c r="J12" s="25" t="n"/>
      <c r="K12" s="27" t="n"/>
      <c r="L12" s="25" t="n"/>
    </row>
    <row r="13" ht="22" customHeight="1">
      <c r="B13" s="21" t="n"/>
      <c r="C13" s="21" t="n"/>
      <c r="D13" s="21" t="n"/>
      <c r="E13" s="21" t="n"/>
      <c r="F13" s="21" t="n"/>
      <c r="G13" s="24" t="n"/>
      <c r="H13" s="24" t="n"/>
      <c r="I13" s="22">
        <f>IFERROR(MAX(0,H13-TODAY()),0)</f>
        <v/>
      </c>
      <c r="J13" s="21" t="n"/>
      <c r="K13" s="23" t="n"/>
      <c r="L13" s="21" t="n"/>
    </row>
    <row r="14" ht="22" customHeight="1">
      <c r="B14" s="25" t="n"/>
      <c r="C14" s="25" t="n"/>
      <c r="D14" s="25" t="n"/>
      <c r="E14" s="25" t="n"/>
      <c r="F14" s="25" t="n"/>
      <c r="G14" s="28" t="n"/>
      <c r="H14" s="28" t="n"/>
      <c r="I14" s="26">
        <f>IFERROR(MAX(0,H14-TODAY()),0)</f>
        <v/>
      </c>
      <c r="J14" s="25" t="n"/>
      <c r="K14" s="27" t="n"/>
      <c r="L14" s="25" t="n"/>
    </row>
    <row r="15" ht="22" customHeight="1">
      <c r="B15" s="21" t="n"/>
      <c r="C15" s="21" t="n"/>
      <c r="D15" s="21" t="n"/>
      <c r="E15" s="21" t="n"/>
      <c r="F15" s="21" t="n"/>
      <c r="G15" s="24" t="n"/>
      <c r="H15" s="24" t="n"/>
      <c r="I15" s="22">
        <f>IFERROR(MAX(0,H15-TODAY()),0)</f>
        <v/>
      </c>
      <c r="J15" s="21" t="n"/>
      <c r="K15" s="23" t="n"/>
      <c r="L15" s="21" t="n"/>
    </row>
    <row r="16" ht="22" customHeight="1">
      <c r="B16" s="25" t="n"/>
      <c r="C16" s="25" t="n"/>
      <c r="D16" s="25" t="n"/>
      <c r="E16" s="25" t="n"/>
      <c r="F16" s="25" t="n"/>
      <c r="G16" s="28" t="n"/>
      <c r="H16" s="28" t="n"/>
      <c r="I16" s="26">
        <f>IFERROR(MAX(0,H16-TODAY()),0)</f>
        <v/>
      </c>
      <c r="J16" s="25" t="n"/>
      <c r="K16" s="27" t="n"/>
      <c r="L16" s="25" t="n"/>
    </row>
    <row r="17" ht="22" customHeight="1">
      <c r="B17" s="21" t="n"/>
      <c r="C17" s="21" t="n"/>
      <c r="D17" s="21" t="n"/>
      <c r="E17" s="21" t="n"/>
      <c r="F17" s="21" t="n"/>
      <c r="G17" s="24" t="n"/>
      <c r="H17" s="24" t="n"/>
      <c r="I17" s="22">
        <f>IFERROR(MAX(0,H17-TODAY()),0)</f>
        <v/>
      </c>
      <c r="J17" s="21" t="n"/>
      <c r="K17" s="23" t="n"/>
      <c r="L17" s="21" t="n"/>
    </row>
    <row r="18" ht="22" customHeight="1">
      <c r="B18" s="25" t="n"/>
      <c r="C18" s="25" t="n"/>
      <c r="D18" s="25" t="n"/>
      <c r="E18" s="25" t="n"/>
      <c r="F18" s="25" t="n"/>
      <c r="G18" s="28" t="n"/>
      <c r="H18" s="28" t="n"/>
      <c r="I18" s="26">
        <f>IFERROR(MAX(0,H18-TODAY()),0)</f>
        <v/>
      </c>
      <c r="J18" s="25" t="n"/>
      <c r="K18" s="27" t="n"/>
      <c r="L18" s="25" t="n"/>
    </row>
    <row r="19" ht="22" customHeight="1">
      <c r="B19" s="21" t="n"/>
      <c r="C19" s="21" t="n"/>
      <c r="D19" s="21" t="n"/>
      <c r="E19" s="21" t="n"/>
      <c r="F19" s="21" t="n"/>
      <c r="G19" s="24" t="n"/>
      <c r="H19" s="24" t="n"/>
      <c r="I19" s="22">
        <f>IFERROR(MAX(0,H19-TODAY()),0)</f>
        <v/>
      </c>
      <c r="J19" s="21" t="n"/>
      <c r="K19" s="23" t="n"/>
      <c r="L19" s="21" t="n"/>
    </row>
    <row r="20" ht="22" customHeight="1">
      <c r="B20" s="25" t="n"/>
      <c r="C20" s="25" t="n"/>
      <c r="D20" s="25" t="n"/>
      <c r="E20" s="25" t="n"/>
      <c r="F20" s="25" t="n"/>
      <c r="G20" s="28" t="n"/>
      <c r="H20" s="28" t="n"/>
      <c r="I20" s="26">
        <f>IFERROR(MAX(0,H20-TODAY()),0)</f>
        <v/>
      </c>
      <c r="J20" s="25" t="n"/>
      <c r="K20" s="27" t="n"/>
      <c r="L20" s="25" t="n"/>
    </row>
    <row r="21" ht="22" customHeight="1">
      <c r="B21" s="21" t="n"/>
      <c r="C21" s="21" t="n"/>
      <c r="D21" s="21" t="n"/>
      <c r="E21" s="21" t="n"/>
      <c r="F21" s="21" t="n"/>
      <c r="G21" s="24" t="n"/>
      <c r="H21" s="24" t="n"/>
      <c r="I21" s="22">
        <f>IFERROR(MAX(0,H21-TODAY()),0)</f>
        <v/>
      </c>
      <c r="J21" s="21" t="n"/>
      <c r="K21" s="23" t="n"/>
      <c r="L21" s="21" t="n"/>
    </row>
    <row r="22" ht="22" customHeight="1">
      <c r="B22" s="25" t="n"/>
      <c r="C22" s="25" t="n"/>
      <c r="D22" s="25" t="n"/>
      <c r="E22" s="25" t="n"/>
      <c r="F22" s="25" t="n"/>
      <c r="G22" s="28" t="n"/>
      <c r="H22" s="28" t="n"/>
      <c r="I22" s="26">
        <f>IFERROR(MAX(0,H22-TODAY()),0)</f>
        <v/>
      </c>
      <c r="J22" s="25" t="n"/>
      <c r="K22" s="27" t="n"/>
      <c r="L22" s="25" t="n"/>
    </row>
    <row r="23" ht="22" customHeight="1">
      <c r="B23" s="21" t="n"/>
      <c r="C23" s="21" t="n"/>
      <c r="D23" s="21" t="n"/>
      <c r="E23" s="21" t="n"/>
      <c r="F23" s="21" t="n"/>
      <c r="G23" s="24" t="n"/>
      <c r="H23" s="24" t="n"/>
      <c r="I23" s="22">
        <f>IFERROR(MAX(0,H23-TODAY()),0)</f>
        <v/>
      </c>
      <c r="J23" s="21" t="n"/>
      <c r="K23" s="23" t="n"/>
      <c r="L23" s="21" t="n"/>
    </row>
    <row r="24" ht="22" customHeight="1">
      <c r="B24" s="25" t="n"/>
      <c r="C24" s="25" t="n"/>
      <c r="D24" s="25" t="n"/>
      <c r="E24" s="25" t="n"/>
      <c r="F24" s="25" t="n"/>
      <c r="G24" s="28" t="n"/>
      <c r="H24" s="28" t="n"/>
      <c r="I24" s="26">
        <f>IFERROR(MAX(0,H24-TODAY()),0)</f>
        <v/>
      </c>
      <c r="J24" s="25" t="n"/>
      <c r="K24" s="27" t="n"/>
      <c r="L24" s="25" t="n"/>
    </row>
    <row r="25" ht="22" customHeight="1">
      <c r="B25" s="21" t="n"/>
      <c r="C25" s="21" t="n"/>
      <c r="D25" s="21" t="n"/>
      <c r="E25" s="21" t="n"/>
      <c r="F25" s="21" t="n"/>
      <c r="G25" s="24" t="n"/>
      <c r="H25" s="24" t="n"/>
      <c r="I25" s="22">
        <f>IFERROR(MAX(0,H25-TODAY()),0)</f>
        <v/>
      </c>
      <c r="J25" s="21" t="n"/>
      <c r="K25" s="23" t="n"/>
      <c r="L25" s="21" t="n"/>
    </row>
    <row r="26" ht="22" customHeight="1">
      <c r="B26" s="25" t="n"/>
      <c r="C26" s="25" t="n"/>
      <c r="D26" s="25" t="n"/>
      <c r="E26" s="25" t="n"/>
      <c r="F26" s="25" t="n"/>
      <c r="G26" s="28" t="n"/>
      <c r="H26" s="28" t="n"/>
      <c r="I26" s="26">
        <f>IFERROR(MAX(0,H26-TODAY()),0)</f>
        <v/>
      </c>
      <c r="J26" s="25" t="n"/>
      <c r="K26" s="27" t="n"/>
      <c r="L26" s="25" t="n"/>
    </row>
    <row r="27" ht="22" customHeight="1">
      <c r="B27" s="21" t="n"/>
      <c r="C27" s="21" t="n"/>
      <c r="D27" s="21" t="n"/>
      <c r="E27" s="21" t="n"/>
      <c r="F27" s="21" t="n"/>
      <c r="G27" s="24" t="n"/>
      <c r="H27" s="24" t="n"/>
      <c r="I27" s="22">
        <f>IFERROR(MAX(0,H27-TODAY()),0)</f>
        <v/>
      </c>
      <c r="J27" s="21" t="n"/>
      <c r="K27" s="23" t="n"/>
      <c r="L27" s="21" t="n"/>
    </row>
    <row r="28" ht="22" customHeight="1">
      <c r="B28" s="25" t="n"/>
      <c r="C28" s="25" t="n"/>
      <c r="D28" s="25" t="n"/>
      <c r="E28" s="25" t="n"/>
      <c r="F28" s="25" t="n"/>
      <c r="G28" s="28" t="n"/>
      <c r="H28" s="28" t="n"/>
      <c r="I28" s="26">
        <f>IFERROR(MAX(0,H28-TODAY()),0)</f>
        <v/>
      </c>
      <c r="J28" s="25" t="n"/>
      <c r="K28" s="27" t="n"/>
      <c r="L28" s="25" t="n"/>
    </row>
    <row r="29" ht="22" customHeight="1">
      <c r="B29" s="21" t="n"/>
      <c r="C29" s="21" t="n"/>
      <c r="D29" s="21" t="n"/>
      <c r="E29" s="21" t="n"/>
      <c r="F29" s="21" t="n"/>
      <c r="G29" s="24" t="n"/>
      <c r="H29" s="24" t="n"/>
      <c r="I29" s="22">
        <f>IFERROR(MAX(0,H29-TODAY()),0)</f>
        <v/>
      </c>
      <c r="J29" s="21" t="n"/>
      <c r="K29" s="23" t="n"/>
      <c r="L29" s="21" t="n"/>
    </row>
    <row r="30" ht="22" customHeight="1">
      <c r="B30" s="25" t="n"/>
      <c r="C30" s="25" t="n"/>
      <c r="D30" s="25" t="n"/>
      <c r="E30" s="25" t="n"/>
      <c r="F30" s="25" t="n"/>
      <c r="G30" s="28" t="n"/>
      <c r="H30" s="28" t="n"/>
      <c r="I30" s="26">
        <f>IFERROR(MAX(0,H30-TODAY()),0)</f>
        <v/>
      </c>
      <c r="J30" s="25" t="n"/>
      <c r="K30" s="27" t="n"/>
      <c r="L30" s="25" t="n"/>
    </row>
    <row r="31" ht="22" customHeight="1">
      <c r="B31" s="21" t="n"/>
      <c r="C31" s="21" t="n"/>
      <c r="D31" s="21" t="n"/>
      <c r="E31" s="21" t="n"/>
      <c r="F31" s="21" t="n"/>
      <c r="G31" s="24" t="n"/>
      <c r="H31" s="24" t="n"/>
      <c r="I31" s="22">
        <f>IFERROR(MAX(0,H31-TODAY()),0)</f>
        <v/>
      </c>
      <c r="J31" s="21" t="n"/>
      <c r="K31" s="23" t="n"/>
      <c r="L31" s="21" t="n"/>
    </row>
    <row r="32" ht="22" customHeight="1">
      <c r="B32" s="25" t="n"/>
      <c r="C32" s="25" t="n"/>
      <c r="D32" s="25" t="n"/>
      <c r="E32" s="25" t="n"/>
      <c r="F32" s="25" t="n"/>
      <c r="G32" s="28" t="n"/>
      <c r="H32" s="28" t="n"/>
      <c r="I32" s="26">
        <f>IFERROR(MAX(0,H32-TODAY()),0)</f>
        <v/>
      </c>
      <c r="J32" s="25" t="n"/>
      <c r="K32" s="27" t="n"/>
      <c r="L32" s="25" t="n"/>
    </row>
    <row r="33" ht="22" customHeight="1">
      <c r="B33" s="21" t="n"/>
      <c r="C33" s="21" t="n"/>
      <c r="D33" s="21" t="n"/>
      <c r="E33" s="21" t="n"/>
      <c r="F33" s="21" t="n"/>
      <c r="G33" s="24" t="n"/>
      <c r="H33" s="24" t="n"/>
      <c r="I33" s="22">
        <f>IFERROR(MAX(0,H33-TODAY()),0)</f>
        <v/>
      </c>
      <c r="J33" s="21" t="n"/>
      <c r="K33" s="23" t="n"/>
      <c r="L33" s="21" t="n"/>
    </row>
    <row r="34" ht="22" customHeight="1">
      <c r="B34" s="25" t="n"/>
      <c r="C34" s="25" t="n"/>
      <c r="D34" s="25" t="n"/>
      <c r="E34" s="25" t="n"/>
      <c r="F34" s="25" t="n"/>
      <c r="G34" s="28" t="n"/>
      <c r="H34" s="28" t="n"/>
      <c r="I34" s="26">
        <f>IFERROR(MAX(0,H34-TODAY()),0)</f>
        <v/>
      </c>
      <c r="J34" s="25" t="n"/>
      <c r="K34" s="27" t="n"/>
      <c r="L34" s="25" t="n"/>
    </row>
    <row r="35" ht="22" customHeight="1">
      <c r="B35" s="21" t="n"/>
      <c r="C35" s="21" t="n"/>
      <c r="D35" s="21" t="n"/>
      <c r="E35" s="21" t="n"/>
      <c r="F35" s="21" t="n"/>
      <c r="G35" s="24" t="n"/>
      <c r="H35" s="24" t="n"/>
      <c r="I35" s="22">
        <f>IFERROR(MAX(0,H35-TODAY()),0)</f>
        <v/>
      </c>
      <c r="J35" s="21" t="n"/>
      <c r="K35" s="23" t="n"/>
      <c r="L35" s="21" t="n"/>
    </row>
    <row r="36" ht="22" customHeight="1">
      <c r="B36" s="25" t="n"/>
      <c r="C36" s="25" t="n"/>
      <c r="D36" s="25" t="n"/>
      <c r="E36" s="25" t="n"/>
      <c r="F36" s="25" t="n"/>
      <c r="G36" s="28" t="n"/>
      <c r="H36" s="28" t="n"/>
      <c r="I36" s="26">
        <f>IFERROR(MAX(0,H36-TODAY()),0)</f>
        <v/>
      </c>
      <c r="J36" s="25" t="n"/>
      <c r="K36" s="27" t="n"/>
      <c r="L36" s="25" t="n"/>
    </row>
    <row r="37" ht="22" customHeight="1">
      <c r="B37" s="21" t="n"/>
      <c r="C37" s="21" t="n"/>
      <c r="D37" s="21" t="n"/>
      <c r="E37" s="21" t="n"/>
      <c r="F37" s="21" t="n"/>
      <c r="G37" s="24" t="n"/>
      <c r="H37" s="24" t="n"/>
      <c r="I37" s="22">
        <f>IFERROR(MAX(0,H37-TODAY()),0)</f>
        <v/>
      </c>
      <c r="J37" s="21" t="n"/>
      <c r="K37" s="23" t="n"/>
      <c r="L37" s="21" t="n"/>
    </row>
    <row r="38" ht="22" customHeight="1">
      <c r="B38" s="25" t="n"/>
      <c r="C38" s="25" t="n"/>
      <c r="D38" s="25" t="n"/>
      <c r="E38" s="25" t="n"/>
      <c r="F38" s="25" t="n"/>
      <c r="G38" s="28" t="n"/>
      <c r="H38" s="28" t="n"/>
      <c r="I38" s="26">
        <f>IFERROR(MAX(0,H38-TODAY()),0)</f>
        <v/>
      </c>
      <c r="J38" s="25" t="n"/>
      <c r="K38" s="27" t="n"/>
      <c r="L38" s="25" t="n"/>
    </row>
    <row r="39" ht="22" customHeight="1">
      <c r="B39" s="21" t="n"/>
      <c r="C39" s="21" t="n"/>
      <c r="D39" s="21" t="n"/>
      <c r="E39" s="21" t="n"/>
      <c r="F39" s="21" t="n"/>
      <c r="G39" s="24" t="n"/>
      <c r="H39" s="24" t="n"/>
      <c r="I39" s="22">
        <f>IFERROR(MAX(0,H39-TODAY()),0)</f>
        <v/>
      </c>
      <c r="J39" s="21" t="n"/>
      <c r="K39" s="23" t="n"/>
      <c r="L39" s="21" t="n"/>
    </row>
    <row r="40" ht="22" customHeight="1">
      <c r="B40" s="25" t="n"/>
      <c r="C40" s="25" t="n"/>
      <c r="D40" s="25" t="n"/>
      <c r="E40" s="25" t="n"/>
      <c r="F40" s="25" t="n"/>
      <c r="G40" s="28" t="n"/>
      <c r="H40" s="28" t="n"/>
      <c r="I40" s="26">
        <f>IFERROR(MAX(0,H40-TODAY()),0)</f>
        <v/>
      </c>
      <c r="J40" s="25" t="n"/>
      <c r="K40" s="27" t="n"/>
      <c r="L40" s="25" t="n"/>
    </row>
    <row r="41" ht="22" customHeight="1">
      <c r="B41" s="21" t="n"/>
      <c r="C41" s="21" t="n"/>
      <c r="D41" s="21" t="n"/>
      <c r="E41" s="21" t="n"/>
      <c r="F41" s="21" t="n"/>
      <c r="G41" s="24" t="n"/>
      <c r="H41" s="24" t="n"/>
      <c r="I41" s="22">
        <f>IFERROR(MAX(0,H41-TODAY()),0)</f>
        <v/>
      </c>
      <c r="J41" s="21" t="n"/>
      <c r="K41" s="23" t="n"/>
      <c r="L41" s="21" t="n"/>
    </row>
    <row r="42" ht="22" customHeight="1">
      <c r="B42" s="25" t="n"/>
      <c r="C42" s="25" t="n"/>
      <c r="D42" s="25" t="n"/>
      <c r="E42" s="25" t="n"/>
      <c r="F42" s="25" t="n"/>
      <c r="G42" s="28" t="n"/>
      <c r="H42" s="28" t="n"/>
      <c r="I42" s="26">
        <f>IFERROR(MAX(0,H42-TODAY()),0)</f>
        <v/>
      </c>
      <c r="J42" s="25" t="n"/>
      <c r="K42" s="27" t="n"/>
      <c r="L42" s="25" t="n"/>
    </row>
    <row r="43" ht="22" customHeight="1">
      <c r="B43" s="21" t="n"/>
      <c r="C43" s="21" t="n"/>
      <c r="D43" s="21" t="n"/>
      <c r="E43" s="21" t="n"/>
      <c r="F43" s="21" t="n"/>
      <c r="G43" s="24" t="n"/>
      <c r="H43" s="24" t="n"/>
      <c r="I43" s="22">
        <f>IFERROR(MAX(0,H43-TODAY()),0)</f>
        <v/>
      </c>
      <c r="J43" s="21" t="n"/>
      <c r="K43" s="23" t="n"/>
      <c r="L43" s="21" t="n"/>
    </row>
    <row r="44" ht="22" customHeight="1">
      <c r="B44" s="25" t="n"/>
      <c r="C44" s="25" t="n"/>
      <c r="D44" s="25" t="n"/>
      <c r="E44" s="25" t="n"/>
      <c r="F44" s="25" t="n"/>
      <c r="G44" s="28" t="n"/>
      <c r="H44" s="28" t="n"/>
      <c r="I44" s="26">
        <f>IFERROR(MAX(0,H44-TODAY()),0)</f>
        <v/>
      </c>
      <c r="J44" s="25" t="n"/>
      <c r="K44" s="27" t="n"/>
      <c r="L44" s="25" t="n"/>
    </row>
    <row r="45" ht="22" customHeight="1">
      <c r="B45" s="21" t="n"/>
      <c r="C45" s="21" t="n"/>
      <c r="D45" s="21" t="n"/>
      <c r="E45" s="21" t="n"/>
      <c r="F45" s="21" t="n"/>
      <c r="G45" s="24" t="n"/>
      <c r="H45" s="24" t="n"/>
      <c r="I45" s="22">
        <f>IFERROR(MAX(0,H45-TODAY()),0)</f>
        <v/>
      </c>
      <c r="J45" s="21" t="n"/>
      <c r="K45" s="23" t="n"/>
      <c r="L45" s="21" t="n"/>
    </row>
    <row r="46" ht="22" customHeight="1">
      <c r="B46" s="25" t="n"/>
      <c r="C46" s="25" t="n"/>
      <c r="D46" s="25" t="n"/>
      <c r="E46" s="25" t="n"/>
      <c r="F46" s="25" t="n"/>
      <c r="G46" s="28" t="n"/>
      <c r="H46" s="28" t="n"/>
      <c r="I46" s="26">
        <f>IFERROR(MAX(0,H46-TODAY()),0)</f>
        <v/>
      </c>
      <c r="J46" s="25" t="n"/>
      <c r="K46" s="27" t="n"/>
      <c r="L46" s="25" t="n"/>
    </row>
    <row r="47" ht="22" customHeight="1">
      <c r="B47" s="21" t="n"/>
      <c r="C47" s="21" t="n"/>
      <c r="D47" s="21" t="n"/>
      <c r="E47" s="21" t="n"/>
      <c r="F47" s="21" t="n"/>
      <c r="G47" s="24" t="n"/>
      <c r="H47" s="24" t="n"/>
      <c r="I47" s="22">
        <f>IFERROR(MAX(0,H47-TODAY()),0)</f>
        <v/>
      </c>
      <c r="J47" s="21" t="n"/>
      <c r="K47" s="23" t="n"/>
      <c r="L47" s="21" t="n"/>
    </row>
    <row r="48" ht="22" customHeight="1">
      <c r="B48" s="25" t="n"/>
      <c r="C48" s="25" t="n"/>
      <c r="D48" s="25" t="n"/>
      <c r="E48" s="25" t="n"/>
      <c r="F48" s="25" t="n"/>
      <c r="G48" s="28" t="n"/>
      <c r="H48" s="28" t="n"/>
      <c r="I48" s="26">
        <f>IFERROR(MAX(0,H48-TODAY()),0)</f>
        <v/>
      </c>
      <c r="J48" s="25" t="n"/>
      <c r="K48" s="27" t="n"/>
      <c r="L48" s="25" t="n"/>
    </row>
    <row r="49" ht="22" customHeight="1">
      <c r="B49" s="21" t="n"/>
      <c r="C49" s="21" t="n"/>
      <c r="D49" s="21" t="n"/>
      <c r="E49" s="21" t="n"/>
      <c r="F49" s="21" t="n"/>
      <c r="G49" s="24" t="n"/>
      <c r="H49" s="24" t="n"/>
      <c r="I49" s="22">
        <f>IFERROR(MAX(0,H49-TODAY()),0)</f>
        <v/>
      </c>
      <c r="J49" s="21" t="n"/>
      <c r="K49" s="23" t="n"/>
      <c r="L49" s="21" t="n"/>
    </row>
    <row r="50" ht="22" customHeight="1">
      <c r="B50" s="25" t="n"/>
      <c r="C50" s="25" t="n"/>
      <c r="D50" s="25" t="n"/>
      <c r="E50" s="25" t="n"/>
      <c r="F50" s="25" t="n"/>
      <c r="G50" s="28" t="n"/>
      <c r="H50" s="28" t="n"/>
      <c r="I50" s="26">
        <f>IFERROR(MAX(0,H50-TODAY()),0)</f>
        <v/>
      </c>
      <c r="J50" s="25" t="n"/>
      <c r="K50" s="27" t="n"/>
      <c r="L50" s="25" t="n"/>
    </row>
    <row r="51" ht="22" customHeight="1">
      <c r="B51" s="21" t="n"/>
      <c r="C51" s="21" t="n"/>
      <c r="D51" s="21" t="n"/>
      <c r="E51" s="21" t="n"/>
      <c r="F51" s="21" t="n"/>
      <c r="G51" s="24" t="n"/>
      <c r="H51" s="24" t="n"/>
      <c r="I51" s="22">
        <f>IFERROR(MAX(0,H51-TODAY()),0)</f>
        <v/>
      </c>
      <c r="J51" s="21" t="n"/>
      <c r="K51" s="23" t="n"/>
      <c r="L51" s="21" t="n"/>
    </row>
    <row r="52" ht="22" customHeight="1">
      <c r="B52" s="25" t="n"/>
      <c r="C52" s="25" t="n"/>
      <c r="D52" s="25" t="n"/>
      <c r="E52" s="25" t="n"/>
      <c r="F52" s="25" t="n"/>
      <c r="G52" s="28" t="n"/>
      <c r="H52" s="28" t="n"/>
      <c r="I52" s="26">
        <f>IFERROR(MAX(0,H52-TODAY()),0)</f>
        <v/>
      </c>
      <c r="J52" s="25" t="n"/>
      <c r="K52" s="27" t="n"/>
      <c r="L52" s="25" t="n"/>
    </row>
    <row r="53" ht="22" customHeight="1">
      <c r="B53" s="21" t="n"/>
      <c r="C53" s="21" t="n"/>
      <c r="D53" s="21" t="n"/>
      <c r="E53" s="21" t="n"/>
      <c r="F53" s="21" t="n"/>
      <c r="G53" s="24" t="n"/>
      <c r="H53" s="24" t="n"/>
      <c r="I53" s="22">
        <f>IFERROR(MAX(0,H53-TODAY()),0)</f>
        <v/>
      </c>
      <c r="J53" s="21" t="n"/>
      <c r="K53" s="23" t="n"/>
      <c r="L53" s="21" t="n"/>
    </row>
    <row r="54" ht="22" customHeight="1">
      <c r="B54" s="25" t="n"/>
      <c r="C54" s="25" t="n"/>
      <c r="D54" s="25" t="n"/>
      <c r="E54" s="25" t="n"/>
      <c r="F54" s="25" t="n"/>
      <c r="G54" s="28" t="n"/>
      <c r="H54" s="28" t="n"/>
      <c r="I54" s="26">
        <f>IFERROR(MAX(0,H54-TODAY()),0)</f>
        <v/>
      </c>
      <c r="J54" s="25" t="n"/>
      <c r="K54" s="27" t="n"/>
      <c r="L54" s="25" t="n"/>
    </row>
    <row r="55" ht="22" customHeight="1">
      <c r="B55" s="21" t="n"/>
      <c r="C55" s="21" t="n"/>
      <c r="D55" s="21" t="n"/>
      <c r="E55" s="21" t="n"/>
      <c r="F55" s="21" t="n"/>
      <c r="G55" s="24" t="n"/>
      <c r="H55" s="24" t="n"/>
      <c r="I55" s="22">
        <f>IFERROR(MAX(0,H55-TODAY()),0)</f>
        <v/>
      </c>
      <c r="J55" s="21" t="n"/>
      <c r="K55" s="23" t="n"/>
      <c r="L55" s="21" t="n"/>
    </row>
    <row r="56" ht="22" customHeight="1">
      <c r="B56" s="25" t="n"/>
      <c r="C56" s="25" t="n"/>
      <c r="D56" s="25" t="n"/>
      <c r="E56" s="25" t="n"/>
      <c r="F56" s="25" t="n"/>
      <c r="G56" s="28" t="n"/>
      <c r="H56" s="28" t="n"/>
      <c r="I56" s="26">
        <f>IFERROR(MAX(0,H56-TODAY()),0)</f>
        <v/>
      </c>
      <c r="J56" s="25" t="n"/>
      <c r="K56" s="27" t="n"/>
      <c r="L56" s="25" t="n"/>
    </row>
    <row r="57" ht="22" customHeight="1">
      <c r="B57" s="21" t="n"/>
      <c r="C57" s="21" t="n"/>
      <c r="D57" s="21" t="n"/>
      <c r="E57" s="21" t="n"/>
      <c r="F57" s="21" t="n"/>
      <c r="G57" s="24" t="n"/>
      <c r="H57" s="24" t="n"/>
      <c r="I57" s="22">
        <f>IFERROR(MAX(0,H57-TODAY()),0)</f>
        <v/>
      </c>
      <c r="J57" s="21" t="n"/>
      <c r="K57" s="23" t="n"/>
      <c r="L57" s="21" t="n"/>
    </row>
    <row r="58" ht="22" customHeight="1">
      <c r="B58" s="25" t="n"/>
      <c r="C58" s="25" t="n"/>
      <c r="D58" s="25" t="n"/>
      <c r="E58" s="25" t="n"/>
      <c r="F58" s="25" t="n"/>
      <c r="G58" s="28" t="n"/>
      <c r="H58" s="28" t="n"/>
      <c r="I58" s="26">
        <f>IFERROR(MAX(0,H58-TODAY()),0)</f>
        <v/>
      </c>
      <c r="J58" s="25" t="n"/>
      <c r="K58" s="27" t="n"/>
      <c r="L58" s="25" t="n"/>
    </row>
    <row r="59" ht="22" customHeight="1">
      <c r="B59" s="21" t="n"/>
      <c r="C59" s="21" t="n"/>
      <c r="D59" s="21" t="n"/>
      <c r="E59" s="21" t="n"/>
      <c r="F59" s="21" t="n"/>
      <c r="G59" s="24" t="n"/>
      <c r="H59" s="24" t="n"/>
      <c r="I59" s="22">
        <f>IFERROR(MAX(0,H59-TODAY()),0)</f>
        <v/>
      </c>
      <c r="J59" s="21" t="n"/>
      <c r="K59" s="23" t="n"/>
      <c r="L59" s="21" t="n"/>
    </row>
    <row r="60" ht="22" customHeight="1">
      <c r="B60" s="25" t="n"/>
      <c r="C60" s="25" t="n"/>
      <c r="D60" s="25" t="n"/>
      <c r="E60" s="25" t="n"/>
      <c r="F60" s="25" t="n"/>
      <c r="G60" s="28" t="n"/>
      <c r="H60" s="28" t="n"/>
      <c r="I60" s="26">
        <f>IFERROR(MAX(0,H60-TODAY()),0)</f>
        <v/>
      </c>
      <c r="J60" s="25" t="n"/>
      <c r="K60" s="27" t="n"/>
      <c r="L60" s="25" t="n"/>
    </row>
    <row r="61" ht="22" customHeight="1">
      <c r="B61" s="21" t="n"/>
      <c r="C61" s="21" t="n"/>
      <c r="D61" s="21" t="n"/>
      <c r="E61" s="21" t="n"/>
      <c r="F61" s="21" t="n"/>
      <c r="G61" s="24" t="n"/>
      <c r="H61" s="24" t="n"/>
      <c r="I61" s="22">
        <f>IFERROR(MAX(0,H61-TODAY()),0)</f>
        <v/>
      </c>
      <c r="J61" s="21" t="n"/>
      <c r="K61" s="23" t="n"/>
      <c r="L61" s="21" t="n"/>
    </row>
    <row r="62" ht="22" customHeight="1">
      <c r="B62" s="25" t="n"/>
      <c r="C62" s="25" t="n"/>
      <c r="D62" s="25" t="n"/>
      <c r="E62" s="25" t="n"/>
      <c r="F62" s="25" t="n"/>
      <c r="G62" s="28" t="n"/>
      <c r="H62" s="28" t="n"/>
      <c r="I62" s="26">
        <f>IFERROR(MAX(0,H62-TODAY()),0)</f>
        <v/>
      </c>
      <c r="J62" s="25" t="n"/>
      <c r="K62" s="27" t="n"/>
      <c r="L62" s="25" t="n"/>
    </row>
    <row r="63" ht="22" customHeight="1">
      <c r="B63" s="21" t="n"/>
      <c r="C63" s="21" t="n"/>
      <c r="D63" s="21" t="n"/>
      <c r="E63" s="21" t="n"/>
      <c r="F63" s="21" t="n"/>
      <c r="G63" s="24" t="n"/>
      <c r="H63" s="24" t="n"/>
      <c r="I63" s="22">
        <f>IFERROR(MAX(0,H63-TODAY()),0)</f>
        <v/>
      </c>
      <c r="J63" s="21" t="n"/>
      <c r="K63" s="23" t="n"/>
      <c r="L63" s="21" t="n"/>
    </row>
    <row r="64" ht="22" customHeight="1">
      <c r="B64" s="25" t="n"/>
      <c r="C64" s="25" t="n"/>
      <c r="D64" s="25" t="n"/>
      <c r="E64" s="25" t="n"/>
      <c r="F64" s="25" t="n"/>
      <c r="G64" s="28" t="n"/>
      <c r="H64" s="28" t="n"/>
      <c r="I64" s="26">
        <f>IFERROR(MAX(0,H64-TODAY()),0)</f>
        <v/>
      </c>
      <c r="J64" s="25" t="n"/>
      <c r="K64" s="27" t="n"/>
      <c r="L64" s="25" t="n"/>
    </row>
    <row r="65" ht="22" customHeight="1">
      <c r="B65" s="21" t="n"/>
      <c r="C65" s="21" t="n"/>
      <c r="D65" s="21" t="n"/>
      <c r="E65" s="21" t="n"/>
      <c r="F65" s="21" t="n"/>
      <c r="G65" s="24" t="n"/>
      <c r="H65" s="24" t="n"/>
      <c r="I65" s="22">
        <f>IFERROR(MAX(0,H65-TODAY()),0)</f>
        <v/>
      </c>
      <c r="J65" s="21" t="n"/>
      <c r="K65" s="23" t="n"/>
      <c r="L65" s="21" t="n"/>
    </row>
    <row r="66" ht="22" customHeight="1">
      <c r="B66" s="25" t="n"/>
      <c r="C66" s="25" t="n"/>
      <c r="D66" s="25" t="n"/>
      <c r="E66" s="25" t="n"/>
      <c r="F66" s="25" t="n"/>
      <c r="G66" s="28" t="n"/>
      <c r="H66" s="28" t="n"/>
      <c r="I66" s="26">
        <f>IFERROR(MAX(0,H66-TODAY()),0)</f>
        <v/>
      </c>
      <c r="J66" s="25" t="n"/>
      <c r="K66" s="27" t="n"/>
      <c r="L66" s="25" t="n"/>
    </row>
    <row r="67" ht="22" customHeight="1">
      <c r="B67" s="21" t="n"/>
      <c r="C67" s="21" t="n"/>
      <c r="D67" s="21" t="n"/>
      <c r="E67" s="21" t="n"/>
      <c r="F67" s="21" t="n"/>
      <c r="G67" s="24" t="n"/>
      <c r="H67" s="24" t="n"/>
      <c r="I67" s="22">
        <f>IFERROR(MAX(0,H67-TODAY()),0)</f>
        <v/>
      </c>
      <c r="J67" s="21" t="n"/>
      <c r="K67" s="23" t="n"/>
      <c r="L67" s="21" t="n"/>
    </row>
    <row r="68" ht="22" customHeight="1">
      <c r="B68" s="25" t="n"/>
      <c r="C68" s="25" t="n"/>
      <c r="D68" s="25" t="n"/>
      <c r="E68" s="25" t="n"/>
      <c r="F68" s="25" t="n"/>
      <c r="G68" s="28" t="n"/>
      <c r="H68" s="28" t="n"/>
      <c r="I68" s="26">
        <f>IFERROR(MAX(0,H68-TODAY()),0)</f>
        <v/>
      </c>
      <c r="J68" s="25" t="n"/>
      <c r="K68" s="27" t="n"/>
      <c r="L68" s="25" t="n"/>
    </row>
    <row r="69" ht="22" customHeight="1">
      <c r="B69" s="21" t="n"/>
      <c r="C69" s="21" t="n"/>
      <c r="D69" s="21" t="n"/>
      <c r="E69" s="21" t="n"/>
      <c r="F69" s="21" t="n"/>
      <c r="G69" s="24" t="n"/>
      <c r="H69" s="24" t="n"/>
      <c r="I69" s="22">
        <f>IFERROR(MAX(0,H69-TODAY()),0)</f>
        <v/>
      </c>
      <c r="J69" s="21" t="n"/>
      <c r="K69" s="23" t="n"/>
      <c r="L69" s="21" t="n"/>
    </row>
    <row r="70" ht="22" customHeight="1">
      <c r="B70" s="25" t="n"/>
      <c r="C70" s="25" t="n"/>
      <c r="D70" s="25" t="n"/>
      <c r="E70" s="25" t="n"/>
      <c r="F70" s="25" t="n"/>
      <c r="G70" s="28" t="n"/>
      <c r="H70" s="28" t="n"/>
      <c r="I70" s="26">
        <f>IFERROR(MAX(0,H70-TODAY()),0)</f>
        <v/>
      </c>
      <c r="J70" s="25" t="n"/>
      <c r="K70" s="27" t="n"/>
      <c r="L70" s="25" t="n"/>
    </row>
    <row r="71" ht="22" customHeight="1">
      <c r="B71" s="21" t="n"/>
      <c r="C71" s="21" t="n"/>
      <c r="D71" s="21" t="n"/>
      <c r="E71" s="21" t="n"/>
      <c r="F71" s="21" t="n"/>
      <c r="G71" s="24" t="n"/>
      <c r="H71" s="24" t="n"/>
      <c r="I71" s="22">
        <f>IFERROR(MAX(0,H71-TODAY()),0)</f>
        <v/>
      </c>
      <c r="J71" s="21" t="n"/>
      <c r="K71" s="23" t="n"/>
      <c r="L71" s="21" t="n"/>
    </row>
    <row r="72" ht="22" customHeight="1">
      <c r="B72" s="25" t="n"/>
      <c r="C72" s="25" t="n"/>
      <c r="D72" s="25" t="n"/>
      <c r="E72" s="25" t="n"/>
      <c r="F72" s="25" t="n"/>
      <c r="G72" s="28" t="n"/>
      <c r="H72" s="28" t="n"/>
      <c r="I72" s="26">
        <f>IFERROR(MAX(0,H72-TODAY()),0)</f>
        <v/>
      </c>
      <c r="J72" s="25" t="n"/>
      <c r="K72" s="27" t="n"/>
      <c r="L72" s="25" t="n"/>
    </row>
    <row r="73" ht="22" customHeight="1">
      <c r="B73" s="21" t="n"/>
      <c r="C73" s="21" t="n"/>
      <c r="D73" s="21" t="n"/>
      <c r="E73" s="21" t="n"/>
      <c r="F73" s="21" t="n"/>
      <c r="G73" s="24" t="n"/>
      <c r="H73" s="24" t="n"/>
      <c r="I73" s="22">
        <f>IFERROR(MAX(0,H73-TODAY()),0)</f>
        <v/>
      </c>
      <c r="J73" s="21" t="n"/>
      <c r="K73" s="23" t="n"/>
      <c r="L73" s="21" t="n"/>
    </row>
    <row r="74" ht="22" customHeight="1">
      <c r="B74" s="25" t="n"/>
      <c r="C74" s="25" t="n"/>
      <c r="D74" s="25" t="n"/>
      <c r="E74" s="25" t="n"/>
      <c r="F74" s="25" t="n"/>
      <c r="G74" s="28" t="n"/>
      <c r="H74" s="28" t="n"/>
      <c r="I74" s="26">
        <f>IFERROR(MAX(0,H74-TODAY()),0)</f>
        <v/>
      </c>
      <c r="J74" s="25" t="n"/>
      <c r="K74" s="27" t="n"/>
      <c r="L74" s="25" t="n"/>
    </row>
    <row r="75" ht="22" customHeight="1">
      <c r="B75" s="21" t="n"/>
      <c r="C75" s="21" t="n"/>
      <c r="D75" s="21" t="n"/>
      <c r="E75" s="21" t="n"/>
      <c r="F75" s="21" t="n"/>
      <c r="G75" s="24" t="n"/>
      <c r="H75" s="24" t="n"/>
      <c r="I75" s="22">
        <f>IFERROR(MAX(0,H75-TODAY()),0)</f>
        <v/>
      </c>
      <c r="J75" s="21" t="n"/>
      <c r="K75" s="23" t="n"/>
      <c r="L75" s="21" t="n"/>
    </row>
    <row r="76" ht="22" customHeight="1">
      <c r="B76" s="25" t="n"/>
      <c r="C76" s="25" t="n"/>
      <c r="D76" s="25" t="n"/>
      <c r="E76" s="25" t="n"/>
      <c r="F76" s="25" t="n"/>
      <c r="G76" s="28" t="n"/>
      <c r="H76" s="28" t="n"/>
      <c r="I76" s="26">
        <f>IFERROR(MAX(0,H76-TODAY()),0)</f>
        <v/>
      </c>
      <c r="J76" s="25" t="n"/>
      <c r="K76" s="27" t="n"/>
      <c r="L76" s="25" t="n"/>
    </row>
    <row r="77" ht="22" customHeight="1">
      <c r="B77" s="21" t="n"/>
      <c r="C77" s="21" t="n"/>
      <c r="D77" s="21" t="n"/>
      <c r="E77" s="21" t="n"/>
      <c r="F77" s="21" t="n"/>
      <c r="G77" s="24" t="n"/>
      <c r="H77" s="24" t="n"/>
      <c r="I77" s="22">
        <f>IFERROR(MAX(0,H77-TODAY()),0)</f>
        <v/>
      </c>
      <c r="J77" s="21" t="n"/>
      <c r="K77" s="23" t="n"/>
      <c r="L77" s="21" t="n"/>
    </row>
    <row r="78" ht="22" customHeight="1">
      <c r="B78" s="25" t="n"/>
      <c r="C78" s="25" t="n"/>
      <c r="D78" s="25" t="n"/>
      <c r="E78" s="25" t="n"/>
      <c r="F78" s="25" t="n"/>
      <c r="G78" s="28" t="n"/>
      <c r="H78" s="28" t="n"/>
      <c r="I78" s="26">
        <f>IFERROR(MAX(0,H78-TODAY()),0)</f>
        <v/>
      </c>
      <c r="J78" s="25" t="n"/>
      <c r="K78" s="27" t="n"/>
      <c r="L78" s="25" t="n"/>
    </row>
    <row r="79" ht="22" customHeight="1">
      <c r="B79" s="21" t="n"/>
      <c r="C79" s="21" t="n"/>
      <c r="D79" s="21" t="n"/>
      <c r="E79" s="21" t="n"/>
      <c r="F79" s="21" t="n"/>
      <c r="G79" s="24" t="n"/>
      <c r="H79" s="24" t="n"/>
      <c r="I79" s="22">
        <f>IFERROR(MAX(0,H79-TODAY()),0)</f>
        <v/>
      </c>
      <c r="J79" s="21" t="n"/>
      <c r="K79" s="23" t="n"/>
      <c r="L79" s="21" t="n"/>
    </row>
    <row r="80" ht="22" customHeight="1">
      <c r="B80" s="25" t="n"/>
      <c r="C80" s="25" t="n"/>
      <c r="D80" s="25" t="n"/>
      <c r="E80" s="25" t="n"/>
      <c r="F80" s="25" t="n"/>
      <c r="G80" s="28" t="n"/>
      <c r="H80" s="28" t="n"/>
      <c r="I80" s="26">
        <f>IFERROR(MAX(0,H80-TODAY()),0)</f>
        <v/>
      </c>
      <c r="J80" s="25" t="n"/>
      <c r="K80" s="27" t="n"/>
      <c r="L80" s="25" t="n"/>
    </row>
    <row r="81" ht="22" customHeight="1">
      <c r="B81" s="21" t="n"/>
      <c r="C81" s="21" t="n"/>
      <c r="D81" s="21" t="n"/>
      <c r="E81" s="21" t="n"/>
      <c r="F81" s="21" t="n"/>
      <c r="G81" s="24" t="n"/>
      <c r="H81" s="24" t="n"/>
      <c r="I81" s="22">
        <f>IFERROR(MAX(0,H81-TODAY()),0)</f>
        <v/>
      </c>
      <c r="J81" s="21" t="n"/>
      <c r="K81" s="23" t="n"/>
      <c r="L81" s="21" t="n"/>
    </row>
    <row r="82" ht="22" customHeight="1">
      <c r="B82" s="25" t="n"/>
      <c r="C82" s="25" t="n"/>
      <c r="D82" s="25" t="n"/>
      <c r="E82" s="25" t="n"/>
      <c r="F82" s="25" t="n"/>
      <c r="G82" s="28" t="n"/>
      <c r="H82" s="28" t="n"/>
      <c r="I82" s="26">
        <f>IFERROR(MAX(0,H82-TODAY()),0)</f>
        <v/>
      </c>
      <c r="J82" s="25" t="n"/>
      <c r="K82" s="27" t="n"/>
      <c r="L82" s="25" t="n"/>
    </row>
    <row r="83" ht="22" customHeight="1">
      <c r="B83" s="21" t="n"/>
      <c r="C83" s="21" t="n"/>
      <c r="D83" s="21" t="n"/>
      <c r="E83" s="21" t="n"/>
      <c r="F83" s="21" t="n"/>
      <c r="G83" s="24" t="n"/>
      <c r="H83" s="24" t="n"/>
      <c r="I83" s="22">
        <f>IFERROR(MAX(0,H83-TODAY()),0)</f>
        <v/>
      </c>
      <c r="J83" s="21" t="n"/>
      <c r="K83" s="23" t="n"/>
      <c r="L83" s="21" t="n"/>
    </row>
    <row r="84" ht="22" customHeight="1">
      <c r="B84" s="25" t="n"/>
      <c r="C84" s="25" t="n"/>
      <c r="D84" s="25" t="n"/>
      <c r="E84" s="25" t="n"/>
      <c r="F84" s="25" t="n"/>
      <c r="G84" s="28" t="n"/>
      <c r="H84" s="28" t="n"/>
      <c r="I84" s="26">
        <f>IFERROR(MAX(0,H84-TODAY()),0)</f>
        <v/>
      </c>
      <c r="J84" s="25" t="n"/>
      <c r="K84" s="27" t="n"/>
      <c r="L84" s="25" t="n"/>
    </row>
    <row r="85" ht="22" customHeight="1">
      <c r="B85" s="21" t="n"/>
      <c r="C85" s="21" t="n"/>
      <c r="D85" s="21" t="n"/>
      <c r="E85" s="21" t="n"/>
      <c r="F85" s="21" t="n"/>
      <c r="G85" s="24" t="n"/>
      <c r="H85" s="24" t="n"/>
      <c r="I85" s="22">
        <f>IFERROR(MAX(0,H85-TODAY()),0)</f>
        <v/>
      </c>
      <c r="J85" s="21" t="n"/>
      <c r="K85" s="23" t="n"/>
      <c r="L85" s="21" t="n"/>
    </row>
    <row r="86" ht="22" customHeight="1">
      <c r="B86" s="25" t="n"/>
      <c r="C86" s="25" t="n"/>
      <c r="D86" s="25" t="n"/>
      <c r="E86" s="25" t="n"/>
      <c r="F86" s="25" t="n"/>
      <c r="G86" s="28" t="n"/>
      <c r="H86" s="28" t="n"/>
      <c r="I86" s="26">
        <f>IFERROR(MAX(0,H86-TODAY()),0)</f>
        <v/>
      </c>
      <c r="J86" s="25" t="n"/>
      <c r="K86" s="27" t="n"/>
      <c r="L86" s="25" t="n"/>
    </row>
    <row r="87" ht="22" customHeight="1">
      <c r="B87" s="21" t="n"/>
      <c r="C87" s="21" t="n"/>
      <c r="D87" s="21" t="n"/>
      <c r="E87" s="21" t="n"/>
      <c r="F87" s="21" t="n"/>
      <c r="G87" s="24" t="n"/>
      <c r="H87" s="24" t="n"/>
      <c r="I87" s="22">
        <f>IFERROR(MAX(0,H87-TODAY()),0)</f>
        <v/>
      </c>
      <c r="J87" s="21" t="n"/>
      <c r="K87" s="23" t="n"/>
      <c r="L87" s="21" t="n"/>
    </row>
    <row r="88" ht="22" customHeight="1">
      <c r="B88" s="25" t="n"/>
      <c r="C88" s="25" t="n"/>
      <c r="D88" s="25" t="n"/>
      <c r="E88" s="25" t="n"/>
      <c r="F88" s="25" t="n"/>
      <c r="G88" s="28" t="n"/>
      <c r="H88" s="28" t="n"/>
      <c r="I88" s="26">
        <f>IFERROR(MAX(0,H88-TODAY()),0)</f>
        <v/>
      </c>
      <c r="J88" s="25" t="n"/>
      <c r="K88" s="27" t="n"/>
      <c r="L88" s="25" t="n"/>
    </row>
    <row r="89" ht="22" customHeight="1">
      <c r="B89" s="21" t="n"/>
      <c r="C89" s="21" t="n"/>
      <c r="D89" s="21" t="n"/>
      <c r="E89" s="21" t="n"/>
      <c r="F89" s="21" t="n"/>
      <c r="G89" s="24" t="n"/>
      <c r="H89" s="24" t="n"/>
      <c r="I89" s="22">
        <f>IFERROR(MAX(0,H89-TODAY()),0)</f>
        <v/>
      </c>
      <c r="J89" s="21" t="n"/>
      <c r="K89" s="23" t="n"/>
      <c r="L89" s="21" t="n"/>
    </row>
    <row r="90" ht="22" customHeight="1">
      <c r="B90" s="25" t="n"/>
      <c r="C90" s="25" t="n"/>
      <c r="D90" s="25" t="n"/>
      <c r="E90" s="25" t="n"/>
      <c r="F90" s="25" t="n"/>
      <c r="G90" s="28" t="n"/>
      <c r="H90" s="28" t="n"/>
      <c r="I90" s="26">
        <f>IFERROR(MAX(0,H90-TODAY()),0)</f>
        <v/>
      </c>
      <c r="J90" s="25" t="n"/>
      <c r="K90" s="27" t="n"/>
      <c r="L90" s="25" t="n"/>
    </row>
    <row r="91" ht="22" customHeight="1">
      <c r="B91" s="21" t="n"/>
      <c r="C91" s="21" t="n"/>
      <c r="D91" s="21" t="n"/>
      <c r="E91" s="21" t="n"/>
      <c r="F91" s="21" t="n"/>
      <c r="G91" s="24" t="n"/>
      <c r="H91" s="24" t="n"/>
      <c r="I91" s="22">
        <f>IFERROR(MAX(0,H91-TODAY()),0)</f>
        <v/>
      </c>
      <c r="J91" s="21" t="n"/>
      <c r="K91" s="23" t="n"/>
      <c r="L91" s="21" t="n"/>
    </row>
    <row r="92" ht="22" customHeight="1">
      <c r="B92" s="25" t="n"/>
      <c r="C92" s="25" t="n"/>
      <c r="D92" s="25" t="n"/>
      <c r="E92" s="25" t="n"/>
      <c r="F92" s="25" t="n"/>
      <c r="G92" s="28" t="n"/>
      <c r="H92" s="28" t="n"/>
      <c r="I92" s="26">
        <f>IFERROR(MAX(0,H92-TODAY()),0)</f>
        <v/>
      </c>
      <c r="J92" s="25" t="n"/>
      <c r="K92" s="27" t="n"/>
      <c r="L92" s="25" t="n"/>
    </row>
    <row r="93" ht="22" customHeight="1">
      <c r="B93" s="21" t="n"/>
      <c r="C93" s="21" t="n"/>
      <c r="D93" s="21" t="n"/>
      <c r="E93" s="21" t="n"/>
      <c r="F93" s="21" t="n"/>
      <c r="G93" s="24" t="n"/>
      <c r="H93" s="24" t="n"/>
      <c r="I93" s="22">
        <f>IFERROR(MAX(0,H93-TODAY()),0)</f>
        <v/>
      </c>
      <c r="J93" s="21" t="n"/>
      <c r="K93" s="23" t="n"/>
      <c r="L93" s="21" t="n"/>
    </row>
    <row r="94" ht="22" customHeight="1">
      <c r="B94" s="25" t="n"/>
      <c r="C94" s="25" t="n"/>
      <c r="D94" s="25" t="n"/>
      <c r="E94" s="25" t="n"/>
      <c r="F94" s="25" t="n"/>
      <c r="G94" s="28" t="n"/>
      <c r="H94" s="28" t="n"/>
      <c r="I94" s="26">
        <f>IFERROR(MAX(0,H94-TODAY()),0)</f>
        <v/>
      </c>
      <c r="J94" s="25" t="n"/>
      <c r="K94" s="27" t="n"/>
      <c r="L94" s="25" t="n"/>
    </row>
    <row r="95" ht="22" customHeight="1">
      <c r="B95" s="21" t="n"/>
      <c r="C95" s="21" t="n"/>
      <c r="D95" s="21" t="n"/>
      <c r="E95" s="21" t="n"/>
      <c r="F95" s="21" t="n"/>
      <c r="G95" s="24" t="n"/>
      <c r="H95" s="24" t="n"/>
      <c r="I95" s="22">
        <f>IFERROR(MAX(0,H95-TODAY()),0)</f>
        <v/>
      </c>
      <c r="J95" s="21" t="n"/>
      <c r="K95" s="23" t="n"/>
      <c r="L95" s="21" t="n"/>
    </row>
    <row r="96" ht="22" customHeight="1">
      <c r="B96" s="25" t="n"/>
      <c r="C96" s="25" t="n"/>
      <c r="D96" s="25" t="n"/>
      <c r="E96" s="25" t="n"/>
      <c r="F96" s="25" t="n"/>
      <c r="G96" s="28" t="n"/>
      <c r="H96" s="28" t="n"/>
      <c r="I96" s="26">
        <f>IFERROR(MAX(0,H96-TODAY()),0)</f>
        <v/>
      </c>
      <c r="J96" s="25" t="n"/>
      <c r="K96" s="27" t="n"/>
      <c r="L96" s="25" t="n"/>
    </row>
    <row r="97" ht="22" customHeight="1">
      <c r="B97" s="21" t="n"/>
      <c r="C97" s="21" t="n"/>
      <c r="D97" s="21" t="n"/>
      <c r="E97" s="21" t="n"/>
      <c r="F97" s="21" t="n"/>
      <c r="G97" s="24" t="n"/>
      <c r="H97" s="24" t="n"/>
      <c r="I97" s="22">
        <f>IFERROR(MAX(0,H97-TODAY()),0)</f>
        <v/>
      </c>
      <c r="J97" s="21" t="n"/>
      <c r="K97" s="23" t="n"/>
      <c r="L97" s="21" t="n"/>
    </row>
    <row r="98" ht="22" customHeight="1">
      <c r="B98" s="25" t="n"/>
      <c r="C98" s="25" t="n"/>
      <c r="D98" s="25" t="n"/>
      <c r="E98" s="25" t="n"/>
      <c r="F98" s="25" t="n"/>
      <c r="G98" s="28" t="n"/>
      <c r="H98" s="28" t="n"/>
      <c r="I98" s="26">
        <f>IFERROR(MAX(0,H98-TODAY()),0)</f>
        <v/>
      </c>
      <c r="J98" s="25" t="n"/>
      <c r="K98" s="27" t="n"/>
      <c r="L98" s="25" t="n"/>
    </row>
    <row r="99" ht="22" customHeight="1">
      <c r="B99" s="21" t="n"/>
      <c r="C99" s="21" t="n"/>
      <c r="D99" s="21" t="n"/>
      <c r="E99" s="21" t="n"/>
      <c r="F99" s="21" t="n"/>
      <c r="G99" s="24" t="n"/>
      <c r="H99" s="24" t="n"/>
      <c r="I99" s="22">
        <f>IFERROR(MAX(0,H99-TODAY()),0)</f>
        <v/>
      </c>
      <c r="J99" s="21" t="n"/>
      <c r="K99" s="23" t="n"/>
      <c r="L99" s="21" t="n"/>
    </row>
    <row r="100" ht="22" customHeight="1">
      <c r="B100" s="25" t="n"/>
      <c r="C100" s="25" t="n"/>
      <c r="D100" s="25" t="n"/>
      <c r="E100" s="25" t="n"/>
      <c r="F100" s="25" t="n"/>
      <c r="G100" s="28" t="n"/>
      <c r="H100" s="28" t="n"/>
      <c r="I100" s="26">
        <f>IFERROR(MAX(0,H100-TODAY()),0)</f>
        <v/>
      </c>
      <c r="J100" s="25" t="n"/>
      <c r="K100" s="27" t="n"/>
      <c r="L100" s="25" t="n"/>
    </row>
    <row r="101" ht="22" customHeight="1">
      <c r="B101" s="21" t="n"/>
      <c r="C101" s="21" t="n"/>
      <c r="D101" s="21" t="n"/>
      <c r="E101" s="21" t="n"/>
      <c r="F101" s="21" t="n"/>
      <c r="G101" s="24" t="n"/>
      <c r="H101" s="24" t="n"/>
      <c r="I101" s="22">
        <f>IFERROR(MAX(0,H101-TODAY()),0)</f>
        <v/>
      </c>
      <c r="J101" s="21" t="n"/>
      <c r="K101" s="23" t="n"/>
      <c r="L101" s="21" t="n"/>
    </row>
    <row r="102" ht="22" customHeight="1">
      <c r="B102" s="25" t="n"/>
      <c r="C102" s="25" t="n"/>
      <c r="D102" s="25" t="n"/>
      <c r="E102" s="25" t="n"/>
      <c r="F102" s="25" t="n"/>
      <c r="G102" s="28" t="n"/>
      <c r="H102" s="28" t="n"/>
      <c r="I102" s="26">
        <f>IFERROR(MAX(0,H102-TODAY()),0)</f>
        <v/>
      </c>
      <c r="J102" s="25" t="n"/>
      <c r="K102" s="27" t="n"/>
      <c r="L102" s="25" t="n"/>
    </row>
    <row r="103" ht="22" customHeight="1">
      <c r="B103" s="21" t="n"/>
      <c r="C103" s="21" t="n"/>
      <c r="D103" s="21" t="n"/>
      <c r="E103" s="21" t="n"/>
      <c r="F103" s="21" t="n"/>
      <c r="G103" s="24" t="n"/>
      <c r="H103" s="24" t="n"/>
      <c r="I103" s="22">
        <f>IFERROR(MAX(0,H103-TODAY()),0)</f>
        <v/>
      </c>
      <c r="J103" s="21" t="n"/>
      <c r="K103" s="23" t="n"/>
      <c r="L103" s="21" t="n"/>
    </row>
    <row r="104" ht="22" customHeight="1">
      <c r="B104" s="25" t="n"/>
      <c r="C104" s="25" t="n"/>
      <c r="D104" s="25" t="n"/>
      <c r="E104" s="25" t="n"/>
      <c r="F104" s="25" t="n"/>
      <c r="G104" s="28" t="n"/>
      <c r="H104" s="28" t="n"/>
      <c r="I104" s="26">
        <f>IFERROR(MAX(0,H104-TODAY()),0)</f>
        <v/>
      </c>
      <c r="J104" s="25" t="n"/>
      <c r="K104" s="27" t="n"/>
      <c r="L104" s="25" t="n"/>
    </row>
    <row r="105" ht="22" customHeight="1">
      <c r="B105" s="21" t="n"/>
      <c r="C105" s="21" t="n"/>
      <c r="D105" s="21" t="n"/>
      <c r="E105" s="21" t="n"/>
      <c r="F105" s="21" t="n"/>
      <c r="G105" s="24" t="n"/>
      <c r="H105" s="24" t="n"/>
      <c r="I105" s="22">
        <f>IFERROR(MAX(0,H105-TODAY()),0)</f>
        <v/>
      </c>
      <c r="J105" s="21" t="n"/>
      <c r="K105" s="23" t="n"/>
      <c r="L105" s="21" t="n"/>
    </row>
    <row r="106" ht="22" customHeight="1">
      <c r="B106" s="25" t="n"/>
      <c r="C106" s="25" t="n"/>
      <c r="D106" s="25" t="n"/>
      <c r="E106" s="25" t="n"/>
      <c r="F106" s="25" t="n"/>
      <c r="G106" s="28" t="n"/>
      <c r="H106" s="28" t="n"/>
      <c r="I106" s="26">
        <f>IFERROR(MAX(0,H106-TODAY()),0)</f>
        <v/>
      </c>
      <c r="J106" s="25" t="n"/>
      <c r="K106" s="27" t="n"/>
      <c r="L106" s="25" t="n"/>
    </row>
    <row r="107" ht="22" customHeight="1">
      <c r="B107" s="21" t="n"/>
      <c r="C107" s="21" t="n"/>
      <c r="D107" s="21" t="n"/>
      <c r="E107" s="21" t="n"/>
      <c r="F107" s="21" t="n"/>
      <c r="G107" s="24" t="n"/>
      <c r="H107" s="24" t="n"/>
      <c r="I107" s="22">
        <f>IFERROR(MAX(0,H107-TODAY()),0)</f>
        <v/>
      </c>
      <c r="J107" s="21" t="n"/>
      <c r="K107" s="23" t="n"/>
      <c r="L107" s="21" t="n"/>
    </row>
    <row r="108" ht="22" customHeight="1">
      <c r="B108" s="25" t="n"/>
      <c r="C108" s="25" t="n"/>
      <c r="D108" s="25" t="n"/>
      <c r="E108" s="25" t="n"/>
      <c r="F108" s="25" t="n"/>
      <c r="G108" s="28" t="n"/>
      <c r="H108" s="28" t="n"/>
      <c r="I108" s="26">
        <f>IFERROR(MAX(0,H108-TODAY()),0)</f>
        <v/>
      </c>
      <c r="J108" s="25" t="n"/>
      <c r="K108" s="27" t="n"/>
      <c r="L108" s="25" t="n"/>
    </row>
    <row r="109" ht="22" customHeight="1">
      <c r="B109" s="21" t="n"/>
      <c r="C109" s="21" t="n"/>
      <c r="D109" s="21" t="n"/>
      <c r="E109" s="21" t="n"/>
      <c r="F109" s="21" t="n"/>
      <c r="G109" s="24" t="n"/>
      <c r="H109" s="24" t="n"/>
      <c r="I109" s="22">
        <f>IFERROR(MAX(0,H109-TODAY()),0)</f>
        <v/>
      </c>
      <c r="J109" s="21" t="n"/>
      <c r="K109" s="23" t="n"/>
      <c r="L109" s="21" t="n"/>
    </row>
    <row r="110" ht="22" customHeight="1">
      <c r="B110" s="25" t="n"/>
      <c r="C110" s="25" t="n"/>
      <c r="D110" s="25" t="n"/>
      <c r="E110" s="25" t="n"/>
      <c r="F110" s="25" t="n"/>
      <c r="G110" s="28" t="n"/>
      <c r="H110" s="28" t="n"/>
      <c r="I110" s="26">
        <f>IFERROR(MAX(0,H110-TODAY()),0)</f>
        <v/>
      </c>
      <c r="J110" s="25" t="n"/>
      <c r="K110" s="27" t="n"/>
      <c r="L110" s="25" t="n"/>
    </row>
    <row r="111" ht="22" customHeight="1">
      <c r="B111" s="21" t="n"/>
      <c r="C111" s="21" t="n"/>
      <c r="D111" s="21" t="n"/>
      <c r="E111" s="21" t="n"/>
      <c r="F111" s="21" t="n"/>
      <c r="G111" s="24" t="n"/>
      <c r="H111" s="24" t="n"/>
      <c r="I111" s="22">
        <f>IFERROR(MAX(0,H111-TODAY()),0)</f>
        <v/>
      </c>
      <c r="J111" s="21" t="n"/>
      <c r="K111" s="23" t="n"/>
      <c r="L111" s="21" t="n"/>
    </row>
    <row r="112" ht="22" customHeight="1">
      <c r="B112" s="25" t="n"/>
      <c r="C112" s="25" t="n"/>
      <c r="D112" s="25" t="n"/>
      <c r="E112" s="25" t="n"/>
      <c r="F112" s="25" t="n"/>
      <c r="G112" s="28" t="n"/>
      <c r="H112" s="28" t="n"/>
      <c r="I112" s="26">
        <f>IFERROR(MAX(0,H112-TODAY()),0)</f>
        <v/>
      </c>
      <c r="J112" s="25" t="n"/>
      <c r="K112" s="27" t="n"/>
      <c r="L112" s="25" t="n"/>
    </row>
    <row r="113" ht="22" customHeight="1">
      <c r="B113" s="21" t="n"/>
      <c r="C113" s="21" t="n"/>
      <c r="D113" s="21" t="n"/>
      <c r="E113" s="21" t="n"/>
      <c r="F113" s="21" t="n"/>
      <c r="G113" s="24" t="n"/>
      <c r="H113" s="24" t="n"/>
      <c r="I113" s="22">
        <f>IFERROR(MAX(0,H113-TODAY()),0)</f>
        <v/>
      </c>
      <c r="J113" s="21" t="n"/>
      <c r="K113" s="23" t="n"/>
      <c r="L113" s="21" t="n"/>
    </row>
    <row r="114" ht="22" customHeight="1">
      <c r="B114" s="25" t="n"/>
      <c r="C114" s="25" t="n"/>
      <c r="D114" s="25" t="n"/>
      <c r="E114" s="25" t="n"/>
      <c r="F114" s="25" t="n"/>
      <c r="G114" s="28" t="n"/>
      <c r="H114" s="28" t="n"/>
      <c r="I114" s="26">
        <f>IFERROR(MAX(0,H114-TODAY()),0)</f>
        <v/>
      </c>
      <c r="J114" s="25" t="n"/>
      <c r="K114" s="27" t="n"/>
      <c r="L114" s="25" t="n"/>
    </row>
    <row r="115" ht="22" customHeight="1">
      <c r="B115" s="21" t="n"/>
      <c r="C115" s="21" t="n"/>
      <c r="D115" s="21" t="n"/>
      <c r="E115" s="21" t="n"/>
      <c r="F115" s="21" t="n"/>
      <c r="G115" s="24" t="n"/>
      <c r="H115" s="24" t="n"/>
      <c r="I115" s="22">
        <f>IFERROR(MAX(0,H115-TODAY()),0)</f>
        <v/>
      </c>
      <c r="J115" s="21" t="n"/>
      <c r="K115" s="23" t="n"/>
      <c r="L115" s="21" t="n"/>
    </row>
    <row r="116" ht="22" customHeight="1">
      <c r="B116" s="25" t="n"/>
      <c r="C116" s="25" t="n"/>
      <c r="D116" s="25" t="n"/>
      <c r="E116" s="25" t="n"/>
      <c r="F116" s="25" t="n"/>
      <c r="G116" s="28" t="n"/>
      <c r="H116" s="28" t="n"/>
      <c r="I116" s="26">
        <f>IFERROR(MAX(0,H116-TODAY()),0)</f>
        <v/>
      </c>
      <c r="J116" s="25" t="n"/>
      <c r="K116" s="27" t="n"/>
      <c r="L116" s="25" t="n"/>
    </row>
    <row r="117" ht="22" customHeight="1">
      <c r="B117" s="21" t="n"/>
      <c r="C117" s="21" t="n"/>
      <c r="D117" s="21" t="n"/>
      <c r="E117" s="21" t="n"/>
      <c r="F117" s="21" t="n"/>
      <c r="G117" s="24" t="n"/>
      <c r="H117" s="24" t="n"/>
      <c r="I117" s="22">
        <f>IFERROR(MAX(0,H117-TODAY()),0)</f>
        <v/>
      </c>
      <c r="J117" s="21" t="n"/>
      <c r="K117" s="23" t="n"/>
      <c r="L117" s="21" t="n"/>
    </row>
    <row r="118" ht="22" customHeight="1">
      <c r="B118" s="25" t="n"/>
      <c r="C118" s="25" t="n"/>
      <c r="D118" s="25" t="n"/>
      <c r="E118" s="25" t="n"/>
      <c r="F118" s="25" t="n"/>
      <c r="G118" s="28" t="n"/>
      <c r="H118" s="28" t="n"/>
      <c r="I118" s="26">
        <f>IFERROR(MAX(0,H118-TODAY()),0)</f>
        <v/>
      </c>
      <c r="J118" s="25" t="n"/>
      <c r="K118" s="27" t="n"/>
      <c r="L118" s="25" t="n"/>
    </row>
    <row r="119" ht="22" customHeight="1">
      <c r="B119" s="21" t="n"/>
      <c r="C119" s="21" t="n"/>
      <c r="D119" s="21" t="n"/>
      <c r="E119" s="21" t="n"/>
      <c r="F119" s="21" t="n"/>
      <c r="G119" s="24" t="n"/>
      <c r="H119" s="24" t="n"/>
      <c r="I119" s="22">
        <f>IFERROR(MAX(0,H119-TODAY()),0)</f>
        <v/>
      </c>
      <c r="J119" s="21" t="n"/>
      <c r="K119" s="23" t="n"/>
      <c r="L119" s="21" t="n"/>
    </row>
    <row r="120" ht="22" customHeight="1">
      <c r="B120" s="25" t="n"/>
      <c r="C120" s="25" t="n"/>
      <c r="D120" s="25" t="n"/>
      <c r="E120" s="25" t="n"/>
      <c r="F120" s="25" t="n"/>
      <c r="G120" s="28" t="n"/>
      <c r="H120" s="28" t="n"/>
      <c r="I120" s="26">
        <f>IFERROR(MAX(0,H120-TODAY()),0)</f>
        <v/>
      </c>
      <c r="J120" s="25" t="n"/>
      <c r="K120" s="27" t="n"/>
      <c r="L120" s="25" t="n"/>
    </row>
    <row r="121" ht="22" customHeight="1">
      <c r="B121" s="21" t="n"/>
      <c r="C121" s="21" t="n"/>
      <c r="D121" s="21" t="n"/>
      <c r="E121" s="21" t="n"/>
      <c r="F121" s="21" t="n"/>
      <c r="G121" s="24" t="n"/>
      <c r="H121" s="24" t="n"/>
      <c r="I121" s="22">
        <f>IFERROR(MAX(0,H121-TODAY()),0)</f>
        <v/>
      </c>
      <c r="J121" s="21" t="n"/>
      <c r="K121" s="23" t="n"/>
      <c r="L121" s="21" t="n"/>
    </row>
    <row r="122" ht="22" customHeight="1">
      <c r="B122" s="25" t="n"/>
      <c r="C122" s="25" t="n"/>
      <c r="D122" s="25" t="n"/>
      <c r="E122" s="25" t="n"/>
      <c r="F122" s="25" t="n"/>
      <c r="G122" s="28" t="n"/>
      <c r="H122" s="28" t="n"/>
      <c r="I122" s="26">
        <f>IFERROR(MAX(0,H122-TODAY()),0)</f>
        <v/>
      </c>
      <c r="J122" s="25" t="n"/>
      <c r="K122" s="27" t="n"/>
      <c r="L122" s="25" t="n"/>
    </row>
    <row r="123" ht="22" customHeight="1">
      <c r="B123" s="21" t="n"/>
      <c r="C123" s="21" t="n"/>
      <c r="D123" s="21" t="n"/>
      <c r="E123" s="21" t="n"/>
      <c r="F123" s="21" t="n"/>
      <c r="G123" s="24" t="n"/>
      <c r="H123" s="24" t="n"/>
      <c r="I123" s="22">
        <f>IFERROR(MAX(0,H123-TODAY()),0)</f>
        <v/>
      </c>
      <c r="J123" s="21" t="n"/>
      <c r="K123" s="23" t="n"/>
      <c r="L123" s="21" t="n"/>
    </row>
    <row r="124" ht="22" customHeight="1">
      <c r="B124" s="25" t="n"/>
      <c r="C124" s="25" t="n"/>
      <c r="D124" s="25" t="n"/>
      <c r="E124" s="25" t="n"/>
      <c r="F124" s="25" t="n"/>
      <c r="G124" s="28" t="n"/>
      <c r="H124" s="28" t="n"/>
      <c r="I124" s="26">
        <f>IFERROR(MAX(0,H124-TODAY()),0)</f>
        <v/>
      </c>
      <c r="J124" s="25" t="n"/>
      <c r="K124" s="27" t="n"/>
      <c r="L124" s="25" t="n"/>
    </row>
    <row r="125" ht="22" customHeight="1">
      <c r="B125" s="21" t="n"/>
      <c r="C125" s="21" t="n"/>
      <c r="D125" s="21" t="n"/>
      <c r="E125" s="21" t="n"/>
      <c r="F125" s="21" t="n"/>
      <c r="G125" s="24" t="n"/>
      <c r="H125" s="24" t="n"/>
      <c r="I125" s="22">
        <f>IFERROR(MAX(0,H125-TODAY()),0)</f>
        <v/>
      </c>
      <c r="J125" s="21" t="n"/>
      <c r="K125" s="23" t="n"/>
      <c r="L125" s="21" t="n"/>
    </row>
    <row r="126" ht="22" customHeight="1">
      <c r="B126" s="25" t="n"/>
      <c r="C126" s="25" t="n"/>
      <c r="D126" s="25" t="n"/>
      <c r="E126" s="25" t="n"/>
      <c r="F126" s="25" t="n"/>
      <c r="G126" s="28" t="n"/>
      <c r="H126" s="28" t="n"/>
      <c r="I126" s="26">
        <f>IFERROR(MAX(0,H126-TODAY()),0)</f>
        <v/>
      </c>
      <c r="J126" s="25" t="n"/>
      <c r="K126" s="27" t="n"/>
      <c r="L126" s="25" t="n"/>
    </row>
    <row r="127" ht="22" customHeight="1">
      <c r="B127" s="21" t="n"/>
      <c r="C127" s="21" t="n"/>
      <c r="D127" s="21" t="n"/>
      <c r="E127" s="21" t="n"/>
      <c r="F127" s="21" t="n"/>
      <c r="G127" s="24" t="n"/>
      <c r="H127" s="24" t="n"/>
      <c r="I127" s="22">
        <f>IFERROR(MAX(0,H127-TODAY()),0)</f>
        <v/>
      </c>
      <c r="J127" s="21" t="n"/>
      <c r="K127" s="23" t="n"/>
      <c r="L127" s="21" t="n"/>
    </row>
    <row r="128" ht="22" customHeight="1">
      <c r="B128" s="25" t="n"/>
      <c r="C128" s="25" t="n"/>
      <c r="D128" s="25" t="n"/>
      <c r="E128" s="25" t="n"/>
      <c r="F128" s="25" t="n"/>
      <c r="G128" s="28" t="n"/>
      <c r="H128" s="28" t="n"/>
      <c r="I128" s="26">
        <f>IFERROR(MAX(0,H128-TODAY()),0)</f>
        <v/>
      </c>
      <c r="J128" s="25" t="n"/>
      <c r="K128" s="27" t="n"/>
      <c r="L128" s="25" t="n"/>
    </row>
    <row r="129" ht="22" customHeight="1">
      <c r="B129" s="21" t="n"/>
      <c r="C129" s="21" t="n"/>
      <c r="D129" s="21" t="n"/>
      <c r="E129" s="21" t="n"/>
      <c r="F129" s="21" t="n"/>
      <c r="G129" s="24" t="n"/>
      <c r="H129" s="24" t="n"/>
      <c r="I129" s="22">
        <f>IFERROR(MAX(0,H129-TODAY()),0)</f>
        <v/>
      </c>
      <c r="J129" s="21" t="n"/>
      <c r="K129" s="23" t="n"/>
      <c r="L129" s="21" t="n"/>
    </row>
    <row r="130" ht="22" customHeight="1">
      <c r="B130" s="25" t="n"/>
      <c r="C130" s="25" t="n"/>
      <c r="D130" s="25" t="n"/>
      <c r="E130" s="25" t="n"/>
      <c r="F130" s="25" t="n"/>
      <c r="G130" s="28" t="n"/>
      <c r="H130" s="28" t="n"/>
      <c r="I130" s="26">
        <f>IFERROR(MAX(0,H130-TODAY()),0)</f>
        <v/>
      </c>
      <c r="J130" s="25" t="n"/>
      <c r="K130" s="27" t="n"/>
      <c r="L130" s="25" t="n"/>
    </row>
    <row r="131" ht="22" customHeight="1">
      <c r="B131" s="21" t="n"/>
      <c r="C131" s="21" t="n"/>
      <c r="D131" s="21" t="n"/>
      <c r="E131" s="21" t="n"/>
      <c r="F131" s="21" t="n"/>
      <c r="G131" s="24" t="n"/>
      <c r="H131" s="24" t="n"/>
      <c r="I131" s="22">
        <f>IFERROR(MAX(0,H131-TODAY()),0)</f>
        <v/>
      </c>
      <c r="J131" s="21" t="n"/>
      <c r="K131" s="23" t="n"/>
      <c r="L131" s="21" t="n"/>
    </row>
    <row r="132" ht="22" customHeight="1">
      <c r="B132" s="25" t="n"/>
      <c r="C132" s="25" t="n"/>
      <c r="D132" s="25" t="n"/>
      <c r="E132" s="25" t="n"/>
      <c r="F132" s="25" t="n"/>
      <c r="G132" s="28" t="n"/>
      <c r="H132" s="28" t="n"/>
      <c r="I132" s="26">
        <f>IFERROR(MAX(0,H132-TODAY()),0)</f>
        <v/>
      </c>
      <c r="J132" s="25" t="n"/>
      <c r="K132" s="27" t="n"/>
      <c r="L132" s="25" t="n"/>
    </row>
    <row r="133" ht="22" customHeight="1">
      <c r="B133" s="21" t="n"/>
      <c r="C133" s="21" t="n"/>
      <c r="D133" s="21" t="n"/>
      <c r="E133" s="21" t="n"/>
      <c r="F133" s="21" t="n"/>
      <c r="G133" s="24" t="n"/>
      <c r="H133" s="24" t="n"/>
      <c r="I133" s="22">
        <f>IFERROR(MAX(0,H133-TODAY()),0)</f>
        <v/>
      </c>
      <c r="J133" s="21" t="n"/>
      <c r="K133" s="23" t="n"/>
      <c r="L133" s="21" t="n"/>
    </row>
    <row r="134" ht="22" customHeight="1">
      <c r="B134" s="25" t="n"/>
      <c r="C134" s="25" t="n"/>
      <c r="D134" s="25" t="n"/>
      <c r="E134" s="25" t="n"/>
      <c r="F134" s="25" t="n"/>
      <c r="G134" s="28" t="n"/>
      <c r="H134" s="28" t="n"/>
      <c r="I134" s="26">
        <f>IFERROR(MAX(0,H134-TODAY()),0)</f>
        <v/>
      </c>
      <c r="J134" s="25" t="n"/>
      <c r="K134" s="27" t="n"/>
      <c r="L134" s="25" t="n"/>
    </row>
    <row r="135" ht="22" customHeight="1">
      <c r="B135" s="21" t="n"/>
      <c r="C135" s="21" t="n"/>
      <c r="D135" s="21" t="n"/>
      <c r="E135" s="21" t="n"/>
      <c r="F135" s="21" t="n"/>
      <c r="G135" s="24" t="n"/>
      <c r="H135" s="24" t="n"/>
      <c r="I135" s="22">
        <f>IFERROR(MAX(0,H135-TODAY()),0)</f>
        <v/>
      </c>
      <c r="J135" s="21" t="n"/>
      <c r="K135" s="23" t="n"/>
      <c r="L135" s="21" t="n"/>
    </row>
    <row r="136" ht="22" customHeight="1">
      <c r="B136" s="25" t="n"/>
      <c r="C136" s="25" t="n"/>
      <c r="D136" s="25" t="n"/>
      <c r="E136" s="25" t="n"/>
      <c r="F136" s="25" t="n"/>
      <c r="G136" s="28" t="n"/>
      <c r="H136" s="28" t="n"/>
      <c r="I136" s="26">
        <f>IFERROR(MAX(0,H136-TODAY()),0)</f>
        <v/>
      </c>
      <c r="J136" s="25" t="n"/>
      <c r="K136" s="27" t="n"/>
      <c r="L136" s="25" t="n"/>
    </row>
    <row r="137" ht="22" customHeight="1">
      <c r="B137" s="21" t="n"/>
      <c r="C137" s="21" t="n"/>
      <c r="D137" s="21" t="n"/>
      <c r="E137" s="21" t="n"/>
      <c r="F137" s="21" t="n"/>
      <c r="G137" s="24" t="n"/>
      <c r="H137" s="24" t="n"/>
      <c r="I137" s="22">
        <f>IFERROR(MAX(0,H137-TODAY()),0)</f>
        <v/>
      </c>
      <c r="J137" s="21" t="n"/>
      <c r="K137" s="23" t="n"/>
      <c r="L137" s="21" t="n"/>
    </row>
    <row r="138" ht="22" customHeight="1">
      <c r="B138" s="25" t="n"/>
      <c r="C138" s="25" t="n"/>
      <c r="D138" s="25" t="n"/>
      <c r="E138" s="25" t="n"/>
      <c r="F138" s="25" t="n"/>
      <c r="G138" s="28" t="n"/>
      <c r="H138" s="28" t="n"/>
      <c r="I138" s="26">
        <f>IFERROR(MAX(0,H138-TODAY()),0)</f>
        <v/>
      </c>
      <c r="J138" s="25" t="n"/>
      <c r="K138" s="27" t="n"/>
      <c r="L138" s="25" t="n"/>
    </row>
    <row r="139" ht="22" customHeight="1">
      <c r="B139" s="21" t="n"/>
      <c r="C139" s="21" t="n"/>
      <c r="D139" s="21" t="n"/>
      <c r="E139" s="21" t="n"/>
      <c r="F139" s="21" t="n"/>
      <c r="G139" s="24" t="n"/>
      <c r="H139" s="24" t="n"/>
      <c r="I139" s="22">
        <f>IFERROR(MAX(0,H139-TODAY()),0)</f>
        <v/>
      </c>
      <c r="J139" s="21" t="n"/>
      <c r="K139" s="23" t="n"/>
      <c r="L139" s="21" t="n"/>
    </row>
    <row r="140" ht="22" customHeight="1">
      <c r="B140" s="25" t="n"/>
      <c r="C140" s="25" t="n"/>
      <c r="D140" s="25" t="n"/>
      <c r="E140" s="25" t="n"/>
      <c r="F140" s="25" t="n"/>
      <c r="G140" s="28" t="n"/>
      <c r="H140" s="28" t="n"/>
      <c r="I140" s="26">
        <f>IFERROR(MAX(0,H140-TODAY()),0)</f>
        <v/>
      </c>
      <c r="J140" s="25" t="n"/>
      <c r="K140" s="27" t="n"/>
      <c r="L140" s="25" t="n"/>
    </row>
    <row r="141" ht="22" customHeight="1">
      <c r="B141" s="21" t="n"/>
      <c r="C141" s="21" t="n"/>
      <c r="D141" s="21" t="n"/>
      <c r="E141" s="21" t="n"/>
      <c r="F141" s="21" t="n"/>
      <c r="G141" s="24" t="n"/>
      <c r="H141" s="24" t="n"/>
      <c r="I141" s="22">
        <f>IFERROR(MAX(0,H141-TODAY()),0)</f>
        <v/>
      </c>
      <c r="J141" s="21" t="n"/>
      <c r="K141" s="23" t="n"/>
      <c r="L141" s="21" t="n"/>
    </row>
    <row r="142" ht="22" customHeight="1">
      <c r="B142" s="25" t="n"/>
      <c r="C142" s="25" t="n"/>
      <c r="D142" s="25" t="n"/>
      <c r="E142" s="25" t="n"/>
      <c r="F142" s="25" t="n"/>
      <c r="G142" s="28" t="n"/>
      <c r="H142" s="28" t="n"/>
      <c r="I142" s="26">
        <f>IFERROR(MAX(0,H142-TODAY()),0)</f>
        <v/>
      </c>
      <c r="J142" s="25" t="n"/>
      <c r="K142" s="27" t="n"/>
      <c r="L142" s="25" t="n"/>
    </row>
    <row r="143" ht="22" customHeight="1">
      <c r="B143" s="21" t="n"/>
      <c r="C143" s="21" t="n"/>
      <c r="D143" s="21" t="n"/>
      <c r="E143" s="21" t="n"/>
      <c r="F143" s="21" t="n"/>
      <c r="G143" s="24" t="n"/>
      <c r="H143" s="24" t="n"/>
      <c r="I143" s="22">
        <f>IFERROR(MAX(0,H143-TODAY()),0)</f>
        <v/>
      </c>
      <c r="J143" s="21" t="n"/>
      <c r="K143" s="23" t="n"/>
      <c r="L143" s="21" t="n"/>
    </row>
    <row r="144" ht="22" customHeight="1">
      <c r="B144" s="25" t="n"/>
      <c r="C144" s="25" t="n"/>
      <c r="D144" s="25" t="n"/>
      <c r="E144" s="25" t="n"/>
      <c r="F144" s="25" t="n"/>
      <c r="G144" s="28" t="n"/>
      <c r="H144" s="28" t="n"/>
      <c r="I144" s="26">
        <f>IFERROR(MAX(0,H144-TODAY()),0)</f>
        <v/>
      </c>
      <c r="J144" s="25" t="n"/>
      <c r="K144" s="27" t="n"/>
      <c r="L144" s="25" t="n"/>
    </row>
    <row r="145" ht="22" customHeight="1">
      <c r="B145" s="21" t="n"/>
      <c r="C145" s="21" t="n"/>
      <c r="D145" s="21" t="n"/>
      <c r="E145" s="21" t="n"/>
      <c r="F145" s="21" t="n"/>
      <c r="G145" s="24" t="n"/>
      <c r="H145" s="24" t="n"/>
      <c r="I145" s="22">
        <f>IFERROR(MAX(0,H145-TODAY()),0)</f>
        <v/>
      </c>
      <c r="J145" s="21" t="n"/>
      <c r="K145" s="23" t="n"/>
      <c r="L145" s="21" t="n"/>
    </row>
    <row r="146" ht="22" customHeight="1">
      <c r="B146" s="25" t="n"/>
      <c r="C146" s="25" t="n"/>
      <c r="D146" s="25" t="n"/>
      <c r="E146" s="25" t="n"/>
      <c r="F146" s="25" t="n"/>
      <c r="G146" s="28" t="n"/>
      <c r="H146" s="28" t="n"/>
      <c r="I146" s="26">
        <f>IFERROR(MAX(0,H146-TODAY()),0)</f>
        <v/>
      </c>
      <c r="J146" s="25" t="n"/>
      <c r="K146" s="27" t="n"/>
      <c r="L146" s="25" t="n"/>
    </row>
    <row r="147" ht="22" customHeight="1">
      <c r="B147" s="21" t="n"/>
      <c r="C147" s="21" t="n"/>
      <c r="D147" s="21" t="n"/>
      <c r="E147" s="21" t="n"/>
      <c r="F147" s="21" t="n"/>
      <c r="G147" s="24" t="n"/>
      <c r="H147" s="24" t="n"/>
      <c r="I147" s="22">
        <f>IFERROR(MAX(0,H147-TODAY()),0)</f>
        <v/>
      </c>
      <c r="J147" s="21" t="n"/>
      <c r="K147" s="23" t="n"/>
      <c r="L147" s="21" t="n"/>
    </row>
    <row r="148" ht="22" customHeight="1">
      <c r="B148" s="25" t="n"/>
      <c r="C148" s="25" t="n"/>
      <c r="D148" s="25" t="n"/>
      <c r="E148" s="25" t="n"/>
      <c r="F148" s="25" t="n"/>
      <c r="G148" s="28" t="n"/>
      <c r="H148" s="28" t="n"/>
      <c r="I148" s="26">
        <f>IFERROR(MAX(0,H148-TODAY()),0)</f>
        <v/>
      </c>
      <c r="J148" s="25" t="n"/>
      <c r="K148" s="27" t="n"/>
      <c r="L148" s="25" t="n"/>
    </row>
    <row r="149" ht="22" customHeight="1">
      <c r="B149" s="21" t="n"/>
      <c r="C149" s="21" t="n"/>
      <c r="D149" s="21" t="n"/>
      <c r="E149" s="21" t="n"/>
      <c r="F149" s="21" t="n"/>
      <c r="G149" s="24" t="n"/>
      <c r="H149" s="24" t="n"/>
      <c r="I149" s="22">
        <f>IFERROR(MAX(0,H149-TODAY()),0)</f>
        <v/>
      </c>
      <c r="J149" s="21" t="n"/>
      <c r="K149" s="23" t="n"/>
      <c r="L149" s="21" t="n"/>
    </row>
    <row r="150" ht="22" customHeight="1">
      <c r="B150" s="25" t="n"/>
      <c r="C150" s="25" t="n"/>
      <c r="D150" s="25" t="n"/>
      <c r="E150" s="25" t="n"/>
      <c r="F150" s="25" t="n"/>
      <c r="G150" s="28" t="n"/>
      <c r="H150" s="28" t="n"/>
      <c r="I150" s="26">
        <f>IFERROR(MAX(0,H150-TODAY()),0)</f>
        <v/>
      </c>
      <c r="J150" s="25" t="n"/>
      <c r="K150" s="27" t="n"/>
      <c r="L150" s="25" t="n"/>
    </row>
    <row r="151" ht="22" customHeight="1">
      <c r="B151" s="21" t="n"/>
      <c r="C151" s="21" t="n"/>
      <c r="D151" s="21" t="n"/>
      <c r="E151" s="21" t="n"/>
      <c r="F151" s="21" t="n"/>
      <c r="G151" s="24" t="n"/>
      <c r="H151" s="24" t="n"/>
      <c r="I151" s="22">
        <f>IFERROR(MAX(0,H151-TODAY()),0)</f>
        <v/>
      </c>
      <c r="J151" s="21" t="n"/>
      <c r="K151" s="23" t="n"/>
      <c r="L151" s="21" t="n"/>
    </row>
    <row r="152" ht="22" customHeight="1">
      <c r="B152" s="25" t="n"/>
      <c r="C152" s="25" t="n"/>
      <c r="D152" s="25" t="n"/>
      <c r="E152" s="25" t="n"/>
      <c r="F152" s="25" t="n"/>
      <c r="G152" s="28" t="n"/>
      <c r="H152" s="28" t="n"/>
      <c r="I152" s="26">
        <f>IFERROR(MAX(0,H152-TODAY()),0)</f>
        <v/>
      </c>
      <c r="J152" s="25" t="n"/>
      <c r="K152" s="27" t="n"/>
      <c r="L152" s="25" t="n"/>
    </row>
    <row r="153" ht="22" customHeight="1">
      <c r="B153" s="21" t="n"/>
      <c r="C153" s="21" t="n"/>
      <c r="D153" s="21" t="n"/>
      <c r="E153" s="21" t="n"/>
      <c r="F153" s="21" t="n"/>
      <c r="G153" s="24" t="n"/>
      <c r="H153" s="24" t="n"/>
      <c r="I153" s="22">
        <f>IFERROR(MAX(0,H153-TODAY()),0)</f>
        <v/>
      </c>
      <c r="J153" s="21" t="n"/>
      <c r="K153" s="23" t="n"/>
      <c r="L153" s="21" t="n"/>
    </row>
    <row r="154" ht="22" customHeight="1">
      <c r="B154" s="25" t="n"/>
      <c r="C154" s="25" t="n"/>
      <c r="D154" s="25" t="n"/>
      <c r="E154" s="25" t="n"/>
      <c r="F154" s="25" t="n"/>
      <c r="G154" s="28" t="n"/>
      <c r="H154" s="28" t="n"/>
      <c r="I154" s="26">
        <f>IFERROR(MAX(0,H154-TODAY()),0)</f>
        <v/>
      </c>
      <c r="J154" s="25" t="n"/>
      <c r="K154" s="27" t="n"/>
      <c r="L154" s="25" t="n"/>
    </row>
    <row r="157">
      <c r="B157" s="32" t="inlineStr">
        <is>
          <t>CONTRACT SUMMARY</t>
        </is>
      </c>
    </row>
    <row r="158">
      <c r="B158" s="33" t="inlineStr">
        <is>
          <t># Active</t>
        </is>
      </c>
      <c r="C158" s="5" t="n"/>
      <c r="D158" s="36">
        <f>IFERROR(COUNTIF(J5:J154,"Active"),0)</f>
        <v/>
      </c>
      <c r="E158" s="5" t="n"/>
    </row>
    <row r="159">
      <c r="B159" s="33" t="inlineStr">
        <is>
          <t># Expiring Soon</t>
        </is>
      </c>
      <c r="C159" s="5" t="n"/>
      <c r="D159" s="36">
        <f>IFERROR(COUNTIF(J5:J154,"Expiring Soon"),0)</f>
        <v/>
      </c>
      <c r="E159" s="5" t="n"/>
    </row>
    <row r="160">
      <c r="B160" s="33" t="inlineStr">
        <is>
          <t># Expired</t>
        </is>
      </c>
      <c r="C160" s="5" t="n"/>
      <c r="D160" s="36">
        <f>IFERROR(COUNTIF(J5:J154,"Expired"),0)</f>
        <v/>
      </c>
      <c r="E160" s="5" t="n"/>
    </row>
    <row r="161">
      <c r="B161" s="33" t="inlineStr">
        <is>
          <t># Renewed</t>
        </is>
      </c>
      <c r="C161" s="5" t="n"/>
      <c r="D161" s="36">
        <f>IFERROR(COUNTIF(J5:J154,"Renewed"),0)</f>
        <v/>
      </c>
      <c r="E161" s="5" t="n"/>
    </row>
    <row r="162">
      <c r="B162" s="33" t="inlineStr">
        <is>
          <t># Not Renewed</t>
        </is>
      </c>
      <c r="C162" s="5" t="n"/>
      <c r="D162" s="36">
        <f>IFERROR(COUNTIF(J5:J154,"Not Renewed"),0)</f>
        <v/>
      </c>
      <c r="E162" s="5" t="n"/>
    </row>
    <row r="163">
      <c r="B163" s="33" t="inlineStr">
        <is>
          <t># Total</t>
        </is>
      </c>
      <c r="C163" s="5" t="n"/>
      <c r="D163" s="36">
        <f>IFERROR(COUNTA(B5:B154)-COUNTBLANK(B5:B154),0)</f>
        <v/>
      </c>
      <c r="E163" s="5" t="n"/>
    </row>
  </sheetData>
  <mergeCells count="2">
    <mergeCell ref="B2:L2"/>
    <mergeCell ref="B157:E157"/>
  </mergeCells>
  <conditionalFormatting sqref="I5:I154">
    <cfRule type="cellIs" priority="1" operator="lessThanOrEqual" dxfId="1">
      <formula>0</formula>
    </cfRule>
    <cfRule type="cellIs" priority="2" operator="lessThanOrEqual" dxfId="2">
      <formula>30</formula>
    </cfRule>
  </conditionalFormatting>
  <conditionalFormatting sqref="J5:J154">
    <cfRule type="cellIs" priority="3" operator="equal" dxfId="1">
      <formula>"Expired"</formula>
    </cfRule>
    <cfRule type="cellIs" priority="4" operator="equal" dxfId="2">
      <formula>"Expiring Soon"</formula>
    </cfRule>
    <cfRule type="cellIs" priority="5" operator="equal" dxfId="0">
      <formula>"Active"</formula>
    </cfRule>
    <cfRule type="cellIs" priority="6" operator="equal" dxfId="4">
      <formula>"Renewed"</formula>
    </cfRule>
  </conditionalFormatting>
  <dataValidations count="1">
    <dataValidation sqref="J5:J154" showDropDown="0" showInputMessage="0" showErrorMessage="0" allowBlank="1" prompt="Select Renewal Status" type="list">
      <formula1>"Active,Expiring Soon,Expired,Renewed,Not Renewed"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2026-05-23T22:43:35Z</dcterms:created>
  <dcterms:modified xmlns:dcterms="http://purl.org/dc/terms/" xmlns:xsi="http://www.w3.org/2001/XMLSchema-instance" xsi:type="dcterms:W3CDTF">2026-05-23T22:43:36Z</dcterms:modified>
</cp:coreProperties>
</file>