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perty Registry" sheetId="2" state="visible" r:id="rId2"/>
    <sheet xmlns:r="http://schemas.openxmlformats.org/officeDocument/2006/relationships" name="Tenants" sheetId="3" state="visible" r:id="rId3"/>
    <sheet xmlns:r="http://schemas.openxmlformats.org/officeDocument/2006/relationships" name="Rent Collection" sheetId="4" state="visible" r:id="rId4"/>
    <sheet xmlns:r="http://schemas.openxmlformats.org/officeDocument/2006/relationships" name="Payment Alerts" sheetId="5" state="visible" r:id="rId5"/>
    <sheet xmlns:r="http://schemas.openxmlformats.org/officeDocument/2006/relationships" name="Maintenance" sheetId="6" state="visible" r:id="rId6"/>
    <sheet xmlns:r="http://schemas.openxmlformats.org/officeDocument/2006/relationships" name="Expenses" sheetId="7" state="visible" r:id="rId7"/>
    <sheet xmlns:r="http://schemas.openxmlformats.org/officeDocument/2006/relationships" name="Revenue Analysis" sheetId="8" state="visible" r:id="rId8"/>
    <sheet xmlns:r="http://schemas.openxmlformats.org/officeDocument/2006/relationships" name="Profit &amp; Loss" sheetId="9" state="visible" r:id="rId9"/>
    <sheet xmlns:r="http://schemas.openxmlformats.org/officeDocument/2006/relationships" name="Contracts" sheetId="10" state="visible" r:id="rId10"/>
  </sheets>
  <definedNames>
    <definedName name="_xlnm.Print_Titles" localSheetId="0">'Dashboard'!$2:$3</definedName>
    <definedName name="_xlnm.Print_Area" localSheetId="0">'Dashboard'!$A$1:$N$104</definedName>
    <definedName name="_xlnm.Print_Titles" localSheetId="1">'Property Registry'!$2:$4</definedName>
    <definedName name="_xlnm.Print_Area" localSheetId="1">'Property Registry'!$A$1:$M$155</definedName>
    <definedName name="_xlnm.Print_Titles" localSheetId="2">'Tenants'!$2:$4</definedName>
    <definedName name="_xlnm.Print_Area" localSheetId="2">'Tenants'!$A$1:$P$155</definedName>
    <definedName name="_xlnm.Print_Titles" localSheetId="3">'Rent Collection'!$2:$4</definedName>
    <definedName name="_xlnm.Print_Area" localSheetId="3">'Rent Collection'!$A$1:$O$165</definedName>
    <definedName name="_xlnm.Print_Titles" localSheetId="4">'Payment Alerts'!$2:$4</definedName>
    <definedName name="_xlnm.Print_Area" localSheetId="4">'Payment Alerts'!$A$1:$L$55</definedName>
    <definedName name="_xlnm.Print_Titles" localSheetId="5">'Maintenance'!$2:$4</definedName>
    <definedName name="_xlnm.Print_Area" localSheetId="5">'Maintenance'!$A$1:$M$205</definedName>
    <definedName name="_xlnm.Print_Titles" localSheetId="6">'Expenses'!$2:$4</definedName>
    <definedName name="_xlnm.Print_Area" localSheetId="6">'Expenses'!$A$1:$K$322</definedName>
    <definedName name="_xlnm.Print_Titles" localSheetId="7">'Revenue Analysis'!$2:$4</definedName>
    <definedName name="_xlnm.Print_Area" localSheetId="7">'Revenue Analysis'!$A$1:$O$38</definedName>
    <definedName name="_xlnm.Print_Titles" localSheetId="8">'Profit &amp; Loss'!$2:$4</definedName>
    <definedName name="_xlnm.Print_Area" localSheetId="8">'Profit &amp; Loss'!$A$1:$D$43</definedName>
    <definedName name="_xlnm.Print_Titles" localSheetId="9">'Contracts'!$2:$4</definedName>
    <definedName name="_xlnm.Print_Area" localSheetId="9">'Contracts'!$A$1:$M$163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1">
    <font>
      <name val="Calibri"/>
      <family val="2"/>
      <color theme="1"/>
      <sz val="11"/>
      <scheme val="minor"/>
    </font>
    <font>
      <name val="Noto Sans CJK SC"/>
      <color rgb="002D4A3E"/>
      <sz val="16"/>
    </font>
    <font>
      <name val="Noto Sans CJK SC"/>
      <color rgb="002D4A3E"/>
      <sz val="22"/>
    </font>
    <font>
      <name val="Noto Sans CJK SC"/>
      <color rgb="007A9B8C"/>
      <sz val="9"/>
    </font>
    <font>
      <name val="Noto Sans CJK SC"/>
      <color rgb="00FFFFFF"/>
      <sz val="11"/>
    </font>
    <font>
      <name val="Noto Sans CJK SC"/>
      <color rgb="003B5249"/>
      <sz val="11"/>
    </font>
    <font>
      <name val="Noto Sans CJK SC"/>
      <color rgb="002D4A3E"/>
      <sz val="11"/>
    </font>
    <font>
      <name val="Calibri"/>
      <b val="1"/>
      <color rgb="00C2694B"/>
      <sz val="10"/>
    </font>
    <font>
      <name val="Calibri"/>
      <b val="1"/>
      <color rgb="00FFFFFF"/>
      <sz val="11"/>
    </font>
    <font>
      <name val="Calibri"/>
      <b val="1"/>
      <color rgb="00C2694B"/>
      <sz val="11"/>
    </font>
    <font>
      <name val="Calibri"/>
      <b val="1"/>
      <color rgb="005FA67A"/>
      <sz val="11"/>
    </font>
  </fonts>
  <fills count="7">
    <fill>
      <patternFill/>
    </fill>
    <fill>
      <patternFill patternType="gray125"/>
    </fill>
    <fill>
      <patternFill patternType="solid">
        <fgColor rgb="00E8F0EB"/>
      </patternFill>
    </fill>
    <fill>
      <patternFill patternType="solid">
        <fgColor rgb="002D4A3E"/>
      </patternFill>
    </fill>
    <fill>
      <patternFill patternType="solid">
        <fgColor rgb="00FFFFFF"/>
      </patternFill>
    </fill>
    <fill>
      <patternFill patternType="solid">
        <fgColor rgb="00F6FAF8"/>
      </patternFill>
    </fill>
    <fill>
      <patternFill patternType="solid">
        <fgColor rgb="00C2694B"/>
      </patternFill>
    </fill>
  </fills>
  <borders count="3">
    <border>
      <left/>
      <right/>
      <top/>
      <bottom/>
      <diagonal/>
    </border>
    <border>
      <bottom style="thin">
        <color rgb="00D4E3DB"/>
      </bottom>
    </border>
    <border>
      <top style="medium">
        <color rgb="00D4E3DB"/>
      </top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bottom"/>
    </xf>
    <xf numFmtId="0" fontId="0" fillId="2" borderId="0" pivotButton="0" quotePrefix="0" xfId="0"/>
    <xf numFmtId="164" fontId="2" fillId="2" borderId="0" applyAlignment="1" pivotButton="0" quotePrefix="0" xfId="0">
      <alignment horizontal="center" vertical="bottom"/>
    </xf>
    <xf numFmtId="4" fontId="2" fillId="2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top"/>
    </xf>
    <xf numFmtId="0" fontId="3" fillId="0" borderId="0" pivotButton="0" quotePrefix="0" xfId="0"/>
    <xf numFmtId="164" fontId="3" fillId="0" borderId="0" pivotButton="0" quotePrefix="0" xfId="0"/>
    <xf numFmtId="4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0" pivotButton="0" quotePrefix="0" xfId="0"/>
    <xf numFmtId="3" fontId="5" fillId="4" borderId="0" pivotButton="0" quotePrefix="0" xfId="0"/>
    <xf numFmtId="4" fontId="5" fillId="4" borderId="0" pivotButton="0" quotePrefix="0" xfId="0"/>
    <xf numFmtId="165" fontId="5" fillId="4" borderId="0" pivotButton="0" quotePrefix="0" xfId="0"/>
    <xf numFmtId="0" fontId="5" fillId="5" borderId="0" pivotButton="0" quotePrefix="0" xfId="0"/>
    <xf numFmtId="3" fontId="5" fillId="5" borderId="0" pivotButton="0" quotePrefix="0" xfId="0"/>
    <xf numFmtId="4" fontId="5" fillId="5" borderId="0" pivotButton="0" quotePrefix="0" xfId="0"/>
    <xf numFmtId="165" fontId="5" fillId="5" borderId="0" pivotButton="0" quotePrefix="0" xfId="0"/>
    <xf numFmtId="0" fontId="6" fillId="2" borderId="2" pivotButton="0" quotePrefix="0" xfId="0"/>
    <xf numFmtId="3" fontId="6" fillId="2" borderId="2" pivotButton="0" quotePrefix="0" xfId="0"/>
    <xf numFmtId="4" fontId="6" fillId="2" borderId="2" pivotButton="0" quotePrefix="0" xfId="0"/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4" fontId="6" fillId="2" borderId="0" applyAlignment="1" pivotButton="0" quotePrefix="0" xfId="0">
      <alignment horizontal="right" vertical="center"/>
    </xf>
    <xf numFmtId="164" fontId="6" fillId="2" borderId="0" applyAlignment="1" pivotButton="0" quotePrefix="0" xfId="0">
      <alignment horizontal="right" vertical="center"/>
    </xf>
    <xf numFmtId="3" fontId="6" fillId="2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/>
    </xf>
    <xf numFmtId="4" fontId="5" fillId="4" borderId="0" applyAlignment="1" pivotButton="0" quotePrefix="0" xfId="0">
      <alignment horizontal="right" vertical="center"/>
    </xf>
    <xf numFmtId="0" fontId="5" fillId="5" borderId="0" applyAlignment="1" pivotButton="0" quotePrefix="0" xfId="0">
      <alignment horizontal="left" vertical="center"/>
    </xf>
    <xf numFmtId="4" fontId="5" fillId="5" borderId="0" applyAlignment="1" pivotButton="0" quotePrefix="0" xfId="0">
      <alignment horizontal="right" vertical="center"/>
    </xf>
    <xf numFmtId="0" fontId="5" fillId="0" borderId="0" pivotButton="0" quotePrefix="0" xfId="0"/>
    <xf numFmtId="4" fontId="0" fillId="0" borderId="0" applyAlignment="1" pivotButton="0" quotePrefix="0" xfId="0">
      <alignment horizontal="right" vertical="center"/>
    </xf>
    <xf numFmtId="0" fontId="6" fillId="2" borderId="0" pivotButton="0" quotePrefix="0" xfId="0"/>
    <xf numFmtId="4" fontId="0" fillId="2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2"/>
    </xf>
    <xf numFmtId="4" fontId="5" fillId="0" borderId="0" applyAlignment="1" pivotButton="0" quotePrefix="0" xfId="0">
      <alignment horizontal="right" vertical="center"/>
    </xf>
    <xf numFmtId="4" fontId="6" fillId="2" borderId="2" applyAlignment="1" pivotButton="0" quotePrefix="0" xfId="0">
      <alignment horizontal="right" vertical="center"/>
    </xf>
    <xf numFmtId="0" fontId="0" fillId="2" borderId="2" pivotButton="0" quotePrefix="0" xfId="0"/>
    <xf numFmtId="164" fontId="3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4" fontId="9" fillId="0" borderId="0" applyAlignment="1" pivotButton="0" quotePrefix="0" xfId="0">
      <alignment horizontal="right" vertical="center"/>
    </xf>
    <xf numFmtId="4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5">
    <dxf>
      <font>
        <color rgb="005FA67A"/>
      </font>
      <fill>
        <patternFill>
          <bgColor rgb="00E8F5E9"/>
        </patternFill>
      </fill>
    </dxf>
    <dxf>
      <font>
        <color rgb="00C2694B"/>
      </font>
      <fill>
        <patternFill>
          <bgColor rgb="00FDEDEC"/>
        </patternFill>
      </fill>
    </dxf>
    <dxf>
      <font>
        <color rgb="00B89B4A"/>
      </font>
      <fill>
        <patternFill>
          <bgColor rgb="00FEF9E7"/>
        </patternFill>
      </fill>
    </dxf>
    <dxf>
      <font>
        <color rgb="001B2A4A"/>
      </font>
      <fill>
        <patternFill patternType="solid">
          <fgColor rgb="00D6E4F0"/>
        </patternFill>
      </fill>
    </dxf>
    <dxf>
      <font>
        <color rgb="00B89B4A"/>
      </font>
      <fill>
        <patternFill patternType="solid">
          <fgColor rgb="00FEF9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Occupancy Rate by Building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'Dashboard'!C8</f>
            </strRef>
          </tx>
          <spPr>
            <a:solidFill xmlns:a="http://schemas.openxmlformats.org/drawingml/2006/main">
              <a:srgbClr val="2D4A3E"/>
            </a:solidFill>
            <a:ln xmlns:a="http://schemas.openxmlformats.org/drawingml/2006/main">
              <a:solidFill>
                <a:srgbClr val="2D4A3E"/>
              </a:solidFill>
              <a:prstDash val="solid"/>
            </a:ln>
          </spPr>
          <cat>
            <numRef>
              <f>'Dashboard'!$B$9:$B$12</f>
            </numRef>
          </cat>
          <val>
            <numRef>
              <f>'Dashboard'!$C$9:$C$12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Building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Rate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Monthly 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'Dashboard'!C15</f>
            </strRef>
          </tx>
          <spPr>
            <a:solidFill xmlns:a="http://schemas.openxmlformats.org/drawingml/2006/main">
              <a:srgbClr val="2D4A3E"/>
            </a:solidFill>
            <a:ln xmlns:a="http://schemas.openxmlformats.org/drawingml/2006/main">
              <a:solidFill>
                <a:srgbClr val="2D4A3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'Dashboard'!$B$16:$B$27</f>
            </numRef>
          </cat>
          <val>
            <numRef>
              <f>'Dashboard'!$C$16:$C$27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Revenue 
(AED)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Expense Breakdown</a:t>
            </a:r>
          </a:p>
        </rich>
      </tx>
    </title>
    <plotArea>
      <pieChart>
        <varyColors val="1"/>
        <ser>
          <idx val="0"/>
          <order val="0"/>
          <tx>
            <strRef>
              <f>'Dashboard'!C29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4A3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FA67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89B4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2694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A9B8C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D4A3E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5FA67A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89B4A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2694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7A9B8C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2D4A3E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5FA67A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89B4A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'Dashboard'!$B$30:$B$42</f>
            </numRef>
          </cat>
          <val>
            <numRef>
              <f>'Dashboard'!$C$30:$C$42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Unit Type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'Dashboard'!C44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4A3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FA67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89B4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2694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A9B8C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D4A3E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'Dashboard'!$B$45:$B$50</f>
            </numRef>
          </cat>
          <val>
            <numRef>
              <f>'Dashboard'!$C$45:$C$50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vs Vacancy Loss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 Analysis'!C15</f>
            </strRef>
          </tx>
          <spPr>
            <a:solidFill xmlns:a="http://schemas.openxmlformats.org/drawingml/2006/main">
              <a:srgbClr val="2D4A3E"/>
            </a:solidFill>
            <a:ln xmlns:a="http://schemas.openxmlformats.org/drawingml/2006/main">
              <a:solidFill>
                <a:srgbClr val="2D4A3E"/>
              </a:solidFill>
              <a:prstDash val="solid"/>
            </a:ln>
          </spPr>
          <cat>
            <numRef>
              <f>'Revenue Analysis'!$B$16:$B$19</f>
            </numRef>
          </cat>
          <val>
            <numRef>
              <f>'Revenue Analysis'!$C$16:$C$19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Amount 
(AED)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52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69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86</row>
      <rowOff>0</rowOff>
    </from>
    <ext cx="50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86</row>
      <rowOff>0</rowOff>
    </from>
    <ext cx="50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N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15" customHeight="1"/>
    <row r="2" ht="32" customHeight="1">
      <c r="B2" s="1" t="inlineStr">
        <is>
          <t>Al Reef Al Janoubi — Real Estate Dashboard</t>
        </is>
      </c>
    </row>
    <row r="3" ht="8" customHeight="1"/>
    <row r="4" ht="8" customHeight="1"/>
    <row r="5" ht="38" customHeight="1">
      <c r="B5" s="2">
        <f>IFERROR(COUNTA('Property Registry'!B5:B154)-COUNTBLANK('Property Registry'!B5:B154),0)</f>
        <v/>
      </c>
      <c r="C5" s="3" t="n"/>
      <c r="D5" s="2">
        <f>IFERROR(COUNTIF('Property Registry'!I5:I154,"Rented"),0)</f>
        <v/>
      </c>
      <c r="E5" s="3" t="n"/>
      <c r="F5" s="2">
        <f>IFERROR(COUNTIF('Property Registry'!I5:I154,"Vacant"),0)</f>
        <v/>
      </c>
      <c r="G5" s="3" t="n"/>
      <c r="H5" s="4">
        <f>IFERROR(COUNTIF('Property Registry'!I5:I154,"Rented")/COUNTA('Property Registry'!B5:B154),0)</f>
        <v/>
      </c>
      <c r="I5" s="3" t="n"/>
      <c r="J5" s="5">
        <f>IFERROR(SUM('Property Registry'!G5:G154),0)</f>
        <v/>
      </c>
      <c r="K5" s="3" t="n"/>
      <c r="L5" s="5">
        <f>IFERROR('Profit &amp; Loss'!C33,0)</f>
        <v/>
      </c>
      <c r="M5" s="3" t="n"/>
    </row>
    <row r="6" ht="20" customHeight="1">
      <c r="B6" s="6" t="inlineStr">
        <is>
          <t>Total Units</t>
        </is>
      </c>
      <c r="D6" s="6" t="inlineStr">
        <is>
          <t>Occupied Units</t>
        </is>
      </c>
      <c r="F6" s="6" t="inlineStr">
        <is>
          <t>Vacant Units</t>
        </is>
      </c>
      <c r="H6" s="6" t="inlineStr">
        <is>
          <t>Occupancy Rate</t>
        </is>
      </c>
      <c r="J6" s="6" t="inlineStr">
        <is>
          <t>Monthly Revenue</t>
        </is>
      </c>
      <c r="L6" s="6" t="inlineStr">
        <is>
          <t>Net Profit</t>
        </is>
      </c>
    </row>
    <row r="8">
      <c r="B8" s="7" t="inlineStr">
        <is>
          <t>Building</t>
        </is>
      </c>
      <c r="C8" s="7" t="inlineStr">
        <is>
          <t>Occupancy Rate</t>
        </is>
      </c>
    </row>
    <row r="9">
      <c r="B9" s="7" t="inlineStr">
        <is>
          <t>Building A</t>
        </is>
      </c>
      <c r="C9" s="8">
        <f>IFERROR(COUNTIF('Property Registry'!C5:C154,"Building A")/COUNTIF('Property Registry'!C5:C154,"Building A"),0)</f>
        <v/>
      </c>
    </row>
    <row r="10">
      <c r="B10" s="7" t="inlineStr">
        <is>
          <t>Building B</t>
        </is>
      </c>
      <c r="C10" s="8">
        <f>IFERROR(COUNTIF('Property Registry'!C5:C154,"Building B")/COUNTIF('Property Registry'!C5:C154,"Building B"),0)</f>
        <v/>
      </c>
    </row>
    <row r="11">
      <c r="B11" s="7" t="inlineStr">
        <is>
          <t>Building C</t>
        </is>
      </c>
      <c r="C11" s="8">
        <f>IFERROR(COUNTIF('Property Registry'!C5:C154,"Building C")/COUNTIF('Property Registry'!C5:C154,"Building C"),0)</f>
        <v/>
      </c>
    </row>
    <row r="12">
      <c r="B12" s="7" t="inlineStr">
        <is>
          <t>Building D</t>
        </is>
      </c>
      <c r="C12" s="8">
        <f>IFERROR(COUNTIF('Property Registry'!C5:C154,"Building D")/COUNTIF('Property Registry'!C5:C154,"Building D"),0)</f>
        <v/>
      </c>
    </row>
    <row r="15">
      <c r="B15" s="7" t="inlineStr">
        <is>
          <t>Month</t>
        </is>
      </c>
      <c r="C15" s="7" t="inlineStr">
        <is>
          <t>Revenue</t>
        </is>
      </c>
    </row>
    <row r="16">
      <c r="B16" s="7" t="inlineStr">
        <is>
          <t>Jan</t>
        </is>
      </c>
      <c r="C16" s="9">
        <f>IFERROR('Revenue Analysis'!C5,0)</f>
        <v/>
      </c>
    </row>
    <row r="17">
      <c r="B17" s="7" t="inlineStr">
        <is>
          <t>Feb</t>
        </is>
      </c>
      <c r="C17" s="9">
        <f>IFERROR('Revenue Analysis'!C6,0)</f>
        <v/>
      </c>
    </row>
    <row r="18">
      <c r="B18" s="7" t="inlineStr">
        <is>
          <t>Mar</t>
        </is>
      </c>
      <c r="C18" s="9">
        <f>IFERROR('Revenue Analysis'!C7,0)</f>
        <v/>
      </c>
    </row>
    <row r="19">
      <c r="B19" s="7" t="inlineStr">
        <is>
          <t>Apr</t>
        </is>
      </c>
      <c r="C19" s="9">
        <f>IFERROR('Revenue Analysis'!C8,0)</f>
        <v/>
      </c>
    </row>
    <row r="20">
      <c r="B20" s="7" t="inlineStr">
        <is>
          <t>May</t>
        </is>
      </c>
      <c r="C20" s="9">
        <f>IFERROR('Revenue Analysis'!C9,0)</f>
        <v/>
      </c>
    </row>
    <row r="21">
      <c r="B21" s="7" t="inlineStr">
        <is>
          <t>Jun</t>
        </is>
      </c>
      <c r="C21" s="9">
        <f>IFERROR('Revenue Analysis'!C10,0)</f>
        <v/>
      </c>
    </row>
    <row r="22">
      <c r="B22" s="7" t="inlineStr">
        <is>
          <t>Jul</t>
        </is>
      </c>
      <c r="C22" s="9">
        <f>IFERROR('Revenue Analysis'!C11,0)</f>
        <v/>
      </c>
    </row>
    <row r="23">
      <c r="B23" s="7" t="inlineStr">
        <is>
          <t>Aug</t>
        </is>
      </c>
      <c r="C23" s="9">
        <f>IFERROR('Revenue Analysis'!C12,0)</f>
        <v/>
      </c>
    </row>
    <row r="24">
      <c r="B24" s="7" t="inlineStr">
        <is>
          <t>Sep</t>
        </is>
      </c>
      <c r="C24" s="9">
        <f>IFERROR('Revenue Analysis'!C13,0)</f>
        <v/>
      </c>
    </row>
    <row r="25">
      <c r="B25" s="7" t="inlineStr">
        <is>
          <t>Oct</t>
        </is>
      </c>
      <c r="C25" s="9">
        <f>IFERROR('Revenue Analysis'!C14,0)</f>
        <v/>
      </c>
    </row>
    <row r="26">
      <c r="B26" s="7" t="inlineStr">
        <is>
          <t>Nov</t>
        </is>
      </c>
      <c r="C26" s="9">
        <f>IFERROR('Revenue Analysis'!C15,0)</f>
        <v/>
      </c>
    </row>
    <row r="27">
      <c r="B27" s="7" t="inlineStr">
        <is>
          <t>Dec</t>
        </is>
      </c>
      <c r="C27" s="9">
        <f>IFERROR('Revenue Analysis'!C16,0)</f>
        <v/>
      </c>
    </row>
    <row r="29">
      <c r="B29" s="7" t="inlineStr">
        <is>
          <t>Category</t>
        </is>
      </c>
      <c r="C29" s="7" t="inlineStr">
        <is>
          <t>Amount</t>
        </is>
      </c>
    </row>
    <row r="30">
      <c r="B30" s="7" t="inlineStr">
        <is>
          <t>Manpower/Staff</t>
        </is>
      </c>
      <c r="C30" s="9">
        <f>IFERROR(SUMPRODUCT(('Expenses'!C5:C304="Manpower/Staff")*('Expenses'!E5:E304)),0)</f>
        <v/>
      </c>
    </row>
    <row r="31">
      <c r="B31" s="7" t="inlineStr">
        <is>
          <t>Municipality Fees</t>
        </is>
      </c>
      <c r="C31" s="9">
        <f>IFERROR(SUMPRODUCT(('Expenses'!C5:C304="Municipality Fees")*('Expenses'!E5:E304)),0)</f>
        <v/>
      </c>
    </row>
    <row r="32">
      <c r="B32" s="7" t="inlineStr">
        <is>
          <t>Maintenance</t>
        </is>
      </c>
      <c r="C32" s="9">
        <f>IFERROR(SUMPRODUCT(('Expenses'!C5:C304="Maintenance")*('Expenses'!E5:E304)),0)</f>
        <v/>
      </c>
    </row>
    <row r="33">
      <c r="B33" s="7" t="inlineStr">
        <is>
          <t>Leasing Commission</t>
        </is>
      </c>
      <c r="C33" s="9">
        <f>IFERROR(SUMPRODUCT(('Expenses'!C5:C304="Leasing Commission")*('Expenses'!E5:E304)),0)</f>
        <v/>
      </c>
    </row>
    <row r="34">
      <c r="B34" s="7" t="inlineStr">
        <is>
          <t>Insurance</t>
        </is>
      </c>
      <c r="C34" s="9">
        <f>IFERROR(SUMPRODUCT(('Expenses'!C5:C304="Insurance")*('Expenses'!E5:E304)),0)</f>
        <v/>
      </c>
    </row>
    <row r="35">
      <c r="B35" s="7" t="inlineStr">
        <is>
          <t>Utilities</t>
        </is>
      </c>
      <c r="C35" s="9">
        <f>IFERROR(SUMPRODUCT(('Expenses'!C5:C304="Utilities")*('Expenses'!E5:E304)),0)</f>
        <v/>
      </c>
    </row>
    <row r="36">
      <c r="B36" s="7" t="inlineStr">
        <is>
          <t>Marketing</t>
        </is>
      </c>
      <c r="C36" s="9">
        <f>IFERROR(SUMPRODUCT(('Expenses'!C5:C304="Marketing")*('Expenses'!E5:E304)),0)</f>
        <v/>
      </c>
    </row>
    <row r="37">
      <c r="B37" s="7" t="inlineStr">
        <is>
          <t>Legal</t>
        </is>
      </c>
      <c r="C37" s="9">
        <f>IFERROR(SUMPRODUCT(('Expenses'!C5:C304="Legal")*('Expenses'!E5:E304)),0)</f>
        <v/>
      </c>
    </row>
    <row r="38">
      <c r="B38" s="7" t="inlineStr">
        <is>
          <t>Cleaning</t>
        </is>
      </c>
      <c r="C38" s="9">
        <f>IFERROR(SUMPRODUCT(('Expenses'!C5:C304="Cleaning")*('Expenses'!E5:E304)),0)</f>
        <v/>
      </c>
    </row>
    <row r="39">
      <c r="B39" s="7" t="inlineStr">
        <is>
          <t>Security</t>
        </is>
      </c>
      <c r="C39" s="9">
        <f>IFERROR(SUMPRODUCT(('Expenses'!C5:C304="Security")*('Expenses'!E5:E304)),0)</f>
        <v/>
      </c>
    </row>
    <row r="40">
      <c r="B40" s="7" t="inlineStr">
        <is>
          <t>Pest Control</t>
        </is>
      </c>
      <c r="C40" s="9">
        <f>IFERROR(SUMPRODUCT(('Expenses'!C5:C304="Pest Control")*('Expenses'!E5:E304)),0)</f>
        <v/>
      </c>
    </row>
    <row r="41">
      <c r="B41" s="7" t="inlineStr">
        <is>
          <t>Elevator Service</t>
        </is>
      </c>
      <c r="C41" s="9">
        <f>IFERROR(SUMPRODUCT(('Expenses'!C5:C304="Elevator Service")*('Expenses'!E5:E304)),0)</f>
        <v/>
      </c>
    </row>
    <row r="42">
      <c r="B42" s="7" t="inlineStr">
        <is>
          <t>Other</t>
        </is>
      </c>
      <c r="C42" s="9">
        <f>IFERROR(SUMPRODUCT(('Expenses'!C5:C304="Other")*('Expenses'!E5:E304)),0)</f>
        <v/>
      </c>
    </row>
    <row r="44">
      <c r="B44" s="7" t="inlineStr">
        <is>
          <t>Unit Type</t>
        </is>
      </c>
      <c r="C44" s="7" t="inlineStr">
        <is>
          <t>Count</t>
        </is>
      </c>
    </row>
    <row r="45">
      <c r="B45" s="7" t="inlineStr">
        <is>
          <t>Studio</t>
        </is>
      </c>
      <c r="C45" s="7">
        <f>IFERROR(COUNTIF('Property Registry'!E5:E154,"Studio"),0)</f>
        <v/>
      </c>
    </row>
    <row r="46">
      <c r="B46" s="7" t="inlineStr">
        <is>
          <t>1 Bedroom</t>
        </is>
      </c>
      <c r="C46" s="7">
        <f>IFERROR(COUNTIF('Property Registry'!E5:E154,"1 Bedroom"),0)</f>
        <v/>
      </c>
    </row>
    <row r="47">
      <c r="B47" s="7" t="inlineStr">
        <is>
          <t>2 Bedroom</t>
        </is>
      </c>
      <c r="C47" s="7">
        <f>IFERROR(COUNTIF('Property Registry'!E5:E154,"2 Bedroom"),0)</f>
        <v/>
      </c>
    </row>
    <row r="48">
      <c r="B48" s="7" t="inlineStr">
        <is>
          <t>3 Bedroom</t>
        </is>
      </c>
      <c r="C48" s="7">
        <f>IFERROR(COUNTIF('Property Registry'!E5:E154,"3 Bedroom"),0)</f>
        <v/>
      </c>
    </row>
    <row r="49">
      <c r="B49" s="7" t="inlineStr">
        <is>
          <t>Shop</t>
        </is>
      </c>
      <c r="C49" s="7">
        <f>IFERROR(COUNTIF('Property Registry'!E5:E154,"Shop"),0)</f>
        <v/>
      </c>
    </row>
    <row r="50">
      <c r="B50" s="7" t="inlineStr">
        <is>
          <t>Office</t>
        </is>
      </c>
      <c r="C50" s="7">
        <f>IFERROR(COUNTIF('Property Registry'!E5:E154,"Office"),0)</f>
        <v/>
      </c>
    </row>
  </sheetData>
  <mergeCells count="13">
    <mergeCell ref="D6:E6"/>
    <mergeCell ref="B6:C6"/>
    <mergeCell ref="H6:I6"/>
    <mergeCell ref="J5:K5"/>
    <mergeCell ref="J6:K6"/>
    <mergeCell ref="L6:M6"/>
    <mergeCell ref="B5:C5"/>
    <mergeCell ref="F5:G5"/>
    <mergeCell ref="D5:E5"/>
    <mergeCell ref="F6:G6"/>
    <mergeCell ref="H5:I5"/>
    <mergeCell ref="L5:M5"/>
    <mergeCell ref="B2:N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M1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4" customWidth="1" min="3" max="3"/>
    <col width="8" customWidth="1" min="4" max="4"/>
    <col width="14" customWidth="1" min="5" max="5"/>
    <col width="12" customWidth="1" min="6" max="6"/>
    <col width="18" customWidth="1" min="7" max="7"/>
    <col width="20" customWidth="1" min="8" max="8"/>
    <col width="16" customWidth="1" min="9" max="9"/>
    <col width="18" customWidth="1" min="10" max="10"/>
    <col width="14" customWidth="1" min="11" max="11"/>
    <col width="14" customWidth="1" min="12" max="12"/>
    <col width="24" customWidth="1" min="13" max="13"/>
  </cols>
  <sheetData>
    <row r="1" ht="15" customHeight="1"/>
    <row r="2" ht="32" customHeight="1">
      <c r="B2" s="1" t="inlineStr">
        <is>
          <t>Property Registry — Unit Master List</t>
        </is>
      </c>
    </row>
    <row r="3" ht="8" customHeight="1"/>
    <row r="4" ht="28" customHeight="1">
      <c r="B4" s="10" t="inlineStr">
        <is>
          <t>Unit ID</t>
        </is>
      </c>
      <c r="C4" s="10" t="inlineStr">
        <is>
          <t>Building</t>
        </is>
      </c>
      <c r="D4" s="10" t="inlineStr">
        <is>
          <t>Floor</t>
        </is>
      </c>
      <c r="E4" s="10" t="inlineStr">
        <is>
          <t>Unit Type</t>
        </is>
      </c>
      <c r="F4" s="10" t="inlineStr">
        <is>
          <t>Size (sqft)</t>
        </is>
      </c>
      <c r="G4" s="10" t="inlineStr">
        <is>
          <t>Monthly Rent (AED)</t>
        </is>
      </c>
      <c r="H4" s="10" t="inlineStr">
        <is>
          <t>Municipality Fee (AED)</t>
        </is>
      </c>
      <c r="I4" s="10" t="inlineStr">
        <is>
          <t>Status</t>
        </is>
      </c>
      <c r="J4" s="10" t="inlineStr">
        <is>
          <t>Current Tenant</t>
        </is>
      </c>
      <c r="K4" s="10" t="inlineStr">
        <is>
          <t>Contract Start</t>
        </is>
      </c>
      <c r="L4" s="10" t="inlineStr">
        <is>
          <t>Contract End</t>
        </is>
      </c>
      <c r="M4" s="10" t="inlineStr">
        <is>
          <t>Notes</t>
        </is>
      </c>
    </row>
    <row r="5" ht="22" customHeight="1">
      <c r="B5" s="11" t="n"/>
      <c r="C5" s="11" t="n"/>
      <c r="D5" s="11" t="n"/>
      <c r="E5" s="11" t="n"/>
      <c r="F5" s="12" t="n"/>
      <c r="G5" s="13" t="n"/>
      <c r="H5" s="13">
        <f>IFERROR(G5*0.05,0)</f>
        <v/>
      </c>
      <c r="I5" s="11" t="n"/>
      <c r="J5" s="14" t="n"/>
      <c r="K5" s="14" t="n"/>
      <c r="L5" s="11" t="n"/>
      <c r="M5" s="11" t="n"/>
    </row>
    <row r="6" ht="22" customHeight="1">
      <c r="B6" s="15" t="n"/>
      <c r="C6" s="15" t="n"/>
      <c r="D6" s="15" t="n"/>
      <c r="E6" s="15" t="n"/>
      <c r="F6" s="16" t="n"/>
      <c r="G6" s="17" t="n"/>
      <c r="H6" s="17">
        <f>IFERROR(G6*0.05,0)</f>
        <v/>
      </c>
      <c r="I6" s="15" t="n"/>
      <c r="J6" s="18" t="n"/>
      <c r="K6" s="18" t="n"/>
      <c r="L6" s="15" t="n"/>
      <c r="M6" s="15" t="n"/>
    </row>
    <row r="7" ht="22" customHeight="1">
      <c r="B7" s="11" t="n"/>
      <c r="C7" s="11" t="n"/>
      <c r="D7" s="11" t="n"/>
      <c r="E7" s="11" t="n"/>
      <c r="F7" s="12" t="n"/>
      <c r="G7" s="13" t="n"/>
      <c r="H7" s="13">
        <f>IFERROR(G7*0.05,0)</f>
        <v/>
      </c>
      <c r="I7" s="11" t="n"/>
      <c r="J7" s="14" t="n"/>
      <c r="K7" s="14" t="n"/>
      <c r="L7" s="11" t="n"/>
      <c r="M7" s="11" t="n"/>
    </row>
    <row r="8" ht="22" customHeight="1">
      <c r="B8" s="15" t="n"/>
      <c r="C8" s="15" t="n"/>
      <c r="D8" s="15" t="n"/>
      <c r="E8" s="15" t="n"/>
      <c r="F8" s="16" t="n"/>
      <c r="G8" s="17" t="n"/>
      <c r="H8" s="17">
        <f>IFERROR(G8*0.05,0)</f>
        <v/>
      </c>
      <c r="I8" s="15" t="n"/>
      <c r="J8" s="18" t="n"/>
      <c r="K8" s="18" t="n"/>
      <c r="L8" s="15" t="n"/>
      <c r="M8" s="15" t="n"/>
    </row>
    <row r="9" ht="22" customHeight="1">
      <c r="B9" s="11" t="n"/>
      <c r="C9" s="11" t="n"/>
      <c r="D9" s="11" t="n"/>
      <c r="E9" s="11" t="n"/>
      <c r="F9" s="12" t="n"/>
      <c r="G9" s="13" t="n"/>
      <c r="H9" s="13">
        <f>IFERROR(G9*0.05,0)</f>
        <v/>
      </c>
      <c r="I9" s="11" t="n"/>
      <c r="J9" s="14" t="n"/>
      <c r="K9" s="14" t="n"/>
      <c r="L9" s="11" t="n"/>
      <c r="M9" s="11" t="n"/>
    </row>
    <row r="10" ht="22" customHeight="1">
      <c r="B10" s="15" t="n"/>
      <c r="C10" s="15" t="n"/>
      <c r="D10" s="15" t="n"/>
      <c r="E10" s="15" t="n"/>
      <c r="F10" s="16" t="n"/>
      <c r="G10" s="17" t="n"/>
      <c r="H10" s="17">
        <f>IFERROR(G10*0.05,0)</f>
        <v/>
      </c>
      <c r="I10" s="15" t="n"/>
      <c r="J10" s="18" t="n"/>
      <c r="K10" s="18" t="n"/>
      <c r="L10" s="15" t="n"/>
      <c r="M10" s="15" t="n"/>
    </row>
    <row r="11" ht="22" customHeight="1">
      <c r="B11" s="11" t="n"/>
      <c r="C11" s="11" t="n"/>
      <c r="D11" s="11" t="n"/>
      <c r="E11" s="11" t="n"/>
      <c r="F11" s="12" t="n"/>
      <c r="G11" s="13" t="n"/>
      <c r="H11" s="13">
        <f>IFERROR(G11*0.05,0)</f>
        <v/>
      </c>
      <c r="I11" s="11" t="n"/>
      <c r="J11" s="14" t="n"/>
      <c r="K11" s="14" t="n"/>
      <c r="L11" s="11" t="n"/>
      <c r="M11" s="11" t="n"/>
    </row>
    <row r="12" ht="22" customHeight="1">
      <c r="B12" s="15" t="n"/>
      <c r="C12" s="15" t="n"/>
      <c r="D12" s="15" t="n"/>
      <c r="E12" s="15" t="n"/>
      <c r="F12" s="16" t="n"/>
      <c r="G12" s="17" t="n"/>
      <c r="H12" s="17">
        <f>IFERROR(G12*0.05,0)</f>
        <v/>
      </c>
      <c r="I12" s="15" t="n"/>
      <c r="J12" s="18" t="n"/>
      <c r="K12" s="18" t="n"/>
      <c r="L12" s="15" t="n"/>
      <c r="M12" s="15" t="n"/>
    </row>
    <row r="13" ht="22" customHeight="1">
      <c r="B13" s="11" t="n"/>
      <c r="C13" s="11" t="n"/>
      <c r="D13" s="11" t="n"/>
      <c r="E13" s="11" t="n"/>
      <c r="F13" s="12" t="n"/>
      <c r="G13" s="13" t="n"/>
      <c r="H13" s="13">
        <f>IFERROR(G13*0.05,0)</f>
        <v/>
      </c>
      <c r="I13" s="11" t="n"/>
      <c r="J13" s="14" t="n"/>
      <c r="K13" s="14" t="n"/>
      <c r="L13" s="11" t="n"/>
      <c r="M13" s="11" t="n"/>
    </row>
    <row r="14" ht="22" customHeight="1">
      <c r="B14" s="15" t="n"/>
      <c r="C14" s="15" t="n"/>
      <c r="D14" s="15" t="n"/>
      <c r="E14" s="15" t="n"/>
      <c r="F14" s="16" t="n"/>
      <c r="G14" s="17" t="n"/>
      <c r="H14" s="17">
        <f>IFERROR(G14*0.05,0)</f>
        <v/>
      </c>
      <c r="I14" s="15" t="n"/>
      <c r="J14" s="18" t="n"/>
      <c r="K14" s="18" t="n"/>
      <c r="L14" s="15" t="n"/>
      <c r="M14" s="15" t="n"/>
    </row>
    <row r="15" ht="22" customHeight="1">
      <c r="B15" s="11" t="n"/>
      <c r="C15" s="11" t="n"/>
      <c r="D15" s="11" t="n"/>
      <c r="E15" s="11" t="n"/>
      <c r="F15" s="12" t="n"/>
      <c r="G15" s="13" t="n"/>
      <c r="H15" s="13">
        <f>IFERROR(G15*0.05,0)</f>
        <v/>
      </c>
      <c r="I15" s="11" t="n"/>
      <c r="J15" s="14" t="n"/>
      <c r="K15" s="14" t="n"/>
      <c r="L15" s="11" t="n"/>
      <c r="M15" s="11" t="n"/>
    </row>
    <row r="16" ht="22" customHeight="1">
      <c r="B16" s="15" t="n"/>
      <c r="C16" s="15" t="n"/>
      <c r="D16" s="15" t="n"/>
      <c r="E16" s="15" t="n"/>
      <c r="F16" s="16" t="n"/>
      <c r="G16" s="17" t="n"/>
      <c r="H16" s="17">
        <f>IFERROR(G16*0.05,0)</f>
        <v/>
      </c>
      <c r="I16" s="15" t="n"/>
      <c r="J16" s="18" t="n"/>
      <c r="K16" s="18" t="n"/>
      <c r="L16" s="15" t="n"/>
      <c r="M16" s="15" t="n"/>
    </row>
    <row r="17" ht="22" customHeight="1">
      <c r="B17" s="11" t="n"/>
      <c r="C17" s="11" t="n"/>
      <c r="D17" s="11" t="n"/>
      <c r="E17" s="11" t="n"/>
      <c r="F17" s="12" t="n"/>
      <c r="G17" s="13" t="n"/>
      <c r="H17" s="13">
        <f>IFERROR(G17*0.05,0)</f>
        <v/>
      </c>
      <c r="I17" s="11" t="n"/>
      <c r="J17" s="14" t="n"/>
      <c r="K17" s="14" t="n"/>
      <c r="L17" s="11" t="n"/>
      <c r="M17" s="11" t="n"/>
    </row>
    <row r="18" ht="22" customHeight="1">
      <c r="B18" s="15" t="n"/>
      <c r="C18" s="15" t="n"/>
      <c r="D18" s="15" t="n"/>
      <c r="E18" s="15" t="n"/>
      <c r="F18" s="16" t="n"/>
      <c r="G18" s="17" t="n"/>
      <c r="H18" s="17">
        <f>IFERROR(G18*0.05,0)</f>
        <v/>
      </c>
      <c r="I18" s="15" t="n"/>
      <c r="J18" s="18" t="n"/>
      <c r="K18" s="18" t="n"/>
      <c r="L18" s="15" t="n"/>
      <c r="M18" s="15" t="n"/>
    </row>
    <row r="19" ht="22" customHeight="1">
      <c r="B19" s="11" t="n"/>
      <c r="C19" s="11" t="n"/>
      <c r="D19" s="11" t="n"/>
      <c r="E19" s="11" t="n"/>
      <c r="F19" s="12" t="n"/>
      <c r="G19" s="13" t="n"/>
      <c r="H19" s="13">
        <f>IFERROR(G19*0.05,0)</f>
        <v/>
      </c>
      <c r="I19" s="11" t="n"/>
      <c r="J19" s="14" t="n"/>
      <c r="K19" s="14" t="n"/>
      <c r="L19" s="11" t="n"/>
      <c r="M19" s="11" t="n"/>
    </row>
    <row r="20" ht="22" customHeight="1">
      <c r="B20" s="15" t="n"/>
      <c r="C20" s="15" t="n"/>
      <c r="D20" s="15" t="n"/>
      <c r="E20" s="15" t="n"/>
      <c r="F20" s="16" t="n"/>
      <c r="G20" s="17" t="n"/>
      <c r="H20" s="17">
        <f>IFERROR(G20*0.05,0)</f>
        <v/>
      </c>
      <c r="I20" s="15" t="n"/>
      <c r="J20" s="18" t="n"/>
      <c r="K20" s="18" t="n"/>
      <c r="L20" s="15" t="n"/>
      <c r="M20" s="15" t="n"/>
    </row>
    <row r="21" ht="22" customHeight="1">
      <c r="B21" s="11" t="n"/>
      <c r="C21" s="11" t="n"/>
      <c r="D21" s="11" t="n"/>
      <c r="E21" s="11" t="n"/>
      <c r="F21" s="12" t="n"/>
      <c r="G21" s="13" t="n"/>
      <c r="H21" s="13">
        <f>IFERROR(G21*0.05,0)</f>
        <v/>
      </c>
      <c r="I21" s="11" t="n"/>
      <c r="J21" s="14" t="n"/>
      <c r="K21" s="14" t="n"/>
      <c r="L21" s="11" t="n"/>
      <c r="M21" s="11" t="n"/>
    </row>
    <row r="22" ht="22" customHeight="1">
      <c r="B22" s="15" t="n"/>
      <c r="C22" s="15" t="n"/>
      <c r="D22" s="15" t="n"/>
      <c r="E22" s="15" t="n"/>
      <c r="F22" s="16" t="n"/>
      <c r="G22" s="17" t="n"/>
      <c r="H22" s="17">
        <f>IFERROR(G22*0.05,0)</f>
        <v/>
      </c>
      <c r="I22" s="15" t="n"/>
      <c r="J22" s="18" t="n"/>
      <c r="K22" s="18" t="n"/>
      <c r="L22" s="15" t="n"/>
      <c r="M22" s="15" t="n"/>
    </row>
    <row r="23" ht="22" customHeight="1">
      <c r="B23" s="11" t="n"/>
      <c r="C23" s="11" t="n"/>
      <c r="D23" s="11" t="n"/>
      <c r="E23" s="11" t="n"/>
      <c r="F23" s="12" t="n"/>
      <c r="G23" s="13" t="n"/>
      <c r="H23" s="13">
        <f>IFERROR(G23*0.05,0)</f>
        <v/>
      </c>
      <c r="I23" s="11" t="n"/>
      <c r="J23" s="14" t="n"/>
      <c r="K23" s="14" t="n"/>
      <c r="L23" s="11" t="n"/>
      <c r="M23" s="11" t="n"/>
    </row>
    <row r="24" ht="22" customHeight="1">
      <c r="B24" s="15" t="n"/>
      <c r="C24" s="15" t="n"/>
      <c r="D24" s="15" t="n"/>
      <c r="E24" s="15" t="n"/>
      <c r="F24" s="16" t="n"/>
      <c r="G24" s="17" t="n"/>
      <c r="H24" s="17">
        <f>IFERROR(G24*0.05,0)</f>
        <v/>
      </c>
      <c r="I24" s="15" t="n"/>
      <c r="J24" s="18" t="n"/>
      <c r="K24" s="18" t="n"/>
      <c r="L24" s="15" t="n"/>
      <c r="M24" s="15" t="n"/>
    </row>
    <row r="25" ht="22" customHeight="1">
      <c r="B25" s="11" t="n"/>
      <c r="C25" s="11" t="n"/>
      <c r="D25" s="11" t="n"/>
      <c r="E25" s="11" t="n"/>
      <c r="F25" s="12" t="n"/>
      <c r="G25" s="13" t="n"/>
      <c r="H25" s="13">
        <f>IFERROR(G25*0.05,0)</f>
        <v/>
      </c>
      <c r="I25" s="11" t="n"/>
      <c r="J25" s="14" t="n"/>
      <c r="K25" s="14" t="n"/>
      <c r="L25" s="11" t="n"/>
      <c r="M25" s="11" t="n"/>
    </row>
    <row r="26" ht="22" customHeight="1">
      <c r="B26" s="15" t="n"/>
      <c r="C26" s="15" t="n"/>
      <c r="D26" s="15" t="n"/>
      <c r="E26" s="15" t="n"/>
      <c r="F26" s="16" t="n"/>
      <c r="G26" s="17" t="n"/>
      <c r="H26" s="17">
        <f>IFERROR(G26*0.05,0)</f>
        <v/>
      </c>
      <c r="I26" s="15" t="n"/>
      <c r="J26" s="18" t="n"/>
      <c r="K26" s="18" t="n"/>
      <c r="L26" s="15" t="n"/>
      <c r="M26" s="15" t="n"/>
    </row>
    <row r="27" ht="22" customHeight="1">
      <c r="B27" s="11" t="n"/>
      <c r="C27" s="11" t="n"/>
      <c r="D27" s="11" t="n"/>
      <c r="E27" s="11" t="n"/>
      <c r="F27" s="12" t="n"/>
      <c r="G27" s="13" t="n"/>
      <c r="H27" s="13">
        <f>IFERROR(G27*0.05,0)</f>
        <v/>
      </c>
      <c r="I27" s="11" t="n"/>
      <c r="J27" s="14" t="n"/>
      <c r="K27" s="14" t="n"/>
      <c r="L27" s="11" t="n"/>
      <c r="M27" s="11" t="n"/>
    </row>
    <row r="28" ht="22" customHeight="1">
      <c r="B28" s="15" t="n"/>
      <c r="C28" s="15" t="n"/>
      <c r="D28" s="15" t="n"/>
      <c r="E28" s="15" t="n"/>
      <c r="F28" s="16" t="n"/>
      <c r="G28" s="17" t="n"/>
      <c r="H28" s="17">
        <f>IFERROR(G28*0.05,0)</f>
        <v/>
      </c>
      <c r="I28" s="15" t="n"/>
      <c r="J28" s="18" t="n"/>
      <c r="K28" s="18" t="n"/>
      <c r="L28" s="15" t="n"/>
      <c r="M28" s="15" t="n"/>
    </row>
    <row r="29" ht="22" customHeight="1">
      <c r="B29" s="11" t="n"/>
      <c r="C29" s="11" t="n"/>
      <c r="D29" s="11" t="n"/>
      <c r="E29" s="11" t="n"/>
      <c r="F29" s="12" t="n"/>
      <c r="G29" s="13" t="n"/>
      <c r="H29" s="13">
        <f>IFERROR(G29*0.05,0)</f>
        <v/>
      </c>
      <c r="I29" s="11" t="n"/>
      <c r="J29" s="14" t="n"/>
      <c r="K29" s="14" t="n"/>
      <c r="L29" s="11" t="n"/>
      <c r="M29" s="11" t="n"/>
    </row>
    <row r="30" ht="22" customHeight="1">
      <c r="B30" s="15" t="n"/>
      <c r="C30" s="15" t="n"/>
      <c r="D30" s="15" t="n"/>
      <c r="E30" s="15" t="n"/>
      <c r="F30" s="16" t="n"/>
      <c r="G30" s="17" t="n"/>
      <c r="H30" s="17">
        <f>IFERROR(G30*0.05,0)</f>
        <v/>
      </c>
      <c r="I30" s="15" t="n"/>
      <c r="J30" s="18" t="n"/>
      <c r="K30" s="18" t="n"/>
      <c r="L30" s="15" t="n"/>
      <c r="M30" s="15" t="n"/>
    </row>
    <row r="31" ht="22" customHeight="1">
      <c r="B31" s="11" t="n"/>
      <c r="C31" s="11" t="n"/>
      <c r="D31" s="11" t="n"/>
      <c r="E31" s="11" t="n"/>
      <c r="F31" s="12" t="n"/>
      <c r="G31" s="13" t="n"/>
      <c r="H31" s="13">
        <f>IFERROR(G31*0.05,0)</f>
        <v/>
      </c>
      <c r="I31" s="11" t="n"/>
      <c r="J31" s="14" t="n"/>
      <c r="K31" s="14" t="n"/>
      <c r="L31" s="11" t="n"/>
      <c r="M31" s="11" t="n"/>
    </row>
    <row r="32" ht="22" customHeight="1">
      <c r="B32" s="15" t="n"/>
      <c r="C32" s="15" t="n"/>
      <c r="D32" s="15" t="n"/>
      <c r="E32" s="15" t="n"/>
      <c r="F32" s="16" t="n"/>
      <c r="G32" s="17" t="n"/>
      <c r="H32" s="17">
        <f>IFERROR(G32*0.05,0)</f>
        <v/>
      </c>
      <c r="I32" s="15" t="n"/>
      <c r="J32" s="18" t="n"/>
      <c r="K32" s="18" t="n"/>
      <c r="L32" s="15" t="n"/>
      <c r="M32" s="15" t="n"/>
    </row>
    <row r="33" ht="22" customHeight="1">
      <c r="B33" s="11" t="n"/>
      <c r="C33" s="11" t="n"/>
      <c r="D33" s="11" t="n"/>
      <c r="E33" s="11" t="n"/>
      <c r="F33" s="12" t="n"/>
      <c r="G33" s="13" t="n"/>
      <c r="H33" s="13">
        <f>IFERROR(G33*0.05,0)</f>
        <v/>
      </c>
      <c r="I33" s="11" t="n"/>
      <c r="J33" s="14" t="n"/>
      <c r="K33" s="14" t="n"/>
      <c r="L33" s="11" t="n"/>
      <c r="M33" s="11" t="n"/>
    </row>
    <row r="34" ht="22" customHeight="1">
      <c r="B34" s="15" t="n"/>
      <c r="C34" s="15" t="n"/>
      <c r="D34" s="15" t="n"/>
      <c r="E34" s="15" t="n"/>
      <c r="F34" s="16" t="n"/>
      <c r="G34" s="17" t="n"/>
      <c r="H34" s="17">
        <f>IFERROR(G34*0.05,0)</f>
        <v/>
      </c>
      <c r="I34" s="15" t="n"/>
      <c r="J34" s="18" t="n"/>
      <c r="K34" s="18" t="n"/>
      <c r="L34" s="15" t="n"/>
      <c r="M34" s="15" t="n"/>
    </row>
    <row r="35" ht="22" customHeight="1">
      <c r="B35" s="11" t="n"/>
      <c r="C35" s="11" t="n"/>
      <c r="D35" s="11" t="n"/>
      <c r="E35" s="11" t="n"/>
      <c r="F35" s="12" t="n"/>
      <c r="G35" s="13" t="n"/>
      <c r="H35" s="13">
        <f>IFERROR(G35*0.05,0)</f>
        <v/>
      </c>
      <c r="I35" s="11" t="n"/>
      <c r="J35" s="14" t="n"/>
      <c r="K35" s="14" t="n"/>
      <c r="L35" s="11" t="n"/>
      <c r="M35" s="11" t="n"/>
    </row>
    <row r="36" ht="22" customHeight="1">
      <c r="B36" s="15" t="n"/>
      <c r="C36" s="15" t="n"/>
      <c r="D36" s="15" t="n"/>
      <c r="E36" s="15" t="n"/>
      <c r="F36" s="16" t="n"/>
      <c r="G36" s="17" t="n"/>
      <c r="H36" s="17">
        <f>IFERROR(G36*0.05,0)</f>
        <v/>
      </c>
      <c r="I36" s="15" t="n"/>
      <c r="J36" s="18" t="n"/>
      <c r="K36" s="18" t="n"/>
      <c r="L36" s="15" t="n"/>
      <c r="M36" s="15" t="n"/>
    </row>
    <row r="37" ht="22" customHeight="1">
      <c r="B37" s="11" t="n"/>
      <c r="C37" s="11" t="n"/>
      <c r="D37" s="11" t="n"/>
      <c r="E37" s="11" t="n"/>
      <c r="F37" s="12" t="n"/>
      <c r="G37" s="13" t="n"/>
      <c r="H37" s="13">
        <f>IFERROR(G37*0.05,0)</f>
        <v/>
      </c>
      <c r="I37" s="11" t="n"/>
      <c r="J37" s="14" t="n"/>
      <c r="K37" s="14" t="n"/>
      <c r="L37" s="11" t="n"/>
      <c r="M37" s="11" t="n"/>
    </row>
    <row r="38" ht="22" customHeight="1">
      <c r="B38" s="15" t="n"/>
      <c r="C38" s="15" t="n"/>
      <c r="D38" s="15" t="n"/>
      <c r="E38" s="15" t="n"/>
      <c r="F38" s="16" t="n"/>
      <c r="G38" s="17" t="n"/>
      <c r="H38" s="17">
        <f>IFERROR(G38*0.05,0)</f>
        <v/>
      </c>
      <c r="I38" s="15" t="n"/>
      <c r="J38" s="18" t="n"/>
      <c r="K38" s="18" t="n"/>
      <c r="L38" s="15" t="n"/>
      <c r="M38" s="15" t="n"/>
    </row>
    <row r="39" ht="22" customHeight="1">
      <c r="B39" s="11" t="n"/>
      <c r="C39" s="11" t="n"/>
      <c r="D39" s="11" t="n"/>
      <c r="E39" s="11" t="n"/>
      <c r="F39" s="12" t="n"/>
      <c r="G39" s="13" t="n"/>
      <c r="H39" s="13">
        <f>IFERROR(G39*0.05,0)</f>
        <v/>
      </c>
      <c r="I39" s="11" t="n"/>
      <c r="J39" s="14" t="n"/>
      <c r="K39" s="14" t="n"/>
      <c r="L39" s="11" t="n"/>
      <c r="M39" s="11" t="n"/>
    </row>
    <row r="40" ht="22" customHeight="1">
      <c r="B40" s="15" t="n"/>
      <c r="C40" s="15" t="n"/>
      <c r="D40" s="15" t="n"/>
      <c r="E40" s="15" t="n"/>
      <c r="F40" s="16" t="n"/>
      <c r="G40" s="17" t="n"/>
      <c r="H40" s="17">
        <f>IFERROR(G40*0.05,0)</f>
        <v/>
      </c>
      <c r="I40" s="15" t="n"/>
      <c r="J40" s="18" t="n"/>
      <c r="K40" s="18" t="n"/>
      <c r="L40" s="15" t="n"/>
      <c r="M40" s="15" t="n"/>
    </row>
    <row r="41" ht="22" customHeight="1">
      <c r="B41" s="11" t="n"/>
      <c r="C41" s="11" t="n"/>
      <c r="D41" s="11" t="n"/>
      <c r="E41" s="11" t="n"/>
      <c r="F41" s="12" t="n"/>
      <c r="G41" s="13" t="n"/>
      <c r="H41" s="13">
        <f>IFERROR(G41*0.05,0)</f>
        <v/>
      </c>
      <c r="I41" s="11" t="n"/>
      <c r="J41" s="14" t="n"/>
      <c r="K41" s="14" t="n"/>
      <c r="L41" s="11" t="n"/>
      <c r="M41" s="11" t="n"/>
    </row>
    <row r="42" ht="22" customHeight="1">
      <c r="B42" s="15" t="n"/>
      <c r="C42" s="15" t="n"/>
      <c r="D42" s="15" t="n"/>
      <c r="E42" s="15" t="n"/>
      <c r="F42" s="16" t="n"/>
      <c r="G42" s="17" t="n"/>
      <c r="H42" s="17">
        <f>IFERROR(G42*0.05,0)</f>
        <v/>
      </c>
      <c r="I42" s="15" t="n"/>
      <c r="J42" s="18" t="n"/>
      <c r="K42" s="18" t="n"/>
      <c r="L42" s="15" t="n"/>
      <c r="M42" s="15" t="n"/>
    </row>
    <row r="43" ht="22" customHeight="1">
      <c r="B43" s="11" t="n"/>
      <c r="C43" s="11" t="n"/>
      <c r="D43" s="11" t="n"/>
      <c r="E43" s="11" t="n"/>
      <c r="F43" s="12" t="n"/>
      <c r="G43" s="13" t="n"/>
      <c r="H43" s="13">
        <f>IFERROR(G43*0.05,0)</f>
        <v/>
      </c>
      <c r="I43" s="11" t="n"/>
      <c r="J43" s="14" t="n"/>
      <c r="K43" s="14" t="n"/>
      <c r="L43" s="11" t="n"/>
      <c r="M43" s="11" t="n"/>
    </row>
    <row r="44" ht="22" customHeight="1">
      <c r="B44" s="15" t="n"/>
      <c r="C44" s="15" t="n"/>
      <c r="D44" s="15" t="n"/>
      <c r="E44" s="15" t="n"/>
      <c r="F44" s="16" t="n"/>
      <c r="G44" s="17" t="n"/>
      <c r="H44" s="17">
        <f>IFERROR(G44*0.05,0)</f>
        <v/>
      </c>
      <c r="I44" s="15" t="n"/>
      <c r="J44" s="18" t="n"/>
      <c r="K44" s="18" t="n"/>
      <c r="L44" s="15" t="n"/>
      <c r="M44" s="15" t="n"/>
    </row>
    <row r="45" ht="22" customHeight="1">
      <c r="B45" s="11" t="n"/>
      <c r="C45" s="11" t="n"/>
      <c r="D45" s="11" t="n"/>
      <c r="E45" s="11" t="n"/>
      <c r="F45" s="12" t="n"/>
      <c r="G45" s="13" t="n"/>
      <c r="H45" s="13">
        <f>IFERROR(G45*0.05,0)</f>
        <v/>
      </c>
      <c r="I45" s="11" t="n"/>
      <c r="J45" s="14" t="n"/>
      <c r="K45" s="14" t="n"/>
      <c r="L45" s="11" t="n"/>
      <c r="M45" s="11" t="n"/>
    </row>
    <row r="46" ht="22" customHeight="1">
      <c r="B46" s="15" t="n"/>
      <c r="C46" s="15" t="n"/>
      <c r="D46" s="15" t="n"/>
      <c r="E46" s="15" t="n"/>
      <c r="F46" s="16" t="n"/>
      <c r="G46" s="17" t="n"/>
      <c r="H46" s="17">
        <f>IFERROR(G46*0.05,0)</f>
        <v/>
      </c>
      <c r="I46" s="15" t="n"/>
      <c r="J46" s="18" t="n"/>
      <c r="K46" s="18" t="n"/>
      <c r="L46" s="15" t="n"/>
      <c r="M46" s="15" t="n"/>
    </row>
    <row r="47" ht="22" customHeight="1">
      <c r="B47" s="11" t="n"/>
      <c r="C47" s="11" t="n"/>
      <c r="D47" s="11" t="n"/>
      <c r="E47" s="11" t="n"/>
      <c r="F47" s="12" t="n"/>
      <c r="G47" s="13" t="n"/>
      <c r="H47" s="13">
        <f>IFERROR(G47*0.05,0)</f>
        <v/>
      </c>
      <c r="I47" s="11" t="n"/>
      <c r="J47" s="14" t="n"/>
      <c r="K47" s="14" t="n"/>
      <c r="L47" s="11" t="n"/>
      <c r="M47" s="11" t="n"/>
    </row>
    <row r="48" ht="22" customHeight="1">
      <c r="B48" s="15" t="n"/>
      <c r="C48" s="15" t="n"/>
      <c r="D48" s="15" t="n"/>
      <c r="E48" s="15" t="n"/>
      <c r="F48" s="16" t="n"/>
      <c r="G48" s="17" t="n"/>
      <c r="H48" s="17">
        <f>IFERROR(G48*0.05,0)</f>
        <v/>
      </c>
      <c r="I48" s="15" t="n"/>
      <c r="J48" s="18" t="n"/>
      <c r="K48" s="18" t="n"/>
      <c r="L48" s="15" t="n"/>
      <c r="M48" s="15" t="n"/>
    </row>
    <row r="49" ht="22" customHeight="1">
      <c r="B49" s="11" t="n"/>
      <c r="C49" s="11" t="n"/>
      <c r="D49" s="11" t="n"/>
      <c r="E49" s="11" t="n"/>
      <c r="F49" s="12" t="n"/>
      <c r="G49" s="13" t="n"/>
      <c r="H49" s="13">
        <f>IFERROR(G49*0.05,0)</f>
        <v/>
      </c>
      <c r="I49" s="11" t="n"/>
      <c r="J49" s="14" t="n"/>
      <c r="K49" s="14" t="n"/>
      <c r="L49" s="11" t="n"/>
      <c r="M49" s="11" t="n"/>
    </row>
    <row r="50" ht="22" customHeight="1">
      <c r="B50" s="15" t="n"/>
      <c r="C50" s="15" t="n"/>
      <c r="D50" s="15" t="n"/>
      <c r="E50" s="15" t="n"/>
      <c r="F50" s="16" t="n"/>
      <c r="G50" s="17" t="n"/>
      <c r="H50" s="17">
        <f>IFERROR(G50*0.05,0)</f>
        <v/>
      </c>
      <c r="I50" s="15" t="n"/>
      <c r="J50" s="18" t="n"/>
      <c r="K50" s="18" t="n"/>
      <c r="L50" s="15" t="n"/>
      <c r="M50" s="15" t="n"/>
    </row>
    <row r="51" ht="22" customHeight="1">
      <c r="B51" s="11" t="n"/>
      <c r="C51" s="11" t="n"/>
      <c r="D51" s="11" t="n"/>
      <c r="E51" s="11" t="n"/>
      <c r="F51" s="12" t="n"/>
      <c r="G51" s="13" t="n"/>
      <c r="H51" s="13">
        <f>IFERROR(G51*0.05,0)</f>
        <v/>
      </c>
      <c r="I51" s="11" t="n"/>
      <c r="J51" s="14" t="n"/>
      <c r="K51" s="14" t="n"/>
      <c r="L51" s="11" t="n"/>
      <c r="M51" s="11" t="n"/>
    </row>
    <row r="52" ht="22" customHeight="1">
      <c r="B52" s="15" t="n"/>
      <c r="C52" s="15" t="n"/>
      <c r="D52" s="15" t="n"/>
      <c r="E52" s="15" t="n"/>
      <c r="F52" s="16" t="n"/>
      <c r="G52" s="17" t="n"/>
      <c r="H52" s="17">
        <f>IFERROR(G52*0.05,0)</f>
        <v/>
      </c>
      <c r="I52" s="15" t="n"/>
      <c r="J52" s="18" t="n"/>
      <c r="K52" s="18" t="n"/>
      <c r="L52" s="15" t="n"/>
      <c r="M52" s="15" t="n"/>
    </row>
    <row r="53" ht="22" customHeight="1">
      <c r="B53" s="11" t="n"/>
      <c r="C53" s="11" t="n"/>
      <c r="D53" s="11" t="n"/>
      <c r="E53" s="11" t="n"/>
      <c r="F53" s="12" t="n"/>
      <c r="G53" s="13" t="n"/>
      <c r="H53" s="13">
        <f>IFERROR(G53*0.05,0)</f>
        <v/>
      </c>
      <c r="I53" s="11" t="n"/>
      <c r="J53" s="14" t="n"/>
      <c r="K53" s="14" t="n"/>
      <c r="L53" s="11" t="n"/>
      <c r="M53" s="11" t="n"/>
    </row>
    <row r="54" ht="22" customHeight="1">
      <c r="B54" s="15" t="n"/>
      <c r="C54" s="15" t="n"/>
      <c r="D54" s="15" t="n"/>
      <c r="E54" s="15" t="n"/>
      <c r="F54" s="16" t="n"/>
      <c r="G54" s="17" t="n"/>
      <c r="H54" s="17">
        <f>IFERROR(G54*0.05,0)</f>
        <v/>
      </c>
      <c r="I54" s="15" t="n"/>
      <c r="J54" s="18" t="n"/>
      <c r="K54" s="18" t="n"/>
      <c r="L54" s="15" t="n"/>
      <c r="M54" s="15" t="n"/>
    </row>
    <row r="55" ht="22" customHeight="1">
      <c r="B55" s="11" t="n"/>
      <c r="C55" s="11" t="n"/>
      <c r="D55" s="11" t="n"/>
      <c r="E55" s="11" t="n"/>
      <c r="F55" s="12" t="n"/>
      <c r="G55" s="13" t="n"/>
      <c r="H55" s="13">
        <f>IFERROR(G55*0.05,0)</f>
        <v/>
      </c>
      <c r="I55" s="11" t="n"/>
      <c r="J55" s="14" t="n"/>
      <c r="K55" s="14" t="n"/>
      <c r="L55" s="11" t="n"/>
      <c r="M55" s="11" t="n"/>
    </row>
    <row r="56" ht="22" customHeight="1">
      <c r="B56" s="15" t="n"/>
      <c r="C56" s="15" t="n"/>
      <c r="D56" s="15" t="n"/>
      <c r="E56" s="15" t="n"/>
      <c r="F56" s="16" t="n"/>
      <c r="G56" s="17" t="n"/>
      <c r="H56" s="17">
        <f>IFERROR(G56*0.05,0)</f>
        <v/>
      </c>
      <c r="I56" s="15" t="n"/>
      <c r="J56" s="18" t="n"/>
      <c r="K56" s="18" t="n"/>
      <c r="L56" s="15" t="n"/>
      <c r="M56" s="15" t="n"/>
    </row>
    <row r="57" ht="22" customHeight="1">
      <c r="B57" s="11" t="n"/>
      <c r="C57" s="11" t="n"/>
      <c r="D57" s="11" t="n"/>
      <c r="E57" s="11" t="n"/>
      <c r="F57" s="12" t="n"/>
      <c r="G57" s="13" t="n"/>
      <c r="H57" s="13">
        <f>IFERROR(G57*0.05,0)</f>
        <v/>
      </c>
      <c r="I57" s="11" t="n"/>
      <c r="J57" s="14" t="n"/>
      <c r="K57" s="14" t="n"/>
      <c r="L57" s="11" t="n"/>
      <c r="M57" s="11" t="n"/>
    </row>
    <row r="58" ht="22" customHeight="1">
      <c r="B58" s="15" t="n"/>
      <c r="C58" s="15" t="n"/>
      <c r="D58" s="15" t="n"/>
      <c r="E58" s="15" t="n"/>
      <c r="F58" s="16" t="n"/>
      <c r="G58" s="17" t="n"/>
      <c r="H58" s="17">
        <f>IFERROR(G58*0.05,0)</f>
        <v/>
      </c>
      <c r="I58" s="15" t="n"/>
      <c r="J58" s="18" t="n"/>
      <c r="K58" s="18" t="n"/>
      <c r="L58" s="15" t="n"/>
      <c r="M58" s="15" t="n"/>
    </row>
    <row r="59" ht="22" customHeight="1">
      <c r="B59" s="11" t="n"/>
      <c r="C59" s="11" t="n"/>
      <c r="D59" s="11" t="n"/>
      <c r="E59" s="11" t="n"/>
      <c r="F59" s="12" t="n"/>
      <c r="G59" s="13" t="n"/>
      <c r="H59" s="13">
        <f>IFERROR(G59*0.05,0)</f>
        <v/>
      </c>
      <c r="I59" s="11" t="n"/>
      <c r="J59" s="14" t="n"/>
      <c r="K59" s="14" t="n"/>
      <c r="L59" s="11" t="n"/>
      <c r="M59" s="11" t="n"/>
    </row>
    <row r="60" ht="22" customHeight="1">
      <c r="B60" s="15" t="n"/>
      <c r="C60" s="15" t="n"/>
      <c r="D60" s="15" t="n"/>
      <c r="E60" s="15" t="n"/>
      <c r="F60" s="16" t="n"/>
      <c r="G60" s="17" t="n"/>
      <c r="H60" s="17">
        <f>IFERROR(G60*0.05,0)</f>
        <v/>
      </c>
      <c r="I60" s="15" t="n"/>
      <c r="J60" s="18" t="n"/>
      <c r="K60" s="18" t="n"/>
      <c r="L60" s="15" t="n"/>
      <c r="M60" s="15" t="n"/>
    </row>
    <row r="61" ht="22" customHeight="1">
      <c r="B61" s="11" t="n"/>
      <c r="C61" s="11" t="n"/>
      <c r="D61" s="11" t="n"/>
      <c r="E61" s="11" t="n"/>
      <c r="F61" s="12" t="n"/>
      <c r="G61" s="13" t="n"/>
      <c r="H61" s="13">
        <f>IFERROR(G61*0.05,0)</f>
        <v/>
      </c>
      <c r="I61" s="11" t="n"/>
      <c r="J61" s="14" t="n"/>
      <c r="K61" s="14" t="n"/>
      <c r="L61" s="11" t="n"/>
      <c r="M61" s="11" t="n"/>
    </row>
    <row r="62" ht="22" customHeight="1">
      <c r="B62" s="15" t="n"/>
      <c r="C62" s="15" t="n"/>
      <c r="D62" s="15" t="n"/>
      <c r="E62" s="15" t="n"/>
      <c r="F62" s="16" t="n"/>
      <c r="G62" s="17" t="n"/>
      <c r="H62" s="17">
        <f>IFERROR(G62*0.05,0)</f>
        <v/>
      </c>
      <c r="I62" s="15" t="n"/>
      <c r="J62" s="18" t="n"/>
      <c r="K62" s="18" t="n"/>
      <c r="L62" s="15" t="n"/>
      <c r="M62" s="15" t="n"/>
    </row>
    <row r="63" ht="22" customHeight="1">
      <c r="B63" s="11" t="n"/>
      <c r="C63" s="11" t="n"/>
      <c r="D63" s="11" t="n"/>
      <c r="E63" s="11" t="n"/>
      <c r="F63" s="12" t="n"/>
      <c r="G63" s="13" t="n"/>
      <c r="H63" s="13">
        <f>IFERROR(G63*0.05,0)</f>
        <v/>
      </c>
      <c r="I63" s="11" t="n"/>
      <c r="J63" s="14" t="n"/>
      <c r="K63" s="14" t="n"/>
      <c r="L63" s="11" t="n"/>
      <c r="M63" s="11" t="n"/>
    </row>
    <row r="64" ht="22" customHeight="1">
      <c r="B64" s="15" t="n"/>
      <c r="C64" s="15" t="n"/>
      <c r="D64" s="15" t="n"/>
      <c r="E64" s="15" t="n"/>
      <c r="F64" s="16" t="n"/>
      <c r="G64" s="17" t="n"/>
      <c r="H64" s="17">
        <f>IFERROR(G64*0.05,0)</f>
        <v/>
      </c>
      <c r="I64" s="15" t="n"/>
      <c r="J64" s="18" t="n"/>
      <c r="K64" s="18" t="n"/>
      <c r="L64" s="15" t="n"/>
      <c r="M64" s="15" t="n"/>
    </row>
    <row r="65" ht="22" customHeight="1">
      <c r="B65" s="11" t="n"/>
      <c r="C65" s="11" t="n"/>
      <c r="D65" s="11" t="n"/>
      <c r="E65" s="11" t="n"/>
      <c r="F65" s="12" t="n"/>
      <c r="G65" s="13" t="n"/>
      <c r="H65" s="13">
        <f>IFERROR(G65*0.05,0)</f>
        <v/>
      </c>
      <c r="I65" s="11" t="n"/>
      <c r="J65" s="14" t="n"/>
      <c r="K65" s="14" t="n"/>
      <c r="L65" s="11" t="n"/>
      <c r="M65" s="11" t="n"/>
    </row>
    <row r="66" ht="22" customHeight="1">
      <c r="B66" s="15" t="n"/>
      <c r="C66" s="15" t="n"/>
      <c r="D66" s="15" t="n"/>
      <c r="E66" s="15" t="n"/>
      <c r="F66" s="16" t="n"/>
      <c r="G66" s="17" t="n"/>
      <c r="H66" s="17">
        <f>IFERROR(G66*0.05,0)</f>
        <v/>
      </c>
      <c r="I66" s="15" t="n"/>
      <c r="J66" s="18" t="n"/>
      <c r="K66" s="18" t="n"/>
      <c r="L66" s="15" t="n"/>
      <c r="M66" s="15" t="n"/>
    </row>
    <row r="67" ht="22" customHeight="1">
      <c r="B67" s="11" t="n"/>
      <c r="C67" s="11" t="n"/>
      <c r="D67" s="11" t="n"/>
      <c r="E67" s="11" t="n"/>
      <c r="F67" s="12" t="n"/>
      <c r="G67" s="13" t="n"/>
      <c r="H67" s="13">
        <f>IFERROR(G67*0.05,0)</f>
        <v/>
      </c>
      <c r="I67" s="11" t="n"/>
      <c r="J67" s="14" t="n"/>
      <c r="K67" s="14" t="n"/>
      <c r="L67" s="11" t="n"/>
      <c r="M67" s="11" t="n"/>
    </row>
    <row r="68" ht="22" customHeight="1">
      <c r="B68" s="15" t="n"/>
      <c r="C68" s="15" t="n"/>
      <c r="D68" s="15" t="n"/>
      <c r="E68" s="15" t="n"/>
      <c r="F68" s="16" t="n"/>
      <c r="G68" s="17" t="n"/>
      <c r="H68" s="17">
        <f>IFERROR(G68*0.05,0)</f>
        <v/>
      </c>
      <c r="I68" s="15" t="n"/>
      <c r="J68" s="18" t="n"/>
      <c r="K68" s="18" t="n"/>
      <c r="L68" s="15" t="n"/>
      <c r="M68" s="15" t="n"/>
    </row>
    <row r="69" ht="22" customHeight="1">
      <c r="B69" s="11" t="n"/>
      <c r="C69" s="11" t="n"/>
      <c r="D69" s="11" t="n"/>
      <c r="E69" s="11" t="n"/>
      <c r="F69" s="12" t="n"/>
      <c r="G69" s="13" t="n"/>
      <c r="H69" s="13">
        <f>IFERROR(G69*0.05,0)</f>
        <v/>
      </c>
      <c r="I69" s="11" t="n"/>
      <c r="J69" s="14" t="n"/>
      <c r="K69" s="14" t="n"/>
      <c r="L69" s="11" t="n"/>
      <c r="M69" s="11" t="n"/>
    </row>
    <row r="70" ht="22" customHeight="1">
      <c r="B70" s="15" t="n"/>
      <c r="C70" s="15" t="n"/>
      <c r="D70" s="15" t="n"/>
      <c r="E70" s="15" t="n"/>
      <c r="F70" s="16" t="n"/>
      <c r="G70" s="17" t="n"/>
      <c r="H70" s="17">
        <f>IFERROR(G70*0.05,0)</f>
        <v/>
      </c>
      <c r="I70" s="15" t="n"/>
      <c r="J70" s="18" t="n"/>
      <c r="K70" s="18" t="n"/>
      <c r="L70" s="15" t="n"/>
      <c r="M70" s="15" t="n"/>
    </row>
    <row r="71" ht="22" customHeight="1">
      <c r="B71" s="11" t="n"/>
      <c r="C71" s="11" t="n"/>
      <c r="D71" s="11" t="n"/>
      <c r="E71" s="11" t="n"/>
      <c r="F71" s="12" t="n"/>
      <c r="G71" s="13" t="n"/>
      <c r="H71" s="13">
        <f>IFERROR(G71*0.05,0)</f>
        <v/>
      </c>
      <c r="I71" s="11" t="n"/>
      <c r="J71" s="14" t="n"/>
      <c r="K71" s="14" t="n"/>
      <c r="L71" s="11" t="n"/>
      <c r="M71" s="11" t="n"/>
    </row>
    <row r="72" ht="22" customHeight="1">
      <c r="B72" s="15" t="n"/>
      <c r="C72" s="15" t="n"/>
      <c r="D72" s="15" t="n"/>
      <c r="E72" s="15" t="n"/>
      <c r="F72" s="16" t="n"/>
      <c r="G72" s="17" t="n"/>
      <c r="H72" s="17">
        <f>IFERROR(G72*0.05,0)</f>
        <v/>
      </c>
      <c r="I72" s="15" t="n"/>
      <c r="J72" s="18" t="n"/>
      <c r="K72" s="18" t="n"/>
      <c r="L72" s="15" t="n"/>
      <c r="M72" s="15" t="n"/>
    </row>
    <row r="73" ht="22" customHeight="1">
      <c r="B73" s="11" t="n"/>
      <c r="C73" s="11" t="n"/>
      <c r="D73" s="11" t="n"/>
      <c r="E73" s="11" t="n"/>
      <c r="F73" s="12" t="n"/>
      <c r="G73" s="13" t="n"/>
      <c r="H73" s="13">
        <f>IFERROR(G73*0.05,0)</f>
        <v/>
      </c>
      <c r="I73" s="11" t="n"/>
      <c r="J73" s="14" t="n"/>
      <c r="K73" s="14" t="n"/>
      <c r="L73" s="11" t="n"/>
      <c r="M73" s="11" t="n"/>
    </row>
    <row r="74" ht="22" customHeight="1">
      <c r="B74" s="15" t="n"/>
      <c r="C74" s="15" t="n"/>
      <c r="D74" s="15" t="n"/>
      <c r="E74" s="15" t="n"/>
      <c r="F74" s="16" t="n"/>
      <c r="G74" s="17" t="n"/>
      <c r="H74" s="17">
        <f>IFERROR(G74*0.05,0)</f>
        <v/>
      </c>
      <c r="I74" s="15" t="n"/>
      <c r="J74" s="18" t="n"/>
      <c r="K74" s="18" t="n"/>
      <c r="L74" s="15" t="n"/>
      <c r="M74" s="15" t="n"/>
    </row>
    <row r="75" ht="22" customHeight="1">
      <c r="B75" s="11" t="n"/>
      <c r="C75" s="11" t="n"/>
      <c r="D75" s="11" t="n"/>
      <c r="E75" s="11" t="n"/>
      <c r="F75" s="12" t="n"/>
      <c r="G75" s="13" t="n"/>
      <c r="H75" s="13">
        <f>IFERROR(G75*0.05,0)</f>
        <v/>
      </c>
      <c r="I75" s="11" t="n"/>
      <c r="J75" s="14" t="n"/>
      <c r="K75" s="14" t="n"/>
      <c r="L75" s="11" t="n"/>
      <c r="M75" s="11" t="n"/>
    </row>
    <row r="76" ht="22" customHeight="1">
      <c r="B76" s="15" t="n"/>
      <c r="C76" s="15" t="n"/>
      <c r="D76" s="15" t="n"/>
      <c r="E76" s="15" t="n"/>
      <c r="F76" s="16" t="n"/>
      <c r="G76" s="17" t="n"/>
      <c r="H76" s="17">
        <f>IFERROR(G76*0.05,0)</f>
        <v/>
      </c>
      <c r="I76" s="15" t="n"/>
      <c r="J76" s="18" t="n"/>
      <c r="K76" s="18" t="n"/>
      <c r="L76" s="15" t="n"/>
      <c r="M76" s="15" t="n"/>
    </row>
    <row r="77" ht="22" customHeight="1">
      <c r="B77" s="11" t="n"/>
      <c r="C77" s="11" t="n"/>
      <c r="D77" s="11" t="n"/>
      <c r="E77" s="11" t="n"/>
      <c r="F77" s="12" t="n"/>
      <c r="G77" s="13" t="n"/>
      <c r="H77" s="13">
        <f>IFERROR(G77*0.05,0)</f>
        <v/>
      </c>
      <c r="I77" s="11" t="n"/>
      <c r="J77" s="14" t="n"/>
      <c r="K77" s="14" t="n"/>
      <c r="L77" s="11" t="n"/>
      <c r="M77" s="11" t="n"/>
    </row>
    <row r="78" ht="22" customHeight="1">
      <c r="B78" s="15" t="n"/>
      <c r="C78" s="15" t="n"/>
      <c r="D78" s="15" t="n"/>
      <c r="E78" s="15" t="n"/>
      <c r="F78" s="16" t="n"/>
      <c r="G78" s="17" t="n"/>
      <c r="H78" s="17">
        <f>IFERROR(G78*0.05,0)</f>
        <v/>
      </c>
      <c r="I78" s="15" t="n"/>
      <c r="J78" s="18" t="n"/>
      <c r="K78" s="18" t="n"/>
      <c r="L78" s="15" t="n"/>
      <c r="M78" s="15" t="n"/>
    </row>
    <row r="79" ht="22" customHeight="1">
      <c r="B79" s="11" t="n"/>
      <c r="C79" s="11" t="n"/>
      <c r="D79" s="11" t="n"/>
      <c r="E79" s="11" t="n"/>
      <c r="F79" s="12" t="n"/>
      <c r="G79" s="13" t="n"/>
      <c r="H79" s="13">
        <f>IFERROR(G79*0.05,0)</f>
        <v/>
      </c>
      <c r="I79" s="11" t="n"/>
      <c r="J79" s="14" t="n"/>
      <c r="K79" s="14" t="n"/>
      <c r="L79" s="11" t="n"/>
      <c r="M79" s="11" t="n"/>
    </row>
    <row r="80" ht="22" customHeight="1">
      <c r="B80" s="15" t="n"/>
      <c r="C80" s="15" t="n"/>
      <c r="D80" s="15" t="n"/>
      <c r="E80" s="15" t="n"/>
      <c r="F80" s="16" t="n"/>
      <c r="G80" s="17" t="n"/>
      <c r="H80" s="17">
        <f>IFERROR(G80*0.05,0)</f>
        <v/>
      </c>
      <c r="I80" s="15" t="n"/>
      <c r="J80" s="18" t="n"/>
      <c r="K80" s="18" t="n"/>
      <c r="L80" s="15" t="n"/>
      <c r="M80" s="15" t="n"/>
    </row>
    <row r="81" ht="22" customHeight="1">
      <c r="B81" s="11" t="n"/>
      <c r="C81" s="11" t="n"/>
      <c r="D81" s="11" t="n"/>
      <c r="E81" s="11" t="n"/>
      <c r="F81" s="12" t="n"/>
      <c r="G81" s="13" t="n"/>
      <c r="H81" s="13">
        <f>IFERROR(G81*0.05,0)</f>
        <v/>
      </c>
      <c r="I81" s="11" t="n"/>
      <c r="J81" s="14" t="n"/>
      <c r="K81" s="14" t="n"/>
      <c r="L81" s="11" t="n"/>
      <c r="M81" s="11" t="n"/>
    </row>
    <row r="82" ht="22" customHeight="1">
      <c r="B82" s="15" t="n"/>
      <c r="C82" s="15" t="n"/>
      <c r="D82" s="15" t="n"/>
      <c r="E82" s="15" t="n"/>
      <c r="F82" s="16" t="n"/>
      <c r="G82" s="17" t="n"/>
      <c r="H82" s="17">
        <f>IFERROR(G82*0.05,0)</f>
        <v/>
      </c>
      <c r="I82" s="15" t="n"/>
      <c r="J82" s="18" t="n"/>
      <c r="K82" s="18" t="n"/>
      <c r="L82" s="15" t="n"/>
      <c r="M82" s="15" t="n"/>
    </row>
    <row r="83" ht="22" customHeight="1">
      <c r="B83" s="11" t="n"/>
      <c r="C83" s="11" t="n"/>
      <c r="D83" s="11" t="n"/>
      <c r="E83" s="11" t="n"/>
      <c r="F83" s="12" t="n"/>
      <c r="G83" s="13" t="n"/>
      <c r="H83" s="13">
        <f>IFERROR(G83*0.05,0)</f>
        <v/>
      </c>
      <c r="I83" s="11" t="n"/>
      <c r="J83" s="14" t="n"/>
      <c r="K83" s="14" t="n"/>
      <c r="L83" s="11" t="n"/>
      <c r="M83" s="11" t="n"/>
    </row>
    <row r="84" ht="22" customHeight="1">
      <c r="B84" s="15" t="n"/>
      <c r="C84" s="15" t="n"/>
      <c r="D84" s="15" t="n"/>
      <c r="E84" s="15" t="n"/>
      <c r="F84" s="16" t="n"/>
      <c r="G84" s="17" t="n"/>
      <c r="H84" s="17">
        <f>IFERROR(G84*0.05,0)</f>
        <v/>
      </c>
      <c r="I84" s="15" t="n"/>
      <c r="J84" s="18" t="n"/>
      <c r="K84" s="18" t="n"/>
      <c r="L84" s="15" t="n"/>
      <c r="M84" s="15" t="n"/>
    </row>
    <row r="85" ht="22" customHeight="1">
      <c r="B85" s="11" t="n"/>
      <c r="C85" s="11" t="n"/>
      <c r="D85" s="11" t="n"/>
      <c r="E85" s="11" t="n"/>
      <c r="F85" s="12" t="n"/>
      <c r="G85" s="13" t="n"/>
      <c r="H85" s="13">
        <f>IFERROR(G85*0.05,0)</f>
        <v/>
      </c>
      <c r="I85" s="11" t="n"/>
      <c r="J85" s="14" t="n"/>
      <c r="K85" s="14" t="n"/>
      <c r="L85" s="11" t="n"/>
      <c r="M85" s="11" t="n"/>
    </row>
    <row r="86" ht="22" customHeight="1">
      <c r="B86" s="15" t="n"/>
      <c r="C86" s="15" t="n"/>
      <c r="D86" s="15" t="n"/>
      <c r="E86" s="15" t="n"/>
      <c r="F86" s="16" t="n"/>
      <c r="G86" s="17" t="n"/>
      <c r="H86" s="17">
        <f>IFERROR(G86*0.05,0)</f>
        <v/>
      </c>
      <c r="I86" s="15" t="n"/>
      <c r="J86" s="18" t="n"/>
      <c r="K86" s="18" t="n"/>
      <c r="L86" s="15" t="n"/>
      <c r="M86" s="15" t="n"/>
    </row>
    <row r="87" ht="22" customHeight="1">
      <c r="B87" s="11" t="n"/>
      <c r="C87" s="11" t="n"/>
      <c r="D87" s="11" t="n"/>
      <c r="E87" s="11" t="n"/>
      <c r="F87" s="12" t="n"/>
      <c r="G87" s="13" t="n"/>
      <c r="H87" s="13">
        <f>IFERROR(G87*0.05,0)</f>
        <v/>
      </c>
      <c r="I87" s="11" t="n"/>
      <c r="J87" s="14" t="n"/>
      <c r="K87" s="14" t="n"/>
      <c r="L87" s="11" t="n"/>
      <c r="M87" s="11" t="n"/>
    </row>
    <row r="88" ht="22" customHeight="1">
      <c r="B88" s="15" t="n"/>
      <c r="C88" s="15" t="n"/>
      <c r="D88" s="15" t="n"/>
      <c r="E88" s="15" t="n"/>
      <c r="F88" s="16" t="n"/>
      <c r="G88" s="17" t="n"/>
      <c r="H88" s="17">
        <f>IFERROR(G88*0.05,0)</f>
        <v/>
      </c>
      <c r="I88" s="15" t="n"/>
      <c r="J88" s="18" t="n"/>
      <c r="K88" s="18" t="n"/>
      <c r="L88" s="15" t="n"/>
      <c r="M88" s="15" t="n"/>
    </row>
    <row r="89" ht="22" customHeight="1">
      <c r="B89" s="11" t="n"/>
      <c r="C89" s="11" t="n"/>
      <c r="D89" s="11" t="n"/>
      <c r="E89" s="11" t="n"/>
      <c r="F89" s="12" t="n"/>
      <c r="G89" s="13" t="n"/>
      <c r="H89" s="13">
        <f>IFERROR(G89*0.05,0)</f>
        <v/>
      </c>
      <c r="I89" s="11" t="n"/>
      <c r="J89" s="14" t="n"/>
      <c r="K89" s="14" t="n"/>
      <c r="L89" s="11" t="n"/>
      <c r="M89" s="11" t="n"/>
    </row>
    <row r="90" ht="22" customHeight="1">
      <c r="B90" s="15" t="n"/>
      <c r="C90" s="15" t="n"/>
      <c r="D90" s="15" t="n"/>
      <c r="E90" s="15" t="n"/>
      <c r="F90" s="16" t="n"/>
      <c r="G90" s="17" t="n"/>
      <c r="H90" s="17">
        <f>IFERROR(G90*0.05,0)</f>
        <v/>
      </c>
      <c r="I90" s="15" t="n"/>
      <c r="J90" s="18" t="n"/>
      <c r="K90" s="18" t="n"/>
      <c r="L90" s="15" t="n"/>
      <c r="M90" s="15" t="n"/>
    </row>
    <row r="91" ht="22" customHeight="1">
      <c r="B91" s="11" t="n"/>
      <c r="C91" s="11" t="n"/>
      <c r="D91" s="11" t="n"/>
      <c r="E91" s="11" t="n"/>
      <c r="F91" s="12" t="n"/>
      <c r="G91" s="13" t="n"/>
      <c r="H91" s="13">
        <f>IFERROR(G91*0.05,0)</f>
        <v/>
      </c>
      <c r="I91" s="11" t="n"/>
      <c r="J91" s="14" t="n"/>
      <c r="K91" s="14" t="n"/>
      <c r="L91" s="11" t="n"/>
      <c r="M91" s="11" t="n"/>
    </row>
    <row r="92" ht="22" customHeight="1">
      <c r="B92" s="15" t="n"/>
      <c r="C92" s="15" t="n"/>
      <c r="D92" s="15" t="n"/>
      <c r="E92" s="15" t="n"/>
      <c r="F92" s="16" t="n"/>
      <c r="G92" s="17" t="n"/>
      <c r="H92" s="17">
        <f>IFERROR(G92*0.05,0)</f>
        <v/>
      </c>
      <c r="I92" s="15" t="n"/>
      <c r="J92" s="18" t="n"/>
      <c r="K92" s="18" t="n"/>
      <c r="L92" s="15" t="n"/>
      <c r="M92" s="15" t="n"/>
    </row>
    <row r="93" ht="22" customHeight="1">
      <c r="B93" s="11" t="n"/>
      <c r="C93" s="11" t="n"/>
      <c r="D93" s="11" t="n"/>
      <c r="E93" s="11" t="n"/>
      <c r="F93" s="12" t="n"/>
      <c r="G93" s="13" t="n"/>
      <c r="H93" s="13">
        <f>IFERROR(G93*0.05,0)</f>
        <v/>
      </c>
      <c r="I93" s="11" t="n"/>
      <c r="J93" s="14" t="n"/>
      <c r="K93" s="14" t="n"/>
      <c r="L93" s="11" t="n"/>
      <c r="M93" s="11" t="n"/>
    </row>
    <row r="94" ht="22" customHeight="1">
      <c r="B94" s="15" t="n"/>
      <c r="C94" s="15" t="n"/>
      <c r="D94" s="15" t="n"/>
      <c r="E94" s="15" t="n"/>
      <c r="F94" s="16" t="n"/>
      <c r="G94" s="17" t="n"/>
      <c r="H94" s="17">
        <f>IFERROR(G94*0.05,0)</f>
        <v/>
      </c>
      <c r="I94" s="15" t="n"/>
      <c r="J94" s="18" t="n"/>
      <c r="K94" s="18" t="n"/>
      <c r="L94" s="15" t="n"/>
      <c r="M94" s="15" t="n"/>
    </row>
    <row r="95" ht="22" customHeight="1">
      <c r="B95" s="11" t="n"/>
      <c r="C95" s="11" t="n"/>
      <c r="D95" s="11" t="n"/>
      <c r="E95" s="11" t="n"/>
      <c r="F95" s="12" t="n"/>
      <c r="G95" s="13" t="n"/>
      <c r="H95" s="13">
        <f>IFERROR(G95*0.05,0)</f>
        <v/>
      </c>
      <c r="I95" s="11" t="n"/>
      <c r="J95" s="14" t="n"/>
      <c r="K95" s="14" t="n"/>
      <c r="L95" s="11" t="n"/>
      <c r="M95" s="11" t="n"/>
    </row>
    <row r="96" ht="22" customHeight="1">
      <c r="B96" s="15" t="n"/>
      <c r="C96" s="15" t="n"/>
      <c r="D96" s="15" t="n"/>
      <c r="E96" s="15" t="n"/>
      <c r="F96" s="16" t="n"/>
      <c r="G96" s="17" t="n"/>
      <c r="H96" s="17">
        <f>IFERROR(G96*0.05,0)</f>
        <v/>
      </c>
      <c r="I96" s="15" t="n"/>
      <c r="J96" s="18" t="n"/>
      <c r="K96" s="18" t="n"/>
      <c r="L96" s="15" t="n"/>
      <c r="M96" s="15" t="n"/>
    </row>
    <row r="97" ht="22" customHeight="1">
      <c r="B97" s="11" t="n"/>
      <c r="C97" s="11" t="n"/>
      <c r="D97" s="11" t="n"/>
      <c r="E97" s="11" t="n"/>
      <c r="F97" s="12" t="n"/>
      <c r="G97" s="13" t="n"/>
      <c r="H97" s="13">
        <f>IFERROR(G97*0.05,0)</f>
        <v/>
      </c>
      <c r="I97" s="11" t="n"/>
      <c r="J97" s="14" t="n"/>
      <c r="K97" s="14" t="n"/>
      <c r="L97" s="11" t="n"/>
      <c r="M97" s="11" t="n"/>
    </row>
    <row r="98" ht="22" customHeight="1">
      <c r="B98" s="15" t="n"/>
      <c r="C98" s="15" t="n"/>
      <c r="D98" s="15" t="n"/>
      <c r="E98" s="15" t="n"/>
      <c r="F98" s="16" t="n"/>
      <c r="G98" s="17" t="n"/>
      <c r="H98" s="17">
        <f>IFERROR(G98*0.05,0)</f>
        <v/>
      </c>
      <c r="I98" s="15" t="n"/>
      <c r="J98" s="18" t="n"/>
      <c r="K98" s="18" t="n"/>
      <c r="L98" s="15" t="n"/>
      <c r="M98" s="15" t="n"/>
    </row>
    <row r="99" ht="22" customHeight="1">
      <c r="B99" s="11" t="n"/>
      <c r="C99" s="11" t="n"/>
      <c r="D99" s="11" t="n"/>
      <c r="E99" s="11" t="n"/>
      <c r="F99" s="12" t="n"/>
      <c r="G99" s="13" t="n"/>
      <c r="H99" s="13">
        <f>IFERROR(G99*0.05,0)</f>
        <v/>
      </c>
      <c r="I99" s="11" t="n"/>
      <c r="J99" s="14" t="n"/>
      <c r="K99" s="14" t="n"/>
      <c r="L99" s="11" t="n"/>
      <c r="M99" s="11" t="n"/>
    </row>
    <row r="100" ht="22" customHeight="1">
      <c r="B100" s="15" t="n"/>
      <c r="C100" s="15" t="n"/>
      <c r="D100" s="15" t="n"/>
      <c r="E100" s="15" t="n"/>
      <c r="F100" s="16" t="n"/>
      <c r="G100" s="17" t="n"/>
      <c r="H100" s="17">
        <f>IFERROR(G100*0.05,0)</f>
        <v/>
      </c>
      <c r="I100" s="15" t="n"/>
      <c r="J100" s="18" t="n"/>
      <c r="K100" s="18" t="n"/>
      <c r="L100" s="15" t="n"/>
      <c r="M100" s="15" t="n"/>
    </row>
    <row r="101" ht="22" customHeight="1">
      <c r="B101" s="11" t="n"/>
      <c r="C101" s="11" t="n"/>
      <c r="D101" s="11" t="n"/>
      <c r="E101" s="11" t="n"/>
      <c r="F101" s="12" t="n"/>
      <c r="G101" s="13" t="n"/>
      <c r="H101" s="13">
        <f>IFERROR(G101*0.05,0)</f>
        <v/>
      </c>
      <c r="I101" s="11" t="n"/>
      <c r="J101" s="14" t="n"/>
      <c r="K101" s="14" t="n"/>
      <c r="L101" s="11" t="n"/>
      <c r="M101" s="11" t="n"/>
    </row>
    <row r="102" ht="22" customHeight="1">
      <c r="B102" s="15" t="n"/>
      <c r="C102" s="15" t="n"/>
      <c r="D102" s="15" t="n"/>
      <c r="E102" s="15" t="n"/>
      <c r="F102" s="16" t="n"/>
      <c r="G102" s="17" t="n"/>
      <c r="H102" s="17">
        <f>IFERROR(G102*0.05,0)</f>
        <v/>
      </c>
      <c r="I102" s="15" t="n"/>
      <c r="J102" s="18" t="n"/>
      <c r="K102" s="18" t="n"/>
      <c r="L102" s="15" t="n"/>
      <c r="M102" s="15" t="n"/>
    </row>
    <row r="103" ht="22" customHeight="1">
      <c r="B103" s="11" t="n"/>
      <c r="C103" s="11" t="n"/>
      <c r="D103" s="11" t="n"/>
      <c r="E103" s="11" t="n"/>
      <c r="F103" s="12" t="n"/>
      <c r="G103" s="13" t="n"/>
      <c r="H103" s="13">
        <f>IFERROR(G103*0.05,0)</f>
        <v/>
      </c>
      <c r="I103" s="11" t="n"/>
      <c r="J103" s="14" t="n"/>
      <c r="K103" s="14" t="n"/>
      <c r="L103" s="11" t="n"/>
      <c r="M103" s="11" t="n"/>
    </row>
    <row r="104" ht="22" customHeight="1">
      <c r="B104" s="15" t="n"/>
      <c r="C104" s="15" t="n"/>
      <c r="D104" s="15" t="n"/>
      <c r="E104" s="15" t="n"/>
      <c r="F104" s="16" t="n"/>
      <c r="G104" s="17" t="n"/>
      <c r="H104" s="17">
        <f>IFERROR(G104*0.05,0)</f>
        <v/>
      </c>
      <c r="I104" s="15" t="n"/>
      <c r="J104" s="18" t="n"/>
      <c r="K104" s="18" t="n"/>
      <c r="L104" s="15" t="n"/>
      <c r="M104" s="15" t="n"/>
    </row>
    <row r="105" ht="22" customHeight="1">
      <c r="B105" s="11" t="n"/>
      <c r="C105" s="11" t="n"/>
      <c r="D105" s="11" t="n"/>
      <c r="E105" s="11" t="n"/>
      <c r="F105" s="12" t="n"/>
      <c r="G105" s="13" t="n"/>
      <c r="H105" s="13">
        <f>IFERROR(G105*0.05,0)</f>
        <v/>
      </c>
      <c r="I105" s="11" t="n"/>
      <c r="J105" s="14" t="n"/>
      <c r="K105" s="14" t="n"/>
      <c r="L105" s="11" t="n"/>
      <c r="M105" s="11" t="n"/>
    </row>
    <row r="106" ht="22" customHeight="1">
      <c r="B106" s="15" t="n"/>
      <c r="C106" s="15" t="n"/>
      <c r="D106" s="15" t="n"/>
      <c r="E106" s="15" t="n"/>
      <c r="F106" s="16" t="n"/>
      <c r="G106" s="17" t="n"/>
      <c r="H106" s="17">
        <f>IFERROR(G106*0.05,0)</f>
        <v/>
      </c>
      <c r="I106" s="15" t="n"/>
      <c r="J106" s="18" t="n"/>
      <c r="K106" s="18" t="n"/>
      <c r="L106" s="15" t="n"/>
      <c r="M106" s="15" t="n"/>
    </row>
    <row r="107" ht="22" customHeight="1">
      <c r="B107" s="11" t="n"/>
      <c r="C107" s="11" t="n"/>
      <c r="D107" s="11" t="n"/>
      <c r="E107" s="11" t="n"/>
      <c r="F107" s="12" t="n"/>
      <c r="G107" s="13" t="n"/>
      <c r="H107" s="13">
        <f>IFERROR(G107*0.05,0)</f>
        <v/>
      </c>
      <c r="I107" s="11" t="n"/>
      <c r="J107" s="14" t="n"/>
      <c r="K107" s="14" t="n"/>
      <c r="L107" s="11" t="n"/>
      <c r="M107" s="11" t="n"/>
    </row>
    <row r="108" ht="22" customHeight="1">
      <c r="B108" s="15" t="n"/>
      <c r="C108" s="15" t="n"/>
      <c r="D108" s="15" t="n"/>
      <c r="E108" s="15" t="n"/>
      <c r="F108" s="16" t="n"/>
      <c r="G108" s="17" t="n"/>
      <c r="H108" s="17">
        <f>IFERROR(G108*0.05,0)</f>
        <v/>
      </c>
      <c r="I108" s="15" t="n"/>
      <c r="J108" s="18" t="n"/>
      <c r="K108" s="18" t="n"/>
      <c r="L108" s="15" t="n"/>
      <c r="M108" s="15" t="n"/>
    </row>
    <row r="109" ht="22" customHeight="1">
      <c r="B109" s="11" t="n"/>
      <c r="C109" s="11" t="n"/>
      <c r="D109" s="11" t="n"/>
      <c r="E109" s="11" t="n"/>
      <c r="F109" s="12" t="n"/>
      <c r="G109" s="13" t="n"/>
      <c r="H109" s="13">
        <f>IFERROR(G109*0.05,0)</f>
        <v/>
      </c>
      <c r="I109" s="11" t="n"/>
      <c r="J109" s="14" t="n"/>
      <c r="K109" s="14" t="n"/>
      <c r="L109" s="11" t="n"/>
      <c r="M109" s="11" t="n"/>
    </row>
    <row r="110" ht="22" customHeight="1">
      <c r="B110" s="15" t="n"/>
      <c r="C110" s="15" t="n"/>
      <c r="D110" s="15" t="n"/>
      <c r="E110" s="15" t="n"/>
      <c r="F110" s="16" t="n"/>
      <c r="G110" s="17" t="n"/>
      <c r="H110" s="17">
        <f>IFERROR(G110*0.05,0)</f>
        <v/>
      </c>
      <c r="I110" s="15" t="n"/>
      <c r="J110" s="18" t="n"/>
      <c r="K110" s="18" t="n"/>
      <c r="L110" s="15" t="n"/>
      <c r="M110" s="15" t="n"/>
    </row>
    <row r="111" ht="22" customHeight="1">
      <c r="B111" s="11" t="n"/>
      <c r="C111" s="11" t="n"/>
      <c r="D111" s="11" t="n"/>
      <c r="E111" s="11" t="n"/>
      <c r="F111" s="12" t="n"/>
      <c r="G111" s="13" t="n"/>
      <c r="H111" s="13">
        <f>IFERROR(G111*0.05,0)</f>
        <v/>
      </c>
      <c r="I111" s="11" t="n"/>
      <c r="J111" s="14" t="n"/>
      <c r="K111" s="14" t="n"/>
      <c r="L111" s="11" t="n"/>
      <c r="M111" s="11" t="n"/>
    </row>
    <row r="112" ht="22" customHeight="1">
      <c r="B112" s="15" t="n"/>
      <c r="C112" s="15" t="n"/>
      <c r="D112" s="15" t="n"/>
      <c r="E112" s="15" t="n"/>
      <c r="F112" s="16" t="n"/>
      <c r="G112" s="17" t="n"/>
      <c r="H112" s="17">
        <f>IFERROR(G112*0.05,0)</f>
        <v/>
      </c>
      <c r="I112" s="15" t="n"/>
      <c r="J112" s="18" t="n"/>
      <c r="K112" s="18" t="n"/>
      <c r="L112" s="15" t="n"/>
      <c r="M112" s="15" t="n"/>
    </row>
    <row r="113" ht="22" customHeight="1">
      <c r="B113" s="11" t="n"/>
      <c r="C113" s="11" t="n"/>
      <c r="D113" s="11" t="n"/>
      <c r="E113" s="11" t="n"/>
      <c r="F113" s="12" t="n"/>
      <c r="G113" s="13" t="n"/>
      <c r="H113" s="13">
        <f>IFERROR(G113*0.05,0)</f>
        <v/>
      </c>
      <c r="I113" s="11" t="n"/>
      <c r="J113" s="14" t="n"/>
      <c r="K113" s="14" t="n"/>
      <c r="L113" s="11" t="n"/>
      <c r="M113" s="11" t="n"/>
    </row>
    <row r="114" ht="22" customHeight="1">
      <c r="B114" s="15" t="n"/>
      <c r="C114" s="15" t="n"/>
      <c r="D114" s="15" t="n"/>
      <c r="E114" s="15" t="n"/>
      <c r="F114" s="16" t="n"/>
      <c r="G114" s="17" t="n"/>
      <c r="H114" s="17">
        <f>IFERROR(G114*0.05,0)</f>
        <v/>
      </c>
      <c r="I114" s="15" t="n"/>
      <c r="J114" s="18" t="n"/>
      <c r="K114" s="18" t="n"/>
      <c r="L114" s="15" t="n"/>
      <c r="M114" s="15" t="n"/>
    </row>
    <row r="115" ht="22" customHeight="1">
      <c r="B115" s="11" t="n"/>
      <c r="C115" s="11" t="n"/>
      <c r="D115" s="11" t="n"/>
      <c r="E115" s="11" t="n"/>
      <c r="F115" s="12" t="n"/>
      <c r="G115" s="13" t="n"/>
      <c r="H115" s="13">
        <f>IFERROR(G115*0.05,0)</f>
        <v/>
      </c>
      <c r="I115" s="11" t="n"/>
      <c r="J115" s="14" t="n"/>
      <c r="K115" s="14" t="n"/>
      <c r="L115" s="11" t="n"/>
      <c r="M115" s="11" t="n"/>
    </row>
    <row r="116" ht="22" customHeight="1">
      <c r="B116" s="15" t="n"/>
      <c r="C116" s="15" t="n"/>
      <c r="D116" s="15" t="n"/>
      <c r="E116" s="15" t="n"/>
      <c r="F116" s="16" t="n"/>
      <c r="G116" s="17" t="n"/>
      <c r="H116" s="17">
        <f>IFERROR(G116*0.05,0)</f>
        <v/>
      </c>
      <c r="I116" s="15" t="n"/>
      <c r="J116" s="18" t="n"/>
      <c r="K116" s="18" t="n"/>
      <c r="L116" s="15" t="n"/>
      <c r="M116" s="15" t="n"/>
    </row>
    <row r="117" ht="22" customHeight="1">
      <c r="B117" s="11" t="n"/>
      <c r="C117" s="11" t="n"/>
      <c r="D117" s="11" t="n"/>
      <c r="E117" s="11" t="n"/>
      <c r="F117" s="12" t="n"/>
      <c r="G117" s="13" t="n"/>
      <c r="H117" s="13">
        <f>IFERROR(G117*0.05,0)</f>
        <v/>
      </c>
      <c r="I117" s="11" t="n"/>
      <c r="J117" s="14" t="n"/>
      <c r="K117" s="14" t="n"/>
      <c r="L117" s="11" t="n"/>
      <c r="M117" s="11" t="n"/>
    </row>
    <row r="118" ht="22" customHeight="1">
      <c r="B118" s="15" t="n"/>
      <c r="C118" s="15" t="n"/>
      <c r="D118" s="15" t="n"/>
      <c r="E118" s="15" t="n"/>
      <c r="F118" s="16" t="n"/>
      <c r="G118" s="17" t="n"/>
      <c r="H118" s="17">
        <f>IFERROR(G118*0.05,0)</f>
        <v/>
      </c>
      <c r="I118" s="15" t="n"/>
      <c r="J118" s="18" t="n"/>
      <c r="K118" s="18" t="n"/>
      <c r="L118" s="15" t="n"/>
      <c r="M118" s="15" t="n"/>
    </row>
    <row r="119" ht="22" customHeight="1">
      <c r="B119" s="11" t="n"/>
      <c r="C119" s="11" t="n"/>
      <c r="D119" s="11" t="n"/>
      <c r="E119" s="11" t="n"/>
      <c r="F119" s="12" t="n"/>
      <c r="G119" s="13" t="n"/>
      <c r="H119" s="13">
        <f>IFERROR(G119*0.05,0)</f>
        <v/>
      </c>
      <c r="I119" s="11" t="n"/>
      <c r="J119" s="14" t="n"/>
      <c r="K119" s="14" t="n"/>
      <c r="L119" s="11" t="n"/>
      <c r="M119" s="11" t="n"/>
    </row>
    <row r="120" ht="22" customHeight="1">
      <c r="B120" s="15" t="n"/>
      <c r="C120" s="15" t="n"/>
      <c r="D120" s="15" t="n"/>
      <c r="E120" s="15" t="n"/>
      <c r="F120" s="16" t="n"/>
      <c r="G120" s="17" t="n"/>
      <c r="H120" s="17">
        <f>IFERROR(G120*0.05,0)</f>
        <v/>
      </c>
      <c r="I120" s="15" t="n"/>
      <c r="J120" s="18" t="n"/>
      <c r="K120" s="18" t="n"/>
      <c r="L120" s="15" t="n"/>
      <c r="M120" s="15" t="n"/>
    </row>
    <row r="121" ht="22" customHeight="1">
      <c r="B121" s="11" t="n"/>
      <c r="C121" s="11" t="n"/>
      <c r="D121" s="11" t="n"/>
      <c r="E121" s="11" t="n"/>
      <c r="F121" s="12" t="n"/>
      <c r="G121" s="13" t="n"/>
      <c r="H121" s="13">
        <f>IFERROR(G121*0.05,0)</f>
        <v/>
      </c>
      <c r="I121" s="11" t="n"/>
      <c r="J121" s="14" t="n"/>
      <c r="K121" s="14" t="n"/>
      <c r="L121" s="11" t="n"/>
      <c r="M121" s="11" t="n"/>
    </row>
    <row r="122" ht="22" customHeight="1">
      <c r="B122" s="15" t="n"/>
      <c r="C122" s="15" t="n"/>
      <c r="D122" s="15" t="n"/>
      <c r="E122" s="15" t="n"/>
      <c r="F122" s="16" t="n"/>
      <c r="G122" s="17" t="n"/>
      <c r="H122" s="17">
        <f>IFERROR(G122*0.05,0)</f>
        <v/>
      </c>
      <c r="I122" s="15" t="n"/>
      <c r="J122" s="18" t="n"/>
      <c r="K122" s="18" t="n"/>
      <c r="L122" s="15" t="n"/>
      <c r="M122" s="15" t="n"/>
    </row>
    <row r="123" ht="22" customHeight="1">
      <c r="B123" s="11" t="n"/>
      <c r="C123" s="11" t="n"/>
      <c r="D123" s="11" t="n"/>
      <c r="E123" s="11" t="n"/>
      <c r="F123" s="12" t="n"/>
      <c r="G123" s="13" t="n"/>
      <c r="H123" s="13">
        <f>IFERROR(G123*0.05,0)</f>
        <v/>
      </c>
      <c r="I123" s="11" t="n"/>
      <c r="J123" s="14" t="n"/>
      <c r="K123" s="14" t="n"/>
      <c r="L123" s="11" t="n"/>
      <c r="M123" s="11" t="n"/>
    </row>
    <row r="124" ht="22" customHeight="1">
      <c r="B124" s="15" t="n"/>
      <c r="C124" s="15" t="n"/>
      <c r="D124" s="15" t="n"/>
      <c r="E124" s="15" t="n"/>
      <c r="F124" s="16" t="n"/>
      <c r="G124" s="17" t="n"/>
      <c r="H124" s="17">
        <f>IFERROR(G124*0.05,0)</f>
        <v/>
      </c>
      <c r="I124" s="15" t="n"/>
      <c r="J124" s="18" t="n"/>
      <c r="K124" s="18" t="n"/>
      <c r="L124" s="15" t="n"/>
      <c r="M124" s="15" t="n"/>
    </row>
    <row r="125" ht="22" customHeight="1">
      <c r="B125" s="11" t="n"/>
      <c r="C125" s="11" t="n"/>
      <c r="D125" s="11" t="n"/>
      <c r="E125" s="11" t="n"/>
      <c r="F125" s="12" t="n"/>
      <c r="G125" s="13" t="n"/>
      <c r="H125" s="13">
        <f>IFERROR(G125*0.05,0)</f>
        <v/>
      </c>
      <c r="I125" s="11" t="n"/>
      <c r="J125" s="14" t="n"/>
      <c r="K125" s="14" t="n"/>
      <c r="L125" s="11" t="n"/>
      <c r="M125" s="11" t="n"/>
    </row>
    <row r="126" ht="22" customHeight="1">
      <c r="B126" s="15" t="n"/>
      <c r="C126" s="15" t="n"/>
      <c r="D126" s="15" t="n"/>
      <c r="E126" s="15" t="n"/>
      <c r="F126" s="16" t="n"/>
      <c r="G126" s="17" t="n"/>
      <c r="H126" s="17">
        <f>IFERROR(G126*0.05,0)</f>
        <v/>
      </c>
      <c r="I126" s="15" t="n"/>
      <c r="J126" s="18" t="n"/>
      <c r="K126" s="18" t="n"/>
      <c r="L126" s="15" t="n"/>
      <c r="M126" s="15" t="n"/>
    </row>
    <row r="127" ht="22" customHeight="1">
      <c r="B127" s="11" t="n"/>
      <c r="C127" s="11" t="n"/>
      <c r="D127" s="11" t="n"/>
      <c r="E127" s="11" t="n"/>
      <c r="F127" s="12" t="n"/>
      <c r="G127" s="13" t="n"/>
      <c r="H127" s="13">
        <f>IFERROR(G127*0.05,0)</f>
        <v/>
      </c>
      <c r="I127" s="11" t="n"/>
      <c r="J127" s="14" t="n"/>
      <c r="K127" s="14" t="n"/>
      <c r="L127" s="11" t="n"/>
      <c r="M127" s="11" t="n"/>
    </row>
    <row r="128" ht="22" customHeight="1">
      <c r="B128" s="15" t="n"/>
      <c r="C128" s="15" t="n"/>
      <c r="D128" s="15" t="n"/>
      <c r="E128" s="15" t="n"/>
      <c r="F128" s="16" t="n"/>
      <c r="G128" s="17" t="n"/>
      <c r="H128" s="17">
        <f>IFERROR(G128*0.05,0)</f>
        <v/>
      </c>
      <c r="I128" s="15" t="n"/>
      <c r="J128" s="18" t="n"/>
      <c r="K128" s="18" t="n"/>
      <c r="L128" s="15" t="n"/>
      <c r="M128" s="15" t="n"/>
    </row>
    <row r="129" ht="22" customHeight="1">
      <c r="B129" s="11" t="n"/>
      <c r="C129" s="11" t="n"/>
      <c r="D129" s="11" t="n"/>
      <c r="E129" s="11" t="n"/>
      <c r="F129" s="12" t="n"/>
      <c r="G129" s="13" t="n"/>
      <c r="H129" s="13">
        <f>IFERROR(G129*0.05,0)</f>
        <v/>
      </c>
      <c r="I129" s="11" t="n"/>
      <c r="J129" s="14" t="n"/>
      <c r="K129" s="14" t="n"/>
      <c r="L129" s="11" t="n"/>
      <c r="M129" s="11" t="n"/>
    </row>
    <row r="130" ht="22" customHeight="1">
      <c r="B130" s="15" t="n"/>
      <c r="C130" s="15" t="n"/>
      <c r="D130" s="15" t="n"/>
      <c r="E130" s="15" t="n"/>
      <c r="F130" s="16" t="n"/>
      <c r="G130" s="17" t="n"/>
      <c r="H130" s="17">
        <f>IFERROR(G130*0.05,0)</f>
        <v/>
      </c>
      <c r="I130" s="15" t="n"/>
      <c r="J130" s="18" t="n"/>
      <c r="K130" s="18" t="n"/>
      <c r="L130" s="15" t="n"/>
      <c r="M130" s="15" t="n"/>
    </row>
    <row r="131" ht="22" customHeight="1">
      <c r="B131" s="11" t="n"/>
      <c r="C131" s="11" t="n"/>
      <c r="D131" s="11" t="n"/>
      <c r="E131" s="11" t="n"/>
      <c r="F131" s="12" t="n"/>
      <c r="G131" s="13" t="n"/>
      <c r="H131" s="13">
        <f>IFERROR(G131*0.05,0)</f>
        <v/>
      </c>
      <c r="I131" s="11" t="n"/>
      <c r="J131" s="14" t="n"/>
      <c r="K131" s="14" t="n"/>
      <c r="L131" s="11" t="n"/>
      <c r="M131" s="11" t="n"/>
    </row>
    <row r="132" ht="22" customHeight="1">
      <c r="B132" s="15" t="n"/>
      <c r="C132" s="15" t="n"/>
      <c r="D132" s="15" t="n"/>
      <c r="E132" s="15" t="n"/>
      <c r="F132" s="16" t="n"/>
      <c r="G132" s="17" t="n"/>
      <c r="H132" s="17">
        <f>IFERROR(G132*0.05,0)</f>
        <v/>
      </c>
      <c r="I132" s="15" t="n"/>
      <c r="J132" s="18" t="n"/>
      <c r="K132" s="18" t="n"/>
      <c r="L132" s="15" t="n"/>
      <c r="M132" s="15" t="n"/>
    </row>
    <row r="133" ht="22" customHeight="1">
      <c r="B133" s="11" t="n"/>
      <c r="C133" s="11" t="n"/>
      <c r="D133" s="11" t="n"/>
      <c r="E133" s="11" t="n"/>
      <c r="F133" s="12" t="n"/>
      <c r="G133" s="13" t="n"/>
      <c r="H133" s="13">
        <f>IFERROR(G133*0.05,0)</f>
        <v/>
      </c>
      <c r="I133" s="11" t="n"/>
      <c r="J133" s="14" t="n"/>
      <c r="K133" s="14" t="n"/>
      <c r="L133" s="11" t="n"/>
      <c r="M133" s="11" t="n"/>
    </row>
    <row r="134" ht="22" customHeight="1">
      <c r="B134" s="15" t="n"/>
      <c r="C134" s="15" t="n"/>
      <c r="D134" s="15" t="n"/>
      <c r="E134" s="15" t="n"/>
      <c r="F134" s="16" t="n"/>
      <c r="G134" s="17" t="n"/>
      <c r="H134" s="17">
        <f>IFERROR(G134*0.05,0)</f>
        <v/>
      </c>
      <c r="I134" s="15" t="n"/>
      <c r="J134" s="18" t="n"/>
      <c r="K134" s="18" t="n"/>
      <c r="L134" s="15" t="n"/>
      <c r="M134" s="15" t="n"/>
    </row>
    <row r="135" ht="22" customHeight="1">
      <c r="B135" s="11" t="n"/>
      <c r="C135" s="11" t="n"/>
      <c r="D135" s="11" t="n"/>
      <c r="E135" s="11" t="n"/>
      <c r="F135" s="12" t="n"/>
      <c r="G135" s="13" t="n"/>
      <c r="H135" s="13">
        <f>IFERROR(G135*0.05,0)</f>
        <v/>
      </c>
      <c r="I135" s="11" t="n"/>
      <c r="J135" s="14" t="n"/>
      <c r="K135" s="14" t="n"/>
      <c r="L135" s="11" t="n"/>
      <c r="M135" s="11" t="n"/>
    </row>
    <row r="136" ht="22" customHeight="1">
      <c r="B136" s="15" t="n"/>
      <c r="C136" s="15" t="n"/>
      <c r="D136" s="15" t="n"/>
      <c r="E136" s="15" t="n"/>
      <c r="F136" s="16" t="n"/>
      <c r="G136" s="17" t="n"/>
      <c r="H136" s="17">
        <f>IFERROR(G136*0.05,0)</f>
        <v/>
      </c>
      <c r="I136" s="15" t="n"/>
      <c r="J136" s="18" t="n"/>
      <c r="K136" s="18" t="n"/>
      <c r="L136" s="15" t="n"/>
      <c r="M136" s="15" t="n"/>
    </row>
    <row r="137" ht="22" customHeight="1">
      <c r="B137" s="11" t="n"/>
      <c r="C137" s="11" t="n"/>
      <c r="D137" s="11" t="n"/>
      <c r="E137" s="11" t="n"/>
      <c r="F137" s="12" t="n"/>
      <c r="G137" s="13" t="n"/>
      <c r="H137" s="13">
        <f>IFERROR(G137*0.05,0)</f>
        <v/>
      </c>
      <c r="I137" s="11" t="n"/>
      <c r="J137" s="14" t="n"/>
      <c r="K137" s="14" t="n"/>
      <c r="L137" s="11" t="n"/>
      <c r="M137" s="11" t="n"/>
    </row>
    <row r="138" ht="22" customHeight="1">
      <c r="B138" s="15" t="n"/>
      <c r="C138" s="15" t="n"/>
      <c r="D138" s="15" t="n"/>
      <c r="E138" s="15" t="n"/>
      <c r="F138" s="16" t="n"/>
      <c r="G138" s="17" t="n"/>
      <c r="H138" s="17">
        <f>IFERROR(G138*0.05,0)</f>
        <v/>
      </c>
      <c r="I138" s="15" t="n"/>
      <c r="J138" s="18" t="n"/>
      <c r="K138" s="18" t="n"/>
      <c r="L138" s="15" t="n"/>
      <c r="M138" s="15" t="n"/>
    </row>
    <row r="139" ht="22" customHeight="1">
      <c r="B139" s="11" t="n"/>
      <c r="C139" s="11" t="n"/>
      <c r="D139" s="11" t="n"/>
      <c r="E139" s="11" t="n"/>
      <c r="F139" s="12" t="n"/>
      <c r="G139" s="13" t="n"/>
      <c r="H139" s="13">
        <f>IFERROR(G139*0.05,0)</f>
        <v/>
      </c>
      <c r="I139" s="11" t="n"/>
      <c r="J139" s="14" t="n"/>
      <c r="K139" s="14" t="n"/>
      <c r="L139" s="11" t="n"/>
      <c r="M139" s="11" t="n"/>
    </row>
    <row r="140" ht="22" customHeight="1">
      <c r="B140" s="15" t="n"/>
      <c r="C140" s="15" t="n"/>
      <c r="D140" s="15" t="n"/>
      <c r="E140" s="15" t="n"/>
      <c r="F140" s="16" t="n"/>
      <c r="G140" s="17" t="n"/>
      <c r="H140" s="17">
        <f>IFERROR(G140*0.05,0)</f>
        <v/>
      </c>
      <c r="I140" s="15" t="n"/>
      <c r="J140" s="18" t="n"/>
      <c r="K140" s="18" t="n"/>
      <c r="L140" s="15" t="n"/>
      <c r="M140" s="15" t="n"/>
    </row>
    <row r="141" ht="22" customHeight="1">
      <c r="B141" s="11" t="n"/>
      <c r="C141" s="11" t="n"/>
      <c r="D141" s="11" t="n"/>
      <c r="E141" s="11" t="n"/>
      <c r="F141" s="12" t="n"/>
      <c r="G141" s="13" t="n"/>
      <c r="H141" s="13">
        <f>IFERROR(G141*0.05,0)</f>
        <v/>
      </c>
      <c r="I141" s="11" t="n"/>
      <c r="J141" s="14" t="n"/>
      <c r="K141" s="14" t="n"/>
      <c r="L141" s="11" t="n"/>
      <c r="M141" s="11" t="n"/>
    </row>
    <row r="142" ht="22" customHeight="1">
      <c r="B142" s="15" t="n"/>
      <c r="C142" s="15" t="n"/>
      <c r="D142" s="15" t="n"/>
      <c r="E142" s="15" t="n"/>
      <c r="F142" s="16" t="n"/>
      <c r="G142" s="17" t="n"/>
      <c r="H142" s="17">
        <f>IFERROR(G142*0.05,0)</f>
        <v/>
      </c>
      <c r="I142" s="15" t="n"/>
      <c r="J142" s="18" t="n"/>
      <c r="K142" s="18" t="n"/>
      <c r="L142" s="15" t="n"/>
      <c r="M142" s="15" t="n"/>
    </row>
    <row r="143" ht="22" customHeight="1">
      <c r="B143" s="11" t="n"/>
      <c r="C143" s="11" t="n"/>
      <c r="D143" s="11" t="n"/>
      <c r="E143" s="11" t="n"/>
      <c r="F143" s="12" t="n"/>
      <c r="G143" s="13" t="n"/>
      <c r="H143" s="13">
        <f>IFERROR(G143*0.05,0)</f>
        <v/>
      </c>
      <c r="I143" s="11" t="n"/>
      <c r="J143" s="14" t="n"/>
      <c r="K143" s="14" t="n"/>
      <c r="L143" s="11" t="n"/>
      <c r="M143" s="11" t="n"/>
    </row>
    <row r="144" ht="22" customHeight="1">
      <c r="B144" s="15" t="n"/>
      <c r="C144" s="15" t="n"/>
      <c r="D144" s="15" t="n"/>
      <c r="E144" s="15" t="n"/>
      <c r="F144" s="16" t="n"/>
      <c r="G144" s="17" t="n"/>
      <c r="H144" s="17">
        <f>IFERROR(G144*0.05,0)</f>
        <v/>
      </c>
      <c r="I144" s="15" t="n"/>
      <c r="J144" s="18" t="n"/>
      <c r="K144" s="18" t="n"/>
      <c r="L144" s="15" t="n"/>
      <c r="M144" s="15" t="n"/>
    </row>
    <row r="145" ht="22" customHeight="1">
      <c r="B145" s="11" t="n"/>
      <c r="C145" s="11" t="n"/>
      <c r="D145" s="11" t="n"/>
      <c r="E145" s="11" t="n"/>
      <c r="F145" s="12" t="n"/>
      <c r="G145" s="13" t="n"/>
      <c r="H145" s="13">
        <f>IFERROR(G145*0.05,0)</f>
        <v/>
      </c>
      <c r="I145" s="11" t="n"/>
      <c r="J145" s="14" t="n"/>
      <c r="K145" s="14" t="n"/>
      <c r="L145" s="11" t="n"/>
      <c r="M145" s="11" t="n"/>
    </row>
    <row r="146" ht="22" customHeight="1">
      <c r="B146" s="15" t="n"/>
      <c r="C146" s="15" t="n"/>
      <c r="D146" s="15" t="n"/>
      <c r="E146" s="15" t="n"/>
      <c r="F146" s="16" t="n"/>
      <c r="G146" s="17" t="n"/>
      <c r="H146" s="17">
        <f>IFERROR(G146*0.05,0)</f>
        <v/>
      </c>
      <c r="I146" s="15" t="n"/>
      <c r="J146" s="18" t="n"/>
      <c r="K146" s="18" t="n"/>
      <c r="L146" s="15" t="n"/>
      <c r="M146" s="15" t="n"/>
    </row>
    <row r="147" ht="22" customHeight="1">
      <c r="B147" s="11" t="n"/>
      <c r="C147" s="11" t="n"/>
      <c r="D147" s="11" t="n"/>
      <c r="E147" s="11" t="n"/>
      <c r="F147" s="12" t="n"/>
      <c r="G147" s="13" t="n"/>
      <c r="H147" s="13">
        <f>IFERROR(G147*0.05,0)</f>
        <v/>
      </c>
      <c r="I147" s="11" t="n"/>
      <c r="J147" s="14" t="n"/>
      <c r="K147" s="14" t="n"/>
      <c r="L147" s="11" t="n"/>
      <c r="M147" s="11" t="n"/>
    </row>
    <row r="148" ht="22" customHeight="1">
      <c r="B148" s="15" t="n"/>
      <c r="C148" s="15" t="n"/>
      <c r="D148" s="15" t="n"/>
      <c r="E148" s="15" t="n"/>
      <c r="F148" s="16" t="n"/>
      <c r="G148" s="17" t="n"/>
      <c r="H148" s="17">
        <f>IFERROR(G148*0.05,0)</f>
        <v/>
      </c>
      <c r="I148" s="15" t="n"/>
      <c r="J148" s="18" t="n"/>
      <c r="K148" s="18" t="n"/>
      <c r="L148" s="15" t="n"/>
      <c r="M148" s="15" t="n"/>
    </row>
    <row r="149" ht="22" customHeight="1">
      <c r="B149" s="11" t="n"/>
      <c r="C149" s="11" t="n"/>
      <c r="D149" s="11" t="n"/>
      <c r="E149" s="11" t="n"/>
      <c r="F149" s="12" t="n"/>
      <c r="G149" s="13" t="n"/>
      <c r="H149" s="13">
        <f>IFERROR(G149*0.05,0)</f>
        <v/>
      </c>
      <c r="I149" s="11" t="n"/>
      <c r="J149" s="14" t="n"/>
      <c r="K149" s="14" t="n"/>
      <c r="L149" s="11" t="n"/>
      <c r="M149" s="11" t="n"/>
    </row>
    <row r="150" ht="22" customHeight="1">
      <c r="B150" s="15" t="n"/>
      <c r="C150" s="15" t="n"/>
      <c r="D150" s="15" t="n"/>
      <c r="E150" s="15" t="n"/>
      <c r="F150" s="16" t="n"/>
      <c r="G150" s="17" t="n"/>
      <c r="H150" s="17">
        <f>IFERROR(G150*0.05,0)</f>
        <v/>
      </c>
      <c r="I150" s="15" t="n"/>
      <c r="J150" s="18" t="n"/>
      <c r="K150" s="18" t="n"/>
      <c r="L150" s="15" t="n"/>
      <c r="M150" s="15" t="n"/>
    </row>
    <row r="151" ht="22" customHeight="1">
      <c r="B151" s="11" t="n"/>
      <c r="C151" s="11" t="n"/>
      <c r="D151" s="11" t="n"/>
      <c r="E151" s="11" t="n"/>
      <c r="F151" s="12" t="n"/>
      <c r="G151" s="13" t="n"/>
      <c r="H151" s="13">
        <f>IFERROR(G151*0.05,0)</f>
        <v/>
      </c>
      <c r="I151" s="11" t="n"/>
      <c r="J151" s="14" t="n"/>
      <c r="K151" s="14" t="n"/>
      <c r="L151" s="11" t="n"/>
      <c r="M151" s="11" t="n"/>
    </row>
    <row r="152" ht="22" customHeight="1">
      <c r="B152" s="15" t="n"/>
      <c r="C152" s="15" t="n"/>
      <c r="D152" s="15" t="n"/>
      <c r="E152" s="15" t="n"/>
      <c r="F152" s="16" t="n"/>
      <c r="G152" s="17" t="n"/>
      <c r="H152" s="17">
        <f>IFERROR(G152*0.05,0)</f>
        <v/>
      </c>
      <c r="I152" s="15" t="n"/>
      <c r="J152" s="18" t="n"/>
      <c r="K152" s="18" t="n"/>
      <c r="L152" s="15" t="n"/>
      <c r="M152" s="15" t="n"/>
    </row>
    <row r="153" ht="22" customHeight="1">
      <c r="B153" s="11" t="n"/>
      <c r="C153" s="11" t="n"/>
      <c r="D153" s="11" t="n"/>
      <c r="E153" s="11" t="n"/>
      <c r="F153" s="12" t="n"/>
      <c r="G153" s="13" t="n"/>
      <c r="H153" s="13">
        <f>IFERROR(G153*0.05,0)</f>
        <v/>
      </c>
      <c r="I153" s="11" t="n"/>
      <c r="J153" s="14" t="n"/>
      <c r="K153" s="14" t="n"/>
      <c r="L153" s="11" t="n"/>
      <c r="M153" s="11" t="n"/>
    </row>
    <row r="154" ht="22" customHeight="1">
      <c r="B154" s="15" t="n"/>
      <c r="C154" s="15" t="n"/>
      <c r="D154" s="15" t="n"/>
      <c r="E154" s="15" t="n"/>
      <c r="F154" s="16" t="n"/>
      <c r="G154" s="17" t="n"/>
      <c r="H154" s="17">
        <f>IFERROR(G154*0.05,0)</f>
        <v/>
      </c>
      <c r="I154" s="15" t="n"/>
      <c r="J154" s="18" t="n"/>
      <c r="K154" s="18" t="n"/>
      <c r="L154" s="15" t="n"/>
      <c r="M154" s="15" t="n"/>
    </row>
    <row r="155" ht="26" customHeight="1">
      <c r="B155" s="19" t="inlineStr">
        <is>
          <t>TOTALS</t>
        </is>
      </c>
      <c r="C155" s="19" t="n"/>
      <c r="D155" s="19" t="n"/>
      <c r="E155" s="19" t="n"/>
      <c r="F155" s="20">
        <f>IFERROR(SUM(F5:F154),0)</f>
        <v/>
      </c>
      <c r="G155" s="21">
        <f>IFERROR(SUM(G5:G154),0)</f>
        <v/>
      </c>
      <c r="H155" s="21">
        <f>IFERROR(SUM(H5:H154),0)</f>
        <v/>
      </c>
      <c r="I155" s="19">
        <f>IFERROR(COUNTA(B5:B154)-COUNTBLANK(B5:B154),0)&amp;" units"</f>
        <v/>
      </c>
      <c r="J155" s="19" t="n"/>
      <c r="K155" s="19" t="n"/>
      <c r="L155" s="19" t="n"/>
      <c r="M155" s="19" t="n"/>
    </row>
  </sheetData>
  <mergeCells count="1">
    <mergeCell ref="B2:M2"/>
  </mergeCells>
  <conditionalFormatting sqref="I5:I154">
    <cfRule type="cellIs" priority="1" operator="equal" dxfId="0">
      <formula>"Rented"</formula>
    </cfRule>
    <cfRule type="cellIs" priority="2" operator="equal" dxfId="1">
      <formula>"Vacant"</formula>
    </cfRule>
    <cfRule type="cellIs" priority="3" operator="equal" dxfId="2">
      <formula>"Under Maintenance"</formula>
    </cfRule>
  </conditionalFormatting>
  <dataValidations count="3">
    <dataValidation sqref="C5:C154" showDropDown="0" showInputMessage="0" showErrorMessage="0" allowBlank="1" promptTitle="Building" prompt="Select Building" type="list">
      <formula1>"Building A,Building B,Building C,Building D"</formula1>
    </dataValidation>
    <dataValidation sqref="E5:E154" showDropDown="0" showInputMessage="0" showErrorMessage="0" allowBlank="1" promptTitle="Unit Type" prompt="Select Unit Type" type="list">
      <formula1>"Studio,1 Bedroom,2 Bedroom,3 Bedroom,Shop,Office"</formula1>
    </dataValidation>
    <dataValidation sqref="I5:I154" showDropDown="0" showInputMessage="0" showErrorMessage="0" allowBlank="1" promptTitle="Status" prompt="Select Status" type="list">
      <formula1>"Rented,Vacant,Under Maintenance,Reserved"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P1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2" customWidth="1" min="3" max="3"/>
    <col width="16" customWidth="1" min="4" max="4"/>
    <col width="24" customWidth="1" min="5" max="5"/>
    <col width="12" customWidth="1" min="6" max="6"/>
    <col width="14" customWidth="1" min="7" max="7"/>
    <col width="14" customWidth="1" min="8" max="8"/>
    <col width="14" customWidth="1" min="9" max="9"/>
    <col width="22" customWidth="1" min="10" max="10"/>
    <col width="16" customWidth="1" min="11" max="11"/>
    <col width="16" customWidth="1" min="12" max="12"/>
    <col width="16" customWidth="1" min="13" max="13"/>
    <col width="14" customWidth="1" min="14" max="14"/>
    <col width="20" customWidth="1" min="15" max="15"/>
    <col width="20" customWidth="1" min="16" max="16"/>
  </cols>
  <sheetData>
    <row r="1" ht="15" customHeight="1"/>
    <row r="2" ht="32" customHeight="1">
      <c r="B2" s="1" t="inlineStr">
        <is>
          <t>Tenant Directory</t>
        </is>
      </c>
    </row>
    <row r="3" ht="8" customHeight="1"/>
    <row r="4" ht="28" customHeight="1">
      <c r="B4" s="10" t="inlineStr">
        <is>
          <t>Tenant ID</t>
        </is>
      </c>
      <c r="C4" s="10" t="inlineStr">
        <is>
          <t>Tenant Name</t>
        </is>
      </c>
      <c r="D4" s="10" t="inlineStr">
        <is>
          <t>Phone</t>
        </is>
      </c>
      <c r="E4" s="10" t="inlineStr">
        <is>
          <t>Email</t>
        </is>
      </c>
      <c r="F4" s="10" t="inlineStr">
        <is>
          <t>Unit ID</t>
        </is>
      </c>
      <c r="G4" s="10" t="inlineStr">
        <is>
          <t>Unit Type</t>
        </is>
      </c>
      <c r="H4" s="10" t="inlineStr">
        <is>
          <t>Lease Start</t>
        </is>
      </c>
      <c r="I4" s="10" t="inlineStr">
        <is>
          <t>Lease End</t>
        </is>
      </c>
      <c r="J4" s="10" t="inlineStr">
        <is>
          <t>Contract Duration (months)</t>
        </is>
      </c>
      <c r="K4" s="10" t="inlineStr">
        <is>
          <t>Monthly Rent</t>
        </is>
      </c>
      <c r="L4" s="10" t="inlineStr">
        <is>
          <t>Security Deposit</t>
        </is>
      </c>
      <c r="M4" s="10" t="inlineStr">
        <is>
          <t>Payment Method</t>
        </is>
      </c>
      <c r="N4" s="10" t="inlineStr">
        <is>
          <t>Nationality</t>
        </is>
      </c>
      <c r="O4" s="10" t="inlineStr">
        <is>
          <t>Employer</t>
        </is>
      </c>
      <c r="P4" s="10" t="inlineStr">
        <is>
          <t>Emergency Contact</t>
        </is>
      </c>
    </row>
    <row r="5" ht="22" customHeight="1">
      <c r="B5" s="11" t="n"/>
      <c r="C5" s="11" t="n"/>
      <c r="D5" s="11" t="n"/>
      <c r="E5" s="11" t="n"/>
      <c r="F5" s="11" t="n"/>
      <c r="G5" s="11" t="n"/>
      <c r="H5" s="14" t="n"/>
      <c r="I5" s="14" t="n"/>
      <c r="J5" s="12">
        <f>IFERROR((I5-H5)/30,0)</f>
        <v/>
      </c>
      <c r="K5" s="13">
        <f>IFERROR(VLOOKUP(F5,'Property Registry'!B5:G154,6,FALSE),0)</f>
        <v/>
      </c>
      <c r="L5" s="13" t="n"/>
      <c r="M5" s="11" t="n"/>
      <c r="N5" s="11" t="n"/>
      <c r="O5" s="11" t="n"/>
      <c r="P5" s="11" t="n"/>
    </row>
    <row r="6" ht="22" customHeight="1">
      <c r="B6" s="15" t="n"/>
      <c r="C6" s="15" t="n"/>
      <c r="D6" s="15" t="n"/>
      <c r="E6" s="15" t="n"/>
      <c r="F6" s="15" t="n"/>
      <c r="G6" s="15" t="n"/>
      <c r="H6" s="18" t="n"/>
      <c r="I6" s="18" t="n"/>
      <c r="J6" s="16">
        <f>IFERROR((I6-H6)/30,0)</f>
        <v/>
      </c>
      <c r="K6" s="17">
        <f>IFERROR(VLOOKUP(F6,'Property Registry'!B5:G154,6,FALSE),0)</f>
        <v/>
      </c>
      <c r="L6" s="17" t="n"/>
      <c r="M6" s="15" t="n"/>
      <c r="N6" s="15" t="n"/>
      <c r="O6" s="15" t="n"/>
      <c r="P6" s="15" t="n"/>
    </row>
    <row r="7" ht="22" customHeight="1">
      <c r="B7" s="11" t="n"/>
      <c r="C7" s="11" t="n"/>
      <c r="D7" s="11" t="n"/>
      <c r="E7" s="11" t="n"/>
      <c r="F7" s="11" t="n"/>
      <c r="G7" s="11" t="n"/>
      <c r="H7" s="14" t="n"/>
      <c r="I7" s="14" t="n"/>
      <c r="J7" s="12">
        <f>IFERROR((I7-H7)/30,0)</f>
        <v/>
      </c>
      <c r="K7" s="13">
        <f>IFERROR(VLOOKUP(F7,'Property Registry'!B5:G154,6,FALSE),0)</f>
        <v/>
      </c>
      <c r="L7" s="13" t="n"/>
      <c r="M7" s="11" t="n"/>
      <c r="N7" s="11" t="n"/>
      <c r="O7" s="11" t="n"/>
      <c r="P7" s="11" t="n"/>
    </row>
    <row r="8" ht="22" customHeight="1">
      <c r="B8" s="15" t="n"/>
      <c r="C8" s="15" t="n"/>
      <c r="D8" s="15" t="n"/>
      <c r="E8" s="15" t="n"/>
      <c r="F8" s="15" t="n"/>
      <c r="G8" s="15" t="n"/>
      <c r="H8" s="18" t="n"/>
      <c r="I8" s="18" t="n"/>
      <c r="J8" s="16">
        <f>IFERROR((I8-H8)/30,0)</f>
        <v/>
      </c>
      <c r="K8" s="17">
        <f>IFERROR(VLOOKUP(F8,'Property Registry'!B5:G154,6,FALSE),0)</f>
        <v/>
      </c>
      <c r="L8" s="17" t="n"/>
      <c r="M8" s="15" t="n"/>
      <c r="N8" s="15" t="n"/>
      <c r="O8" s="15" t="n"/>
      <c r="P8" s="15" t="n"/>
    </row>
    <row r="9" ht="22" customHeight="1">
      <c r="B9" s="11" t="n"/>
      <c r="C9" s="11" t="n"/>
      <c r="D9" s="11" t="n"/>
      <c r="E9" s="11" t="n"/>
      <c r="F9" s="11" t="n"/>
      <c r="G9" s="11" t="n"/>
      <c r="H9" s="14" t="n"/>
      <c r="I9" s="14" t="n"/>
      <c r="J9" s="12">
        <f>IFERROR((I9-H9)/30,0)</f>
        <v/>
      </c>
      <c r="K9" s="13">
        <f>IFERROR(VLOOKUP(F9,'Property Registry'!B5:G154,6,FALSE),0)</f>
        <v/>
      </c>
      <c r="L9" s="13" t="n"/>
      <c r="M9" s="11" t="n"/>
      <c r="N9" s="11" t="n"/>
      <c r="O9" s="11" t="n"/>
      <c r="P9" s="11" t="n"/>
    </row>
    <row r="10" ht="22" customHeight="1">
      <c r="B10" s="15" t="n"/>
      <c r="C10" s="15" t="n"/>
      <c r="D10" s="15" t="n"/>
      <c r="E10" s="15" t="n"/>
      <c r="F10" s="15" t="n"/>
      <c r="G10" s="15" t="n"/>
      <c r="H10" s="18" t="n"/>
      <c r="I10" s="18" t="n"/>
      <c r="J10" s="16">
        <f>IFERROR((I10-H10)/30,0)</f>
        <v/>
      </c>
      <c r="K10" s="17">
        <f>IFERROR(VLOOKUP(F10,'Property Registry'!B5:G154,6,FALSE),0)</f>
        <v/>
      </c>
      <c r="L10" s="17" t="n"/>
      <c r="M10" s="15" t="n"/>
      <c r="N10" s="15" t="n"/>
      <c r="O10" s="15" t="n"/>
      <c r="P10" s="15" t="n"/>
    </row>
    <row r="11" ht="22" customHeight="1">
      <c r="B11" s="11" t="n"/>
      <c r="C11" s="11" t="n"/>
      <c r="D11" s="11" t="n"/>
      <c r="E11" s="11" t="n"/>
      <c r="F11" s="11" t="n"/>
      <c r="G11" s="11" t="n"/>
      <c r="H11" s="14" t="n"/>
      <c r="I11" s="14" t="n"/>
      <c r="J11" s="12">
        <f>IFERROR((I11-H11)/30,0)</f>
        <v/>
      </c>
      <c r="K11" s="13">
        <f>IFERROR(VLOOKUP(F11,'Property Registry'!B5:G154,6,FALSE),0)</f>
        <v/>
      </c>
      <c r="L11" s="13" t="n"/>
      <c r="M11" s="11" t="n"/>
      <c r="N11" s="11" t="n"/>
      <c r="O11" s="11" t="n"/>
      <c r="P11" s="11" t="n"/>
    </row>
    <row r="12" ht="22" customHeight="1">
      <c r="B12" s="15" t="n"/>
      <c r="C12" s="15" t="n"/>
      <c r="D12" s="15" t="n"/>
      <c r="E12" s="15" t="n"/>
      <c r="F12" s="15" t="n"/>
      <c r="G12" s="15" t="n"/>
      <c r="H12" s="18" t="n"/>
      <c r="I12" s="18" t="n"/>
      <c r="J12" s="16">
        <f>IFERROR((I12-H12)/30,0)</f>
        <v/>
      </c>
      <c r="K12" s="17">
        <f>IFERROR(VLOOKUP(F12,'Property Registry'!B5:G154,6,FALSE),0)</f>
        <v/>
      </c>
      <c r="L12" s="17" t="n"/>
      <c r="M12" s="15" t="n"/>
      <c r="N12" s="15" t="n"/>
      <c r="O12" s="15" t="n"/>
      <c r="P12" s="15" t="n"/>
    </row>
    <row r="13" ht="22" customHeight="1">
      <c r="B13" s="11" t="n"/>
      <c r="C13" s="11" t="n"/>
      <c r="D13" s="11" t="n"/>
      <c r="E13" s="11" t="n"/>
      <c r="F13" s="11" t="n"/>
      <c r="G13" s="11" t="n"/>
      <c r="H13" s="14" t="n"/>
      <c r="I13" s="14" t="n"/>
      <c r="J13" s="12">
        <f>IFERROR((I13-H13)/30,0)</f>
        <v/>
      </c>
      <c r="K13" s="13">
        <f>IFERROR(VLOOKUP(F13,'Property Registry'!B5:G154,6,FALSE),0)</f>
        <v/>
      </c>
      <c r="L13" s="13" t="n"/>
      <c r="M13" s="11" t="n"/>
      <c r="N13" s="11" t="n"/>
      <c r="O13" s="11" t="n"/>
      <c r="P13" s="11" t="n"/>
    </row>
    <row r="14" ht="22" customHeight="1">
      <c r="B14" s="15" t="n"/>
      <c r="C14" s="15" t="n"/>
      <c r="D14" s="15" t="n"/>
      <c r="E14" s="15" t="n"/>
      <c r="F14" s="15" t="n"/>
      <c r="G14" s="15" t="n"/>
      <c r="H14" s="18" t="n"/>
      <c r="I14" s="18" t="n"/>
      <c r="J14" s="16">
        <f>IFERROR((I14-H14)/30,0)</f>
        <v/>
      </c>
      <c r="K14" s="17">
        <f>IFERROR(VLOOKUP(F14,'Property Registry'!B5:G154,6,FALSE),0)</f>
        <v/>
      </c>
      <c r="L14" s="17" t="n"/>
      <c r="M14" s="15" t="n"/>
      <c r="N14" s="15" t="n"/>
      <c r="O14" s="15" t="n"/>
      <c r="P14" s="15" t="n"/>
    </row>
    <row r="15" ht="22" customHeight="1">
      <c r="B15" s="11" t="n"/>
      <c r="C15" s="11" t="n"/>
      <c r="D15" s="11" t="n"/>
      <c r="E15" s="11" t="n"/>
      <c r="F15" s="11" t="n"/>
      <c r="G15" s="11" t="n"/>
      <c r="H15" s="14" t="n"/>
      <c r="I15" s="14" t="n"/>
      <c r="J15" s="12">
        <f>IFERROR((I15-H15)/30,0)</f>
        <v/>
      </c>
      <c r="K15" s="13">
        <f>IFERROR(VLOOKUP(F15,'Property Registry'!B5:G154,6,FALSE),0)</f>
        <v/>
      </c>
      <c r="L15" s="13" t="n"/>
      <c r="M15" s="11" t="n"/>
      <c r="N15" s="11" t="n"/>
      <c r="O15" s="11" t="n"/>
      <c r="P15" s="11" t="n"/>
    </row>
    <row r="16" ht="22" customHeight="1">
      <c r="B16" s="15" t="n"/>
      <c r="C16" s="15" t="n"/>
      <c r="D16" s="15" t="n"/>
      <c r="E16" s="15" t="n"/>
      <c r="F16" s="15" t="n"/>
      <c r="G16" s="15" t="n"/>
      <c r="H16" s="18" t="n"/>
      <c r="I16" s="18" t="n"/>
      <c r="J16" s="16">
        <f>IFERROR((I16-H16)/30,0)</f>
        <v/>
      </c>
      <c r="K16" s="17">
        <f>IFERROR(VLOOKUP(F16,'Property Registry'!B5:G154,6,FALSE),0)</f>
        <v/>
      </c>
      <c r="L16" s="17" t="n"/>
      <c r="M16" s="15" t="n"/>
      <c r="N16" s="15" t="n"/>
      <c r="O16" s="15" t="n"/>
      <c r="P16" s="15" t="n"/>
    </row>
    <row r="17" ht="22" customHeight="1">
      <c r="B17" s="11" t="n"/>
      <c r="C17" s="11" t="n"/>
      <c r="D17" s="11" t="n"/>
      <c r="E17" s="11" t="n"/>
      <c r="F17" s="11" t="n"/>
      <c r="G17" s="11" t="n"/>
      <c r="H17" s="14" t="n"/>
      <c r="I17" s="14" t="n"/>
      <c r="J17" s="12">
        <f>IFERROR((I17-H17)/30,0)</f>
        <v/>
      </c>
      <c r="K17" s="13">
        <f>IFERROR(VLOOKUP(F17,'Property Registry'!B5:G154,6,FALSE),0)</f>
        <v/>
      </c>
      <c r="L17" s="13" t="n"/>
      <c r="M17" s="11" t="n"/>
      <c r="N17" s="11" t="n"/>
      <c r="O17" s="11" t="n"/>
      <c r="P17" s="11" t="n"/>
    </row>
    <row r="18" ht="22" customHeight="1">
      <c r="B18" s="15" t="n"/>
      <c r="C18" s="15" t="n"/>
      <c r="D18" s="15" t="n"/>
      <c r="E18" s="15" t="n"/>
      <c r="F18" s="15" t="n"/>
      <c r="G18" s="15" t="n"/>
      <c r="H18" s="18" t="n"/>
      <c r="I18" s="18" t="n"/>
      <c r="J18" s="16">
        <f>IFERROR((I18-H18)/30,0)</f>
        <v/>
      </c>
      <c r="K18" s="17">
        <f>IFERROR(VLOOKUP(F18,'Property Registry'!B5:G154,6,FALSE),0)</f>
        <v/>
      </c>
      <c r="L18" s="17" t="n"/>
      <c r="M18" s="15" t="n"/>
      <c r="N18" s="15" t="n"/>
      <c r="O18" s="15" t="n"/>
      <c r="P18" s="15" t="n"/>
    </row>
    <row r="19" ht="22" customHeight="1">
      <c r="B19" s="11" t="n"/>
      <c r="C19" s="11" t="n"/>
      <c r="D19" s="11" t="n"/>
      <c r="E19" s="11" t="n"/>
      <c r="F19" s="11" t="n"/>
      <c r="G19" s="11" t="n"/>
      <c r="H19" s="14" t="n"/>
      <c r="I19" s="14" t="n"/>
      <c r="J19" s="12">
        <f>IFERROR((I19-H19)/30,0)</f>
        <v/>
      </c>
      <c r="K19" s="13">
        <f>IFERROR(VLOOKUP(F19,'Property Registry'!B5:G154,6,FALSE),0)</f>
        <v/>
      </c>
      <c r="L19" s="13" t="n"/>
      <c r="M19" s="11" t="n"/>
      <c r="N19" s="11" t="n"/>
      <c r="O19" s="11" t="n"/>
      <c r="P19" s="11" t="n"/>
    </row>
    <row r="20" ht="22" customHeight="1">
      <c r="B20" s="15" t="n"/>
      <c r="C20" s="15" t="n"/>
      <c r="D20" s="15" t="n"/>
      <c r="E20" s="15" t="n"/>
      <c r="F20" s="15" t="n"/>
      <c r="G20" s="15" t="n"/>
      <c r="H20" s="18" t="n"/>
      <c r="I20" s="18" t="n"/>
      <c r="J20" s="16">
        <f>IFERROR((I20-H20)/30,0)</f>
        <v/>
      </c>
      <c r="K20" s="17">
        <f>IFERROR(VLOOKUP(F20,'Property Registry'!B5:G154,6,FALSE),0)</f>
        <v/>
      </c>
      <c r="L20" s="17" t="n"/>
      <c r="M20" s="15" t="n"/>
      <c r="N20" s="15" t="n"/>
      <c r="O20" s="15" t="n"/>
      <c r="P20" s="15" t="n"/>
    </row>
    <row r="21" ht="22" customHeight="1">
      <c r="B21" s="11" t="n"/>
      <c r="C21" s="11" t="n"/>
      <c r="D21" s="11" t="n"/>
      <c r="E21" s="11" t="n"/>
      <c r="F21" s="11" t="n"/>
      <c r="G21" s="11" t="n"/>
      <c r="H21" s="14" t="n"/>
      <c r="I21" s="14" t="n"/>
      <c r="J21" s="12">
        <f>IFERROR((I21-H21)/30,0)</f>
        <v/>
      </c>
      <c r="K21" s="13">
        <f>IFERROR(VLOOKUP(F21,'Property Registry'!B5:G154,6,FALSE),0)</f>
        <v/>
      </c>
      <c r="L21" s="13" t="n"/>
      <c r="M21" s="11" t="n"/>
      <c r="N21" s="11" t="n"/>
      <c r="O21" s="11" t="n"/>
      <c r="P21" s="11" t="n"/>
    </row>
    <row r="22" ht="22" customHeight="1">
      <c r="B22" s="15" t="n"/>
      <c r="C22" s="15" t="n"/>
      <c r="D22" s="15" t="n"/>
      <c r="E22" s="15" t="n"/>
      <c r="F22" s="15" t="n"/>
      <c r="G22" s="15" t="n"/>
      <c r="H22" s="18" t="n"/>
      <c r="I22" s="18" t="n"/>
      <c r="J22" s="16">
        <f>IFERROR((I22-H22)/30,0)</f>
        <v/>
      </c>
      <c r="K22" s="17">
        <f>IFERROR(VLOOKUP(F22,'Property Registry'!B5:G154,6,FALSE),0)</f>
        <v/>
      </c>
      <c r="L22" s="17" t="n"/>
      <c r="M22" s="15" t="n"/>
      <c r="N22" s="15" t="n"/>
      <c r="O22" s="15" t="n"/>
      <c r="P22" s="15" t="n"/>
    </row>
    <row r="23" ht="22" customHeight="1">
      <c r="B23" s="11" t="n"/>
      <c r="C23" s="11" t="n"/>
      <c r="D23" s="11" t="n"/>
      <c r="E23" s="11" t="n"/>
      <c r="F23" s="11" t="n"/>
      <c r="G23" s="11" t="n"/>
      <c r="H23" s="14" t="n"/>
      <c r="I23" s="14" t="n"/>
      <c r="J23" s="12">
        <f>IFERROR((I23-H23)/30,0)</f>
        <v/>
      </c>
      <c r="K23" s="13">
        <f>IFERROR(VLOOKUP(F23,'Property Registry'!B5:G154,6,FALSE),0)</f>
        <v/>
      </c>
      <c r="L23" s="13" t="n"/>
      <c r="M23" s="11" t="n"/>
      <c r="N23" s="11" t="n"/>
      <c r="O23" s="11" t="n"/>
      <c r="P23" s="11" t="n"/>
    </row>
    <row r="24" ht="22" customHeight="1">
      <c r="B24" s="15" t="n"/>
      <c r="C24" s="15" t="n"/>
      <c r="D24" s="15" t="n"/>
      <c r="E24" s="15" t="n"/>
      <c r="F24" s="15" t="n"/>
      <c r="G24" s="15" t="n"/>
      <c r="H24" s="18" t="n"/>
      <c r="I24" s="18" t="n"/>
      <c r="J24" s="16">
        <f>IFERROR((I24-H24)/30,0)</f>
        <v/>
      </c>
      <c r="K24" s="17">
        <f>IFERROR(VLOOKUP(F24,'Property Registry'!B5:G154,6,FALSE),0)</f>
        <v/>
      </c>
      <c r="L24" s="17" t="n"/>
      <c r="M24" s="15" t="n"/>
      <c r="N24" s="15" t="n"/>
      <c r="O24" s="15" t="n"/>
      <c r="P24" s="15" t="n"/>
    </row>
    <row r="25" ht="22" customHeight="1">
      <c r="B25" s="11" t="n"/>
      <c r="C25" s="11" t="n"/>
      <c r="D25" s="11" t="n"/>
      <c r="E25" s="11" t="n"/>
      <c r="F25" s="11" t="n"/>
      <c r="G25" s="11" t="n"/>
      <c r="H25" s="14" t="n"/>
      <c r="I25" s="14" t="n"/>
      <c r="J25" s="12">
        <f>IFERROR((I25-H25)/30,0)</f>
        <v/>
      </c>
      <c r="K25" s="13">
        <f>IFERROR(VLOOKUP(F25,'Property Registry'!B5:G154,6,FALSE),0)</f>
        <v/>
      </c>
      <c r="L25" s="13" t="n"/>
      <c r="M25" s="11" t="n"/>
      <c r="N25" s="11" t="n"/>
      <c r="O25" s="11" t="n"/>
      <c r="P25" s="11" t="n"/>
    </row>
    <row r="26" ht="22" customHeight="1">
      <c r="B26" s="15" t="n"/>
      <c r="C26" s="15" t="n"/>
      <c r="D26" s="15" t="n"/>
      <c r="E26" s="15" t="n"/>
      <c r="F26" s="15" t="n"/>
      <c r="G26" s="15" t="n"/>
      <c r="H26" s="18" t="n"/>
      <c r="I26" s="18" t="n"/>
      <c r="J26" s="16">
        <f>IFERROR((I26-H26)/30,0)</f>
        <v/>
      </c>
      <c r="K26" s="17">
        <f>IFERROR(VLOOKUP(F26,'Property Registry'!B5:G154,6,FALSE),0)</f>
        <v/>
      </c>
      <c r="L26" s="17" t="n"/>
      <c r="M26" s="15" t="n"/>
      <c r="N26" s="15" t="n"/>
      <c r="O26" s="15" t="n"/>
      <c r="P26" s="15" t="n"/>
    </row>
    <row r="27" ht="22" customHeight="1">
      <c r="B27" s="11" t="n"/>
      <c r="C27" s="11" t="n"/>
      <c r="D27" s="11" t="n"/>
      <c r="E27" s="11" t="n"/>
      <c r="F27" s="11" t="n"/>
      <c r="G27" s="11" t="n"/>
      <c r="H27" s="14" t="n"/>
      <c r="I27" s="14" t="n"/>
      <c r="J27" s="12">
        <f>IFERROR((I27-H27)/30,0)</f>
        <v/>
      </c>
      <c r="K27" s="13">
        <f>IFERROR(VLOOKUP(F27,'Property Registry'!B5:G154,6,FALSE),0)</f>
        <v/>
      </c>
      <c r="L27" s="13" t="n"/>
      <c r="M27" s="11" t="n"/>
      <c r="N27" s="11" t="n"/>
      <c r="O27" s="11" t="n"/>
      <c r="P27" s="11" t="n"/>
    </row>
    <row r="28" ht="22" customHeight="1">
      <c r="B28" s="15" t="n"/>
      <c r="C28" s="15" t="n"/>
      <c r="D28" s="15" t="n"/>
      <c r="E28" s="15" t="n"/>
      <c r="F28" s="15" t="n"/>
      <c r="G28" s="15" t="n"/>
      <c r="H28" s="18" t="n"/>
      <c r="I28" s="18" t="n"/>
      <c r="J28" s="16">
        <f>IFERROR((I28-H28)/30,0)</f>
        <v/>
      </c>
      <c r="K28" s="17">
        <f>IFERROR(VLOOKUP(F28,'Property Registry'!B5:G154,6,FALSE),0)</f>
        <v/>
      </c>
      <c r="L28" s="17" t="n"/>
      <c r="M28" s="15" t="n"/>
      <c r="N28" s="15" t="n"/>
      <c r="O28" s="15" t="n"/>
      <c r="P28" s="15" t="n"/>
    </row>
    <row r="29" ht="22" customHeight="1">
      <c r="B29" s="11" t="n"/>
      <c r="C29" s="11" t="n"/>
      <c r="D29" s="11" t="n"/>
      <c r="E29" s="11" t="n"/>
      <c r="F29" s="11" t="n"/>
      <c r="G29" s="11" t="n"/>
      <c r="H29" s="14" t="n"/>
      <c r="I29" s="14" t="n"/>
      <c r="J29" s="12">
        <f>IFERROR((I29-H29)/30,0)</f>
        <v/>
      </c>
      <c r="K29" s="13">
        <f>IFERROR(VLOOKUP(F29,'Property Registry'!B5:G154,6,FALSE),0)</f>
        <v/>
      </c>
      <c r="L29" s="13" t="n"/>
      <c r="M29" s="11" t="n"/>
      <c r="N29" s="11" t="n"/>
      <c r="O29" s="11" t="n"/>
      <c r="P29" s="11" t="n"/>
    </row>
    <row r="30" ht="22" customHeight="1">
      <c r="B30" s="15" t="n"/>
      <c r="C30" s="15" t="n"/>
      <c r="D30" s="15" t="n"/>
      <c r="E30" s="15" t="n"/>
      <c r="F30" s="15" t="n"/>
      <c r="G30" s="15" t="n"/>
      <c r="H30" s="18" t="n"/>
      <c r="I30" s="18" t="n"/>
      <c r="J30" s="16">
        <f>IFERROR((I30-H30)/30,0)</f>
        <v/>
      </c>
      <c r="K30" s="17">
        <f>IFERROR(VLOOKUP(F30,'Property Registry'!B5:G154,6,FALSE),0)</f>
        <v/>
      </c>
      <c r="L30" s="17" t="n"/>
      <c r="M30" s="15" t="n"/>
      <c r="N30" s="15" t="n"/>
      <c r="O30" s="15" t="n"/>
      <c r="P30" s="15" t="n"/>
    </row>
    <row r="31" ht="22" customHeight="1">
      <c r="B31" s="11" t="n"/>
      <c r="C31" s="11" t="n"/>
      <c r="D31" s="11" t="n"/>
      <c r="E31" s="11" t="n"/>
      <c r="F31" s="11" t="n"/>
      <c r="G31" s="11" t="n"/>
      <c r="H31" s="14" t="n"/>
      <c r="I31" s="14" t="n"/>
      <c r="J31" s="12">
        <f>IFERROR((I31-H31)/30,0)</f>
        <v/>
      </c>
      <c r="K31" s="13">
        <f>IFERROR(VLOOKUP(F31,'Property Registry'!B5:G154,6,FALSE),0)</f>
        <v/>
      </c>
      <c r="L31" s="13" t="n"/>
      <c r="M31" s="11" t="n"/>
      <c r="N31" s="11" t="n"/>
      <c r="O31" s="11" t="n"/>
      <c r="P31" s="11" t="n"/>
    </row>
    <row r="32" ht="22" customHeight="1">
      <c r="B32" s="15" t="n"/>
      <c r="C32" s="15" t="n"/>
      <c r="D32" s="15" t="n"/>
      <c r="E32" s="15" t="n"/>
      <c r="F32" s="15" t="n"/>
      <c r="G32" s="15" t="n"/>
      <c r="H32" s="18" t="n"/>
      <c r="I32" s="18" t="n"/>
      <c r="J32" s="16">
        <f>IFERROR((I32-H32)/30,0)</f>
        <v/>
      </c>
      <c r="K32" s="17">
        <f>IFERROR(VLOOKUP(F32,'Property Registry'!B5:G154,6,FALSE),0)</f>
        <v/>
      </c>
      <c r="L32" s="17" t="n"/>
      <c r="M32" s="15" t="n"/>
      <c r="N32" s="15" t="n"/>
      <c r="O32" s="15" t="n"/>
      <c r="P32" s="15" t="n"/>
    </row>
    <row r="33" ht="22" customHeight="1">
      <c r="B33" s="11" t="n"/>
      <c r="C33" s="11" t="n"/>
      <c r="D33" s="11" t="n"/>
      <c r="E33" s="11" t="n"/>
      <c r="F33" s="11" t="n"/>
      <c r="G33" s="11" t="n"/>
      <c r="H33" s="14" t="n"/>
      <c r="I33" s="14" t="n"/>
      <c r="J33" s="12">
        <f>IFERROR((I33-H33)/30,0)</f>
        <v/>
      </c>
      <c r="K33" s="13">
        <f>IFERROR(VLOOKUP(F33,'Property Registry'!B5:G154,6,FALSE),0)</f>
        <v/>
      </c>
      <c r="L33" s="13" t="n"/>
      <c r="M33" s="11" t="n"/>
      <c r="N33" s="11" t="n"/>
      <c r="O33" s="11" t="n"/>
      <c r="P33" s="11" t="n"/>
    </row>
    <row r="34" ht="22" customHeight="1">
      <c r="B34" s="15" t="n"/>
      <c r="C34" s="15" t="n"/>
      <c r="D34" s="15" t="n"/>
      <c r="E34" s="15" t="n"/>
      <c r="F34" s="15" t="n"/>
      <c r="G34" s="15" t="n"/>
      <c r="H34" s="18" t="n"/>
      <c r="I34" s="18" t="n"/>
      <c r="J34" s="16">
        <f>IFERROR((I34-H34)/30,0)</f>
        <v/>
      </c>
      <c r="K34" s="17">
        <f>IFERROR(VLOOKUP(F34,'Property Registry'!B5:G154,6,FALSE),0)</f>
        <v/>
      </c>
      <c r="L34" s="17" t="n"/>
      <c r="M34" s="15" t="n"/>
      <c r="N34" s="15" t="n"/>
      <c r="O34" s="15" t="n"/>
      <c r="P34" s="15" t="n"/>
    </row>
    <row r="35" ht="22" customHeight="1">
      <c r="B35" s="11" t="n"/>
      <c r="C35" s="11" t="n"/>
      <c r="D35" s="11" t="n"/>
      <c r="E35" s="11" t="n"/>
      <c r="F35" s="11" t="n"/>
      <c r="G35" s="11" t="n"/>
      <c r="H35" s="14" t="n"/>
      <c r="I35" s="14" t="n"/>
      <c r="J35" s="12">
        <f>IFERROR((I35-H35)/30,0)</f>
        <v/>
      </c>
      <c r="K35" s="13">
        <f>IFERROR(VLOOKUP(F35,'Property Registry'!B5:G154,6,FALSE),0)</f>
        <v/>
      </c>
      <c r="L35" s="13" t="n"/>
      <c r="M35" s="11" t="n"/>
      <c r="N35" s="11" t="n"/>
      <c r="O35" s="11" t="n"/>
      <c r="P35" s="11" t="n"/>
    </row>
    <row r="36" ht="22" customHeight="1">
      <c r="B36" s="15" t="n"/>
      <c r="C36" s="15" t="n"/>
      <c r="D36" s="15" t="n"/>
      <c r="E36" s="15" t="n"/>
      <c r="F36" s="15" t="n"/>
      <c r="G36" s="15" t="n"/>
      <c r="H36" s="18" t="n"/>
      <c r="I36" s="18" t="n"/>
      <c r="J36" s="16">
        <f>IFERROR((I36-H36)/30,0)</f>
        <v/>
      </c>
      <c r="K36" s="17">
        <f>IFERROR(VLOOKUP(F36,'Property Registry'!B5:G154,6,FALSE),0)</f>
        <v/>
      </c>
      <c r="L36" s="17" t="n"/>
      <c r="M36" s="15" t="n"/>
      <c r="N36" s="15" t="n"/>
      <c r="O36" s="15" t="n"/>
      <c r="P36" s="15" t="n"/>
    </row>
    <row r="37" ht="22" customHeight="1">
      <c r="B37" s="11" t="n"/>
      <c r="C37" s="11" t="n"/>
      <c r="D37" s="11" t="n"/>
      <c r="E37" s="11" t="n"/>
      <c r="F37" s="11" t="n"/>
      <c r="G37" s="11" t="n"/>
      <c r="H37" s="14" t="n"/>
      <c r="I37" s="14" t="n"/>
      <c r="J37" s="12">
        <f>IFERROR((I37-H37)/30,0)</f>
        <v/>
      </c>
      <c r="K37" s="13">
        <f>IFERROR(VLOOKUP(F37,'Property Registry'!B5:G154,6,FALSE),0)</f>
        <v/>
      </c>
      <c r="L37" s="13" t="n"/>
      <c r="M37" s="11" t="n"/>
      <c r="N37" s="11" t="n"/>
      <c r="O37" s="11" t="n"/>
      <c r="P37" s="11" t="n"/>
    </row>
    <row r="38" ht="22" customHeight="1">
      <c r="B38" s="15" t="n"/>
      <c r="C38" s="15" t="n"/>
      <c r="D38" s="15" t="n"/>
      <c r="E38" s="15" t="n"/>
      <c r="F38" s="15" t="n"/>
      <c r="G38" s="15" t="n"/>
      <c r="H38" s="18" t="n"/>
      <c r="I38" s="18" t="n"/>
      <c r="J38" s="16">
        <f>IFERROR((I38-H38)/30,0)</f>
        <v/>
      </c>
      <c r="K38" s="17">
        <f>IFERROR(VLOOKUP(F38,'Property Registry'!B5:G154,6,FALSE),0)</f>
        <v/>
      </c>
      <c r="L38" s="17" t="n"/>
      <c r="M38" s="15" t="n"/>
      <c r="N38" s="15" t="n"/>
      <c r="O38" s="15" t="n"/>
      <c r="P38" s="15" t="n"/>
    </row>
    <row r="39" ht="22" customHeight="1">
      <c r="B39" s="11" t="n"/>
      <c r="C39" s="11" t="n"/>
      <c r="D39" s="11" t="n"/>
      <c r="E39" s="11" t="n"/>
      <c r="F39" s="11" t="n"/>
      <c r="G39" s="11" t="n"/>
      <c r="H39" s="14" t="n"/>
      <c r="I39" s="14" t="n"/>
      <c r="J39" s="12">
        <f>IFERROR((I39-H39)/30,0)</f>
        <v/>
      </c>
      <c r="K39" s="13">
        <f>IFERROR(VLOOKUP(F39,'Property Registry'!B5:G154,6,FALSE),0)</f>
        <v/>
      </c>
      <c r="L39" s="13" t="n"/>
      <c r="M39" s="11" t="n"/>
      <c r="N39" s="11" t="n"/>
      <c r="O39" s="11" t="n"/>
      <c r="P39" s="11" t="n"/>
    </row>
    <row r="40" ht="22" customHeight="1">
      <c r="B40" s="15" t="n"/>
      <c r="C40" s="15" t="n"/>
      <c r="D40" s="15" t="n"/>
      <c r="E40" s="15" t="n"/>
      <c r="F40" s="15" t="n"/>
      <c r="G40" s="15" t="n"/>
      <c r="H40" s="18" t="n"/>
      <c r="I40" s="18" t="n"/>
      <c r="J40" s="16">
        <f>IFERROR((I40-H40)/30,0)</f>
        <v/>
      </c>
      <c r="K40" s="17">
        <f>IFERROR(VLOOKUP(F40,'Property Registry'!B5:G154,6,FALSE),0)</f>
        <v/>
      </c>
      <c r="L40" s="17" t="n"/>
      <c r="M40" s="15" t="n"/>
      <c r="N40" s="15" t="n"/>
      <c r="O40" s="15" t="n"/>
      <c r="P40" s="15" t="n"/>
    </row>
    <row r="41" ht="22" customHeight="1">
      <c r="B41" s="11" t="n"/>
      <c r="C41" s="11" t="n"/>
      <c r="D41" s="11" t="n"/>
      <c r="E41" s="11" t="n"/>
      <c r="F41" s="11" t="n"/>
      <c r="G41" s="11" t="n"/>
      <c r="H41" s="14" t="n"/>
      <c r="I41" s="14" t="n"/>
      <c r="J41" s="12">
        <f>IFERROR((I41-H41)/30,0)</f>
        <v/>
      </c>
      <c r="K41" s="13">
        <f>IFERROR(VLOOKUP(F41,'Property Registry'!B5:G154,6,FALSE),0)</f>
        <v/>
      </c>
      <c r="L41" s="13" t="n"/>
      <c r="M41" s="11" t="n"/>
      <c r="N41" s="11" t="n"/>
      <c r="O41" s="11" t="n"/>
      <c r="P41" s="11" t="n"/>
    </row>
    <row r="42" ht="22" customHeight="1">
      <c r="B42" s="15" t="n"/>
      <c r="C42" s="15" t="n"/>
      <c r="D42" s="15" t="n"/>
      <c r="E42" s="15" t="n"/>
      <c r="F42" s="15" t="n"/>
      <c r="G42" s="15" t="n"/>
      <c r="H42" s="18" t="n"/>
      <c r="I42" s="18" t="n"/>
      <c r="J42" s="16">
        <f>IFERROR((I42-H42)/30,0)</f>
        <v/>
      </c>
      <c r="K42" s="17">
        <f>IFERROR(VLOOKUP(F42,'Property Registry'!B5:G154,6,FALSE),0)</f>
        <v/>
      </c>
      <c r="L42" s="17" t="n"/>
      <c r="M42" s="15" t="n"/>
      <c r="N42" s="15" t="n"/>
      <c r="O42" s="15" t="n"/>
      <c r="P42" s="15" t="n"/>
    </row>
    <row r="43" ht="22" customHeight="1">
      <c r="B43" s="11" t="n"/>
      <c r="C43" s="11" t="n"/>
      <c r="D43" s="11" t="n"/>
      <c r="E43" s="11" t="n"/>
      <c r="F43" s="11" t="n"/>
      <c r="G43" s="11" t="n"/>
      <c r="H43" s="14" t="n"/>
      <c r="I43" s="14" t="n"/>
      <c r="J43" s="12">
        <f>IFERROR((I43-H43)/30,0)</f>
        <v/>
      </c>
      <c r="K43" s="13">
        <f>IFERROR(VLOOKUP(F43,'Property Registry'!B5:G154,6,FALSE),0)</f>
        <v/>
      </c>
      <c r="L43" s="13" t="n"/>
      <c r="M43" s="11" t="n"/>
      <c r="N43" s="11" t="n"/>
      <c r="O43" s="11" t="n"/>
      <c r="P43" s="11" t="n"/>
    </row>
    <row r="44" ht="22" customHeight="1">
      <c r="B44" s="15" t="n"/>
      <c r="C44" s="15" t="n"/>
      <c r="D44" s="15" t="n"/>
      <c r="E44" s="15" t="n"/>
      <c r="F44" s="15" t="n"/>
      <c r="G44" s="15" t="n"/>
      <c r="H44" s="18" t="n"/>
      <c r="I44" s="18" t="n"/>
      <c r="J44" s="16">
        <f>IFERROR((I44-H44)/30,0)</f>
        <v/>
      </c>
      <c r="K44" s="17">
        <f>IFERROR(VLOOKUP(F44,'Property Registry'!B5:G154,6,FALSE),0)</f>
        <v/>
      </c>
      <c r="L44" s="17" t="n"/>
      <c r="M44" s="15" t="n"/>
      <c r="N44" s="15" t="n"/>
      <c r="O44" s="15" t="n"/>
      <c r="P44" s="15" t="n"/>
    </row>
    <row r="45" ht="22" customHeight="1">
      <c r="B45" s="11" t="n"/>
      <c r="C45" s="11" t="n"/>
      <c r="D45" s="11" t="n"/>
      <c r="E45" s="11" t="n"/>
      <c r="F45" s="11" t="n"/>
      <c r="G45" s="11" t="n"/>
      <c r="H45" s="14" t="n"/>
      <c r="I45" s="14" t="n"/>
      <c r="J45" s="12">
        <f>IFERROR((I45-H45)/30,0)</f>
        <v/>
      </c>
      <c r="K45" s="13">
        <f>IFERROR(VLOOKUP(F45,'Property Registry'!B5:G154,6,FALSE),0)</f>
        <v/>
      </c>
      <c r="L45" s="13" t="n"/>
      <c r="M45" s="11" t="n"/>
      <c r="N45" s="11" t="n"/>
      <c r="O45" s="11" t="n"/>
      <c r="P45" s="11" t="n"/>
    </row>
    <row r="46" ht="22" customHeight="1">
      <c r="B46" s="15" t="n"/>
      <c r="C46" s="15" t="n"/>
      <c r="D46" s="15" t="n"/>
      <c r="E46" s="15" t="n"/>
      <c r="F46" s="15" t="n"/>
      <c r="G46" s="15" t="n"/>
      <c r="H46" s="18" t="n"/>
      <c r="I46" s="18" t="n"/>
      <c r="J46" s="16">
        <f>IFERROR((I46-H46)/30,0)</f>
        <v/>
      </c>
      <c r="K46" s="17">
        <f>IFERROR(VLOOKUP(F46,'Property Registry'!B5:G154,6,FALSE),0)</f>
        <v/>
      </c>
      <c r="L46" s="17" t="n"/>
      <c r="M46" s="15" t="n"/>
      <c r="N46" s="15" t="n"/>
      <c r="O46" s="15" t="n"/>
      <c r="P46" s="15" t="n"/>
    </row>
    <row r="47" ht="22" customHeight="1">
      <c r="B47" s="11" t="n"/>
      <c r="C47" s="11" t="n"/>
      <c r="D47" s="11" t="n"/>
      <c r="E47" s="11" t="n"/>
      <c r="F47" s="11" t="n"/>
      <c r="G47" s="11" t="n"/>
      <c r="H47" s="14" t="n"/>
      <c r="I47" s="14" t="n"/>
      <c r="J47" s="12">
        <f>IFERROR((I47-H47)/30,0)</f>
        <v/>
      </c>
      <c r="K47" s="13">
        <f>IFERROR(VLOOKUP(F47,'Property Registry'!B5:G154,6,FALSE),0)</f>
        <v/>
      </c>
      <c r="L47" s="13" t="n"/>
      <c r="M47" s="11" t="n"/>
      <c r="N47" s="11" t="n"/>
      <c r="O47" s="11" t="n"/>
      <c r="P47" s="11" t="n"/>
    </row>
    <row r="48" ht="22" customHeight="1">
      <c r="B48" s="15" t="n"/>
      <c r="C48" s="15" t="n"/>
      <c r="D48" s="15" t="n"/>
      <c r="E48" s="15" t="n"/>
      <c r="F48" s="15" t="n"/>
      <c r="G48" s="15" t="n"/>
      <c r="H48" s="18" t="n"/>
      <c r="I48" s="18" t="n"/>
      <c r="J48" s="16">
        <f>IFERROR((I48-H48)/30,0)</f>
        <v/>
      </c>
      <c r="K48" s="17">
        <f>IFERROR(VLOOKUP(F48,'Property Registry'!B5:G154,6,FALSE),0)</f>
        <v/>
      </c>
      <c r="L48" s="17" t="n"/>
      <c r="M48" s="15" t="n"/>
      <c r="N48" s="15" t="n"/>
      <c r="O48" s="15" t="n"/>
      <c r="P48" s="15" t="n"/>
    </row>
    <row r="49" ht="22" customHeight="1">
      <c r="B49" s="11" t="n"/>
      <c r="C49" s="11" t="n"/>
      <c r="D49" s="11" t="n"/>
      <c r="E49" s="11" t="n"/>
      <c r="F49" s="11" t="n"/>
      <c r="G49" s="11" t="n"/>
      <c r="H49" s="14" t="n"/>
      <c r="I49" s="14" t="n"/>
      <c r="J49" s="12">
        <f>IFERROR((I49-H49)/30,0)</f>
        <v/>
      </c>
      <c r="K49" s="13">
        <f>IFERROR(VLOOKUP(F49,'Property Registry'!B5:G154,6,FALSE),0)</f>
        <v/>
      </c>
      <c r="L49" s="13" t="n"/>
      <c r="M49" s="11" t="n"/>
      <c r="N49" s="11" t="n"/>
      <c r="O49" s="11" t="n"/>
      <c r="P49" s="11" t="n"/>
    </row>
    <row r="50" ht="22" customHeight="1">
      <c r="B50" s="15" t="n"/>
      <c r="C50" s="15" t="n"/>
      <c r="D50" s="15" t="n"/>
      <c r="E50" s="15" t="n"/>
      <c r="F50" s="15" t="n"/>
      <c r="G50" s="15" t="n"/>
      <c r="H50" s="18" t="n"/>
      <c r="I50" s="18" t="n"/>
      <c r="J50" s="16">
        <f>IFERROR((I50-H50)/30,0)</f>
        <v/>
      </c>
      <c r="K50" s="17">
        <f>IFERROR(VLOOKUP(F50,'Property Registry'!B5:G154,6,FALSE),0)</f>
        <v/>
      </c>
      <c r="L50" s="17" t="n"/>
      <c r="M50" s="15" t="n"/>
      <c r="N50" s="15" t="n"/>
      <c r="O50" s="15" t="n"/>
      <c r="P50" s="15" t="n"/>
    </row>
    <row r="51" ht="22" customHeight="1">
      <c r="B51" s="11" t="n"/>
      <c r="C51" s="11" t="n"/>
      <c r="D51" s="11" t="n"/>
      <c r="E51" s="11" t="n"/>
      <c r="F51" s="11" t="n"/>
      <c r="G51" s="11" t="n"/>
      <c r="H51" s="14" t="n"/>
      <c r="I51" s="14" t="n"/>
      <c r="J51" s="12">
        <f>IFERROR((I51-H51)/30,0)</f>
        <v/>
      </c>
      <c r="K51" s="13">
        <f>IFERROR(VLOOKUP(F51,'Property Registry'!B5:G154,6,FALSE),0)</f>
        <v/>
      </c>
      <c r="L51" s="13" t="n"/>
      <c r="M51" s="11" t="n"/>
      <c r="N51" s="11" t="n"/>
      <c r="O51" s="11" t="n"/>
      <c r="P51" s="11" t="n"/>
    </row>
    <row r="52" ht="22" customHeight="1">
      <c r="B52" s="15" t="n"/>
      <c r="C52" s="15" t="n"/>
      <c r="D52" s="15" t="n"/>
      <c r="E52" s="15" t="n"/>
      <c r="F52" s="15" t="n"/>
      <c r="G52" s="15" t="n"/>
      <c r="H52" s="18" t="n"/>
      <c r="I52" s="18" t="n"/>
      <c r="J52" s="16">
        <f>IFERROR((I52-H52)/30,0)</f>
        <v/>
      </c>
      <c r="K52" s="17">
        <f>IFERROR(VLOOKUP(F52,'Property Registry'!B5:G154,6,FALSE),0)</f>
        <v/>
      </c>
      <c r="L52" s="17" t="n"/>
      <c r="M52" s="15" t="n"/>
      <c r="N52" s="15" t="n"/>
      <c r="O52" s="15" t="n"/>
      <c r="P52" s="15" t="n"/>
    </row>
    <row r="53" ht="22" customHeight="1">
      <c r="B53" s="11" t="n"/>
      <c r="C53" s="11" t="n"/>
      <c r="D53" s="11" t="n"/>
      <c r="E53" s="11" t="n"/>
      <c r="F53" s="11" t="n"/>
      <c r="G53" s="11" t="n"/>
      <c r="H53" s="14" t="n"/>
      <c r="I53" s="14" t="n"/>
      <c r="J53" s="12">
        <f>IFERROR((I53-H53)/30,0)</f>
        <v/>
      </c>
      <c r="K53" s="13">
        <f>IFERROR(VLOOKUP(F53,'Property Registry'!B5:G154,6,FALSE),0)</f>
        <v/>
      </c>
      <c r="L53" s="13" t="n"/>
      <c r="M53" s="11" t="n"/>
      <c r="N53" s="11" t="n"/>
      <c r="O53" s="11" t="n"/>
      <c r="P53" s="11" t="n"/>
    </row>
    <row r="54" ht="22" customHeight="1">
      <c r="B54" s="15" t="n"/>
      <c r="C54" s="15" t="n"/>
      <c r="D54" s="15" t="n"/>
      <c r="E54" s="15" t="n"/>
      <c r="F54" s="15" t="n"/>
      <c r="G54" s="15" t="n"/>
      <c r="H54" s="18" t="n"/>
      <c r="I54" s="18" t="n"/>
      <c r="J54" s="16">
        <f>IFERROR((I54-H54)/30,0)</f>
        <v/>
      </c>
      <c r="K54" s="17">
        <f>IFERROR(VLOOKUP(F54,'Property Registry'!B5:G154,6,FALSE),0)</f>
        <v/>
      </c>
      <c r="L54" s="17" t="n"/>
      <c r="M54" s="15" t="n"/>
      <c r="N54" s="15" t="n"/>
      <c r="O54" s="15" t="n"/>
      <c r="P54" s="15" t="n"/>
    </row>
    <row r="55" ht="22" customHeight="1">
      <c r="B55" s="11" t="n"/>
      <c r="C55" s="11" t="n"/>
      <c r="D55" s="11" t="n"/>
      <c r="E55" s="11" t="n"/>
      <c r="F55" s="11" t="n"/>
      <c r="G55" s="11" t="n"/>
      <c r="H55" s="14" t="n"/>
      <c r="I55" s="14" t="n"/>
      <c r="J55" s="12">
        <f>IFERROR((I55-H55)/30,0)</f>
        <v/>
      </c>
      <c r="K55" s="13">
        <f>IFERROR(VLOOKUP(F55,'Property Registry'!B5:G154,6,FALSE),0)</f>
        <v/>
      </c>
      <c r="L55" s="13" t="n"/>
      <c r="M55" s="11" t="n"/>
      <c r="N55" s="11" t="n"/>
      <c r="O55" s="11" t="n"/>
      <c r="P55" s="11" t="n"/>
    </row>
    <row r="56" ht="22" customHeight="1">
      <c r="B56" s="15" t="n"/>
      <c r="C56" s="15" t="n"/>
      <c r="D56" s="15" t="n"/>
      <c r="E56" s="15" t="n"/>
      <c r="F56" s="15" t="n"/>
      <c r="G56" s="15" t="n"/>
      <c r="H56" s="18" t="n"/>
      <c r="I56" s="18" t="n"/>
      <c r="J56" s="16">
        <f>IFERROR((I56-H56)/30,0)</f>
        <v/>
      </c>
      <c r="K56" s="17">
        <f>IFERROR(VLOOKUP(F56,'Property Registry'!B5:G154,6,FALSE),0)</f>
        <v/>
      </c>
      <c r="L56" s="17" t="n"/>
      <c r="M56" s="15" t="n"/>
      <c r="N56" s="15" t="n"/>
      <c r="O56" s="15" t="n"/>
      <c r="P56" s="15" t="n"/>
    </row>
    <row r="57" ht="22" customHeight="1">
      <c r="B57" s="11" t="n"/>
      <c r="C57" s="11" t="n"/>
      <c r="D57" s="11" t="n"/>
      <c r="E57" s="11" t="n"/>
      <c r="F57" s="11" t="n"/>
      <c r="G57" s="11" t="n"/>
      <c r="H57" s="14" t="n"/>
      <c r="I57" s="14" t="n"/>
      <c r="J57" s="12">
        <f>IFERROR((I57-H57)/30,0)</f>
        <v/>
      </c>
      <c r="K57" s="13">
        <f>IFERROR(VLOOKUP(F57,'Property Registry'!B5:G154,6,FALSE),0)</f>
        <v/>
      </c>
      <c r="L57" s="13" t="n"/>
      <c r="M57" s="11" t="n"/>
      <c r="N57" s="11" t="n"/>
      <c r="O57" s="11" t="n"/>
      <c r="P57" s="11" t="n"/>
    </row>
    <row r="58" ht="22" customHeight="1">
      <c r="B58" s="15" t="n"/>
      <c r="C58" s="15" t="n"/>
      <c r="D58" s="15" t="n"/>
      <c r="E58" s="15" t="n"/>
      <c r="F58" s="15" t="n"/>
      <c r="G58" s="15" t="n"/>
      <c r="H58" s="18" t="n"/>
      <c r="I58" s="18" t="n"/>
      <c r="J58" s="16">
        <f>IFERROR((I58-H58)/30,0)</f>
        <v/>
      </c>
      <c r="K58" s="17">
        <f>IFERROR(VLOOKUP(F58,'Property Registry'!B5:G154,6,FALSE),0)</f>
        <v/>
      </c>
      <c r="L58" s="17" t="n"/>
      <c r="M58" s="15" t="n"/>
      <c r="N58" s="15" t="n"/>
      <c r="O58" s="15" t="n"/>
      <c r="P58" s="15" t="n"/>
    </row>
    <row r="59" ht="22" customHeight="1">
      <c r="B59" s="11" t="n"/>
      <c r="C59" s="11" t="n"/>
      <c r="D59" s="11" t="n"/>
      <c r="E59" s="11" t="n"/>
      <c r="F59" s="11" t="n"/>
      <c r="G59" s="11" t="n"/>
      <c r="H59" s="14" t="n"/>
      <c r="I59" s="14" t="n"/>
      <c r="J59" s="12">
        <f>IFERROR((I59-H59)/30,0)</f>
        <v/>
      </c>
      <c r="K59" s="13">
        <f>IFERROR(VLOOKUP(F59,'Property Registry'!B5:G154,6,FALSE),0)</f>
        <v/>
      </c>
      <c r="L59" s="13" t="n"/>
      <c r="M59" s="11" t="n"/>
      <c r="N59" s="11" t="n"/>
      <c r="O59" s="11" t="n"/>
      <c r="P59" s="11" t="n"/>
    </row>
    <row r="60" ht="22" customHeight="1">
      <c r="B60" s="15" t="n"/>
      <c r="C60" s="15" t="n"/>
      <c r="D60" s="15" t="n"/>
      <c r="E60" s="15" t="n"/>
      <c r="F60" s="15" t="n"/>
      <c r="G60" s="15" t="n"/>
      <c r="H60" s="18" t="n"/>
      <c r="I60" s="18" t="n"/>
      <c r="J60" s="16">
        <f>IFERROR((I60-H60)/30,0)</f>
        <v/>
      </c>
      <c r="K60" s="17">
        <f>IFERROR(VLOOKUP(F60,'Property Registry'!B5:G154,6,FALSE),0)</f>
        <v/>
      </c>
      <c r="L60" s="17" t="n"/>
      <c r="M60" s="15" t="n"/>
      <c r="N60" s="15" t="n"/>
      <c r="O60" s="15" t="n"/>
      <c r="P60" s="15" t="n"/>
    </row>
    <row r="61" ht="22" customHeight="1">
      <c r="B61" s="11" t="n"/>
      <c r="C61" s="11" t="n"/>
      <c r="D61" s="11" t="n"/>
      <c r="E61" s="11" t="n"/>
      <c r="F61" s="11" t="n"/>
      <c r="G61" s="11" t="n"/>
      <c r="H61" s="14" t="n"/>
      <c r="I61" s="14" t="n"/>
      <c r="J61" s="12">
        <f>IFERROR((I61-H61)/30,0)</f>
        <v/>
      </c>
      <c r="K61" s="13">
        <f>IFERROR(VLOOKUP(F61,'Property Registry'!B5:G154,6,FALSE),0)</f>
        <v/>
      </c>
      <c r="L61" s="13" t="n"/>
      <c r="M61" s="11" t="n"/>
      <c r="N61" s="11" t="n"/>
      <c r="O61" s="11" t="n"/>
      <c r="P61" s="11" t="n"/>
    </row>
    <row r="62" ht="22" customHeight="1">
      <c r="B62" s="15" t="n"/>
      <c r="C62" s="15" t="n"/>
      <c r="D62" s="15" t="n"/>
      <c r="E62" s="15" t="n"/>
      <c r="F62" s="15" t="n"/>
      <c r="G62" s="15" t="n"/>
      <c r="H62" s="18" t="n"/>
      <c r="I62" s="18" t="n"/>
      <c r="J62" s="16">
        <f>IFERROR((I62-H62)/30,0)</f>
        <v/>
      </c>
      <c r="K62" s="17">
        <f>IFERROR(VLOOKUP(F62,'Property Registry'!B5:G154,6,FALSE),0)</f>
        <v/>
      </c>
      <c r="L62" s="17" t="n"/>
      <c r="M62" s="15" t="n"/>
      <c r="N62" s="15" t="n"/>
      <c r="O62" s="15" t="n"/>
      <c r="P62" s="15" t="n"/>
    </row>
    <row r="63" ht="22" customHeight="1">
      <c r="B63" s="11" t="n"/>
      <c r="C63" s="11" t="n"/>
      <c r="D63" s="11" t="n"/>
      <c r="E63" s="11" t="n"/>
      <c r="F63" s="11" t="n"/>
      <c r="G63" s="11" t="n"/>
      <c r="H63" s="14" t="n"/>
      <c r="I63" s="14" t="n"/>
      <c r="J63" s="12">
        <f>IFERROR((I63-H63)/30,0)</f>
        <v/>
      </c>
      <c r="K63" s="13">
        <f>IFERROR(VLOOKUP(F63,'Property Registry'!B5:G154,6,FALSE),0)</f>
        <v/>
      </c>
      <c r="L63" s="13" t="n"/>
      <c r="M63" s="11" t="n"/>
      <c r="N63" s="11" t="n"/>
      <c r="O63" s="11" t="n"/>
      <c r="P63" s="11" t="n"/>
    </row>
    <row r="64" ht="22" customHeight="1">
      <c r="B64" s="15" t="n"/>
      <c r="C64" s="15" t="n"/>
      <c r="D64" s="15" t="n"/>
      <c r="E64" s="15" t="n"/>
      <c r="F64" s="15" t="n"/>
      <c r="G64" s="15" t="n"/>
      <c r="H64" s="18" t="n"/>
      <c r="I64" s="18" t="n"/>
      <c r="J64" s="16">
        <f>IFERROR((I64-H64)/30,0)</f>
        <v/>
      </c>
      <c r="K64" s="17">
        <f>IFERROR(VLOOKUP(F64,'Property Registry'!B5:G154,6,FALSE),0)</f>
        <v/>
      </c>
      <c r="L64" s="17" t="n"/>
      <c r="M64" s="15" t="n"/>
      <c r="N64" s="15" t="n"/>
      <c r="O64" s="15" t="n"/>
      <c r="P64" s="15" t="n"/>
    </row>
    <row r="65" ht="22" customHeight="1">
      <c r="B65" s="11" t="n"/>
      <c r="C65" s="11" t="n"/>
      <c r="D65" s="11" t="n"/>
      <c r="E65" s="11" t="n"/>
      <c r="F65" s="11" t="n"/>
      <c r="G65" s="11" t="n"/>
      <c r="H65" s="14" t="n"/>
      <c r="I65" s="14" t="n"/>
      <c r="J65" s="12">
        <f>IFERROR((I65-H65)/30,0)</f>
        <v/>
      </c>
      <c r="K65" s="13">
        <f>IFERROR(VLOOKUP(F65,'Property Registry'!B5:G154,6,FALSE),0)</f>
        <v/>
      </c>
      <c r="L65" s="13" t="n"/>
      <c r="M65" s="11" t="n"/>
      <c r="N65" s="11" t="n"/>
      <c r="O65" s="11" t="n"/>
      <c r="P65" s="11" t="n"/>
    </row>
    <row r="66" ht="22" customHeight="1">
      <c r="B66" s="15" t="n"/>
      <c r="C66" s="15" t="n"/>
      <c r="D66" s="15" t="n"/>
      <c r="E66" s="15" t="n"/>
      <c r="F66" s="15" t="n"/>
      <c r="G66" s="15" t="n"/>
      <c r="H66" s="18" t="n"/>
      <c r="I66" s="18" t="n"/>
      <c r="J66" s="16">
        <f>IFERROR((I66-H66)/30,0)</f>
        <v/>
      </c>
      <c r="K66" s="17">
        <f>IFERROR(VLOOKUP(F66,'Property Registry'!B5:G154,6,FALSE),0)</f>
        <v/>
      </c>
      <c r="L66" s="17" t="n"/>
      <c r="M66" s="15" t="n"/>
      <c r="N66" s="15" t="n"/>
      <c r="O66" s="15" t="n"/>
      <c r="P66" s="15" t="n"/>
    </row>
    <row r="67" ht="22" customHeight="1">
      <c r="B67" s="11" t="n"/>
      <c r="C67" s="11" t="n"/>
      <c r="D67" s="11" t="n"/>
      <c r="E67" s="11" t="n"/>
      <c r="F67" s="11" t="n"/>
      <c r="G67" s="11" t="n"/>
      <c r="H67" s="14" t="n"/>
      <c r="I67" s="14" t="n"/>
      <c r="J67" s="12">
        <f>IFERROR((I67-H67)/30,0)</f>
        <v/>
      </c>
      <c r="K67" s="13">
        <f>IFERROR(VLOOKUP(F67,'Property Registry'!B5:G154,6,FALSE),0)</f>
        <v/>
      </c>
      <c r="L67" s="13" t="n"/>
      <c r="M67" s="11" t="n"/>
      <c r="N67" s="11" t="n"/>
      <c r="O67" s="11" t="n"/>
      <c r="P67" s="11" t="n"/>
    </row>
    <row r="68" ht="22" customHeight="1">
      <c r="B68" s="15" t="n"/>
      <c r="C68" s="15" t="n"/>
      <c r="D68" s="15" t="n"/>
      <c r="E68" s="15" t="n"/>
      <c r="F68" s="15" t="n"/>
      <c r="G68" s="15" t="n"/>
      <c r="H68" s="18" t="n"/>
      <c r="I68" s="18" t="n"/>
      <c r="J68" s="16">
        <f>IFERROR((I68-H68)/30,0)</f>
        <v/>
      </c>
      <c r="K68" s="17">
        <f>IFERROR(VLOOKUP(F68,'Property Registry'!B5:G154,6,FALSE),0)</f>
        <v/>
      </c>
      <c r="L68" s="17" t="n"/>
      <c r="M68" s="15" t="n"/>
      <c r="N68" s="15" t="n"/>
      <c r="O68" s="15" t="n"/>
      <c r="P68" s="15" t="n"/>
    </row>
    <row r="69" ht="22" customHeight="1">
      <c r="B69" s="11" t="n"/>
      <c r="C69" s="11" t="n"/>
      <c r="D69" s="11" t="n"/>
      <c r="E69" s="11" t="n"/>
      <c r="F69" s="11" t="n"/>
      <c r="G69" s="11" t="n"/>
      <c r="H69" s="14" t="n"/>
      <c r="I69" s="14" t="n"/>
      <c r="J69" s="12">
        <f>IFERROR((I69-H69)/30,0)</f>
        <v/>
      </c>
      <c r="K69" s="13">
        <f>IFERROR(VLOOKUP(F69,'Property Registry'!B5:G154,6,FALSE),0)</f>
        <v/>
      </c>
      <c r="L69" s="13" t="n"/>
      <c r="M69" s="11" t="n"/>
      <c r="N69" s="11" t="n"/>
      <c r="O69" s="11" t="n"/>
      <c r="P69" s="11" t="n"/>
    </row>
    <row r="70" ht="22" customHeight="1">
      <c r="B70" s="15" t="n"/>
      <c r="C70" s="15" t="n"/>
      <c r="D70" s="15" t="n"/>
      <c r="E70" s="15" t="n"/>
      <c r="F70" s="15" t="n"/>
      <c r="G70" s="15" t="n"/>
      <c r="H70" s="18" t="n"/>
      <c r="I70" s="18" t="n"/>
      <c r="J70" s="16">
        <f>IFERROR((I70-H70)/30,0)</f>
        <v/>
      </c>
      <c r="K70" s="17">
        <f>IFERROR(VLOOKUP(F70,'Property Registry'!B5:G154,6,FALSE),0)</f>
        <v/>
      </c>
      <c r="L70" s="17" t="n"/>
      <c r="M70" s="15" t="n"/>
      <c r="N70" s="15" t="n"/>
      <c r="O70" s="15" t="n"/>
      <c r="P70" s="15" t="n"/>
    </row>
    <row r="71" ht="22" customHeight="1">
      <c r="B71" s="11" t="n"/>
      <c r="C71" s="11" t="n"/>
      <c r="D71" s="11" t="n"/>
      <c r="E71" s="11" t="n"/>
      <c r="F71" s="11" t="n"/>
      <c r="G71" s="11" t="n"/>
      <c r="H71" s="14" t="n"/>
      <c r="I71" s="14" t="n"/>
      <c r="J71" s="12">
        <f>IFERROR((I71-H71)/30,0)</f>
        <v/>
      </c>
      <c r="K71" s="13">
        <f>IFERROR(VLOOKUP(F71,'Property Registry'!B5:G154,6,FALSE),0)</f>
        <v/>
      </c>
      <c r="L71" s="13" t="n"/>
      <c r="M71" s="11" t="n"/>
      <c r="N71" s="11" t="n"/>
      <c r="O71" s="11" t="n"/>
      <c r="P71" s="11" t="n"/>
    </row>
    <row r="72" ht="22" customHeight="1">
      <c r="B72" s="15" t="n"/>
      <c r="C72" s="15" t="n"/>
      <c r="D72" s="15" t="n"/>
      <c r="E72" s="15" t="n"/>
      <c r="F72" s="15" t="n"/>
      <c r="G72" s="15" t="n"/>
      <c r="H72" s="18" t="n"/>
      <c r="I72" s="18" t="n"/>
      <c r="J72" s="16">
        <f>IFERROR((I72-H72)/30,0)</f>
        <v/>
      </c>
      <c r="K72" s="17">
        <f>IFERROR(VLOOKUP(F72,'Property Registry'!B5:G154,6,FALSE),0)</f>
        <v/>
      </c>
      <c r="L72" s="17" t="n"/>
      <c r="M72" s="15" t="n"/>
      <c r="N72" s="15" t="n"/>
      <c r="O72" s="15" t="n"/>
      <c r="P72" s="15" t="n"/>
    </row>
    <row r="73" ht="22" customHeight="1">
      <c r="B73" s="11" t="n"/>
      <c r="C73" s="11" t="n"/>
      <c r="D73" s="11" t="n"/>
      <c r="E73" s="11" t="n"/>
      <c r="F73" s="11" t="n"/>
      <c r="G73" s="11" t="n"/>
      <c r="H73" s="14" t="n"/>
      <c r="I73" s="14" t="n"/>
      <c r="J73" s="12">
        <f>IFERROR((I73-H73)/30,0)</f>
        <v/>
      </c>
      <c r="K73" s="13">
        <f>IFERROR(VLOOKUP(F73,'Property Registry'!B5:G154,6,FALSE),0)</f>
        <v/>
      </c>
      <c r="L73" s="13" t="n"/>
      <c r="M73" s="11" t="n"/>
      <c r="N73" s="11" t="n"/>
      <c r="O73" s="11" t="n"/>
      <c r="P73" s="11" t="n"/>
    </row>
    <row r="74" ht="22" customHeight="1">
      <c r="B74" s="15" t="n"/>
      <c r="C74" s="15" t="n"/>
      <c r="D74" s="15" t="n"/>
      <c r="E74" s="15" t="n"/>
      <c r="F74" s="15" t="n"/>
      <c r="G74" s="15" t="n"/>
      <c r="H74" s="18" t="n"/>
      <c r="I74" s="18" t="n"/>
      <c r="J74" s="16">
        <f>IFERROR((I74-H74)/30,0)</f>
        <v/>
      </c>
      <c r="K74" s="17">
        <f>IFERROR(VLOOKUP(F74,'Property Registry'!B5:G154,6,FALSE),0)</f>
        <v/>
      </c>
      <c r="L74" s="17" t="n"/>
      <c r="M74" s="15" t="n"/>
      <c r="N74" s="15" t="n"/>
      <c r="O74" s="15" t="n"/>
      <c r="P74" s="15" t="n"/>
    </row>
    <row r="75" ht="22" customHeight="1">
      <c r="B75" s="11" t="n"/>
      <c r="C75" s="11" t="n"/>
      <c r="D75" s="11" t="n"/>
      <c r="E75" s="11" t="n"/>
      <c r="F75" s="11" t="n"/>
      <c r="G75" s="11" t="n"/>
      <c r="H75" s="14" t="n"/>
      <c r="I75" s="14" t="n"/>
      <c r="J75" s="12">
        <f>IFERROR((I75-H75)/30,0)</f>
        <v/>
      </c>
      <c r="K75" s="13">
        <f>IFERROR(VLOOKUP(F75,'Property Registry'!B5:G154,6,FALSE),0)</f>
        <v/>
      </c>
      <c r="L75" s="13" t="n"/>
      <c r="M75" s="11" t="n"/>
      <c r="N75" s="11" t="n"/>
      <c r="O75" s="11" t="n"/>
      <c r="P75" s="11" t="n"/>
    </row>
    <row r="76" ht="22" customHeight="1">
      <c r="B76" s="15" t="n"/>
      <c r="C76" s="15" t="n"/>
      <c r="D76" s="15" t="n"/>
      <c r="E76" s="15" t="n"/>
      <c r="F76" s="15" t="n"/>
      <c r="G76" s="15" t="n"/>
      <c r="H76" s="18" t="n"/>
      <c r="I76" s="18" t="n"/>
      <c r="J76" s="16">
        <f>IFERROR((I76-H76)/30,0)</f>
        <v/>
      </c>
      <c r="K76" s="17">
        <f>IFERROR(VLOOKUP(F76,'Property Registry'!B5:G154,6,FALSE),0)</f>
        <v/>
      </c>
      <c r="L76" s="17" t="n"/>
      <c r="M76" s="15" t="n"/>
      <c r="N76" s="15" t="n"/>
      <c r="O76" s="15" t="n"/>
      <c r="P76" s="15" t="n"/>
    </row>
    <row r="77" ht="22" customHeight="1">
      <c r="B77" s="11" t="n"/>
      <c r="C77" s="11" t="n"/>
      <c r="D77" s="11" t="n"/>
      <c r="E77" s="11" t="n"/>
      <c r="F77" s="11" t="n"/>
      <c r="G77" s="11" t="n"/>
      <c r="H77" s="14" t="n"/>
      <c r="I77" s="14" t="n"/>
      <c r="J77" s="12">
        <f>IFERROR((I77-H77)/30,0)</f>
        <v/>
      </c>
      <c r="K77" s="13">
        <f>IFERROR(VLOOKUP(F77,'Property Registry'!B5:G154,6,FALSE),0)</f>
        <v/>
      </c>
      <c r="L77" s="13" t="n"/>
      <c r="M77" s="11" t="n"/>
      <c r="N77" s="11" t="n"/>
      <c r="O77" s="11" t="n"/>
      <c r="P77" s="11" t="n"/>
    </row>
    <row r="78" ht="22" customHeight="1">
      <c r="B78" s="15" t="n"/>
      <c r="C78" s="15" t="n"/>
      <c r="D78" s="15" t="n"/>
      <c r="E78" s="15" t="n"/>
      <c r="F78" s="15" t="n"/>
      <c r="G78" s="15" t="n"/>
      <c r="H78" s="18" t="n"/>
      <c r="I78" s="18" t="n"/>
      <c r="J78" s="16">
        <f>IFERROR((I78-H78)/30,0)</f>
        <v/>
      </c>
      <c r="K78" s="17">
        <f>IFERROR(VLOOKUP(F78,'Property Registry'!B5:G154,6,FALSE),0)</f>
        <v/>
      </c>
      <c r="L78" s="17" t="n"/>
      <c r="M78" s="15" t="n"/>
      <c r="N78" s="15" t="n"/>
      <c r="O78" s="15" t="n"/>
      <c r="P78" s="15" t="n"/>
    </row>
    <row r="79" ht="22" customHeight="1">
      <c r="B79" s="11" t="n"/>
      <c r="C79" s="11" t="n"/>
      <c r="D79" s="11" t="n"/>
      <c r="E79" s="11" t="n"/>
      <c r="F79" s="11" t="n"/>
      <c r="G79" s="11" t="n"/>
      <c r="H79" s="14" t="n"/>
      <c r="I79" s="14" t="n"/>
      <c r="J79" s="12">
        <f>IFERROR((I79-H79)/30,0)</f>
        <v/>
      </c>
      <c r="K79" s="13">
        <f>IFERROR(VLOOKUP(F79,'Property Registry'!B5:G154,6,FALSE),0)</f>
        <v/>
      </c>
      <c r="L79" s="13" t="n"/>
      <c r="M79" s="11" t="n"/>
      <c r="N79" s="11" t="n"/>
      <c r="O79" s="11" t="n"/>
      <c r="P79" s="11" t="n"/>
    </row>
    <row r="80" ht="22" customHeight="1">
      <c r="B80" s="15" t="n"/>
      <c r="C80" s="15" t="n"/>
      <c r="D80" s="15" t="n"/>
      <c r="E80" s="15" t="n"/>
      <c r="F80" s="15" t="n"/>
      <c r="G80" s="15" t="n"/>
      <c r="H80" s="18" t="n"/>
      <c r="I80" s="18" t="n"/>
      <c r="J80" s="16">
        <f>IFERROR((I80-H80)/30,0)</f>
        <v/>
      </c>
      <c r="K80" s="17">
        <f>IFERROR(VLOOKUP(F80,'Property Registry'!B5:G154,6,FALSE),0)</f>
        <v/>
      </c>
      <c r="L80" s="17" t="n"/>
      <c r="M80" s="15" t="n"/>
      <c r="N80" s="15" t="n"/>
      <c r="O80" s="15" t="n"/>
      <c r="P80" s="15" t="n"/>
    </row>
    <row r="81" ht="22" customHeight="1">
      <c r="B81" s="11" t="n"/>
      <c r="C81" s="11" t="n"/>
      <c r="D81" s="11" t="n"/>
      <c r="E81" s="11" t="n"/>
      <c r="F81" s="11" t="n"/>
      <c r="G81" s="11" t="n"/>
      <c r="H81" s="14" t="n"/>
      <c r="I81" s="14" t="n"/>
      <c r="J81" s="12">
        <f>IFERROR((I81-H81)/30,0)</f>
        <v/>
      </c>
      <c r="K81" s="13">
        <f>IFERROR(VLOOKUP(F81,'Property Registry'!B5:G154,6,FALSE),0)</f>
        <v/>
      </c>
      <c r="L81" s="13" t="n"/>
      <c r="M81" s="11" t="n"/>
      <c r="N81" s="11" t="n"/>
      <c r="O81" s="11" t="n"/>
      <c r="P81" s="11" t="n"/>
    </row>
    <row r="82" ht="22" customHeight="1">
      <c r="B82" s="15" t="n"/>
      <c r="C82" s="15" t="n"/>
      <c r="D82" s="15" t="n"/>
      <c r="E82" s="15" t="n"/>
      <c r="F82" s="15" t="n"/>
      <c r="G82" s="15" t="n"/>
      <c r="H82" s="18" t="n"/>
      <c r="I82" s="18" t="n"/>
      <c r="J82" s="16">
        <f>IFERROR((I82-H82)/30,0)</f>
        <v/>
      </c>
      <c r="K82" s="17">
        <f>IFERROR(VLOOKUP(F82,'Property Registry'!B5:G154,6,FALSE),0)</f>
        <v/>
      </c>
      <c r="L82" s="17" t="n"/>
      <c r="M82" s="15" t="n"/>
      <c r="N82" s="15" t="n"/>
      <c r="O82" s="15" t="n"/>
      <c r="P82" s="15" t="n"/>
    </row>
    <row r="83" ht="22" customHeight="1">
      <c r="B83" s="11" t="n"/>
      <c r="C83" s="11" t="n"/>
      <c r="D83" s="11" t="n"/>
      <c r="E83" s="11" t="n"/>
      <c r="F83" s="11" t="n"/>
      <c r="G83" s="11" t="n"/>
      <c r="H83" s="14" t="n"/>
      <c r="I83" s="14" t="n"/>
      <c r="J83" s="12">
        <f>IFERROR((I83-H83)/30,0)</f>
        <v/>
      </c>
      <c r="K83" s="13">
        <f>IFERROR(VLOOKUP(F83,'Property Registry'!B5:G154,6,FALSE),0)</f>
        <v/>
      </c>
      <c r="L83" s="13" t="n"/>
      <c r="M83" s="11" t="n"/>
      <c r="N83" s="11" t="n"/>
      <c r="O83" s="11" t="n"/>
      <c r="P83" s="11" t="n"/>
    </row>
    <row r="84" ht="22" customHeight="1">
      <c r="B84" s="15" t="n"/>
      <c r="C84" s="15" t="n"/>
      <c r="D84" s="15" t="n"/>
      <c r="E84" s="15" t="n"/>
      <c r="F84" s="15" t="n"/>
      <c r="G84" s="15" t="n"/>
      <c r="H84" s="18" t="n"/>
      <c r="I84" s="18" t="n"/>
      <c r="J84" s="16">
        <f>IFERROR((I84-H84)/30,0)</f>
        <v/>
      </c>
      <c r="K84" s="17">
        <f>IFERROR(VLOOKUP(F84,'Property Registry'!B5:G154,6,FALSE),0)</f>
        <v/>
      </c>
      <c r="L84" s="17" t="n"/>
      <c r="M84" s="15" t="n"/>
      <c r="N84" s="15" t="n"/>
      <c r="O84" s="15" t="n"/>
      <c r="P84" s="15" t="n"/>
    </row>
    <row r="85" ht="22" customHeight="1">
      <c r="B85" s="11" t="n"/>
      <c r="C85" s="11" t="n"/>
      <c r="D85" s="11" t="n"/>
      <c r="E85" s="11" t="n"/>
      <c r="F85" s="11" t="n"/>
      <c r="G85" s="11" t="n"/>
      <c r="H85" s="14" t="n"/>
      <c r="I85" s="14" t="n"/>
      <c r="J85" s="12">
        <f>IFERROR((I85-H85)/30,0)</f>
        <v/>
      </c>
      <c r="K85" s="13">
        <f>IFERROR(VLOOKUP(F85,'Property Registry'!B5:G154,6,FALSE),0)</f>
        <v/>
      </c>
      <c r="L85" s="13" t="n"/>
      <c r="M85" s="11" t="n"/>
      <c r="N85" s="11" t="n"/>
      <c r="O85" s="11" t="n"/>
      <c r="P85" s="11" t="n"/>
    </row>
    <row r="86" ht="22" customHeight="1">
      <c r="B86" s="15" t="n"/>
      <c r="C86" s="15" t="n"/>
      <c r="D86" s="15" t="n"/>
      <c r="E86" s="15" t="n"/>
      <c r="F86" s="15" t="n"/>
      <c r="G86" s="15" t="n"/>
      <c r="H86" s="18" t="n"/>
      <c r="I86" s="18" t="n"/>
      <c r="J86" s="16">
        <f>IFERROR((I86-H86)/30,0)</f>
        <v/>
      </c>
      <c r="K86" s="17">
        <f>IFERROR(VLOOKUP(F86,'Property Registry'!B5:G154,6,FALSE),0)</f>
        <v/>
      </c>
      <c r="L86" s="17" t="n"/>
      <c r="M86" s="15" t="n"/>
      <c r="N86" s="15" t="n"/>
      <c r="O86" s="15" t="n"/>
      <c r="P86" s="15" t="n"/>
    </row>
    <row r="87" ht="22" customHeight="1">
      <c r="B87" s="11" t="n"/>
      <c r="C87" s="11" t="n"/>
      <c r="D87" s="11" t="n"/>
      <c r="E87" s="11" t="n"/>
      <c r="F87" s="11" t="n"/>
      <c r="G87" s="11" t="n"/>
      <c r="H87" s="14" t="n"/>
      <c r="I87" s="14" t="n"/>
      <c r="J87" s="12">
        <f>IFERROR((I87-H87)/30,0)</f>
        <v/>
      </c>
      <c r="K87" s="13">
        <f>IFERROR(VLOOKUP(F87,'Property Registry'!B5:G154,6,FALSE),0)</f>
        <v/>
      </c>
      <c r="L87" s="13" t="n"/>
      <c r="M87" s="11" t="n"/>
      <c r="N87" s="11" t="n"/>
      <c r="O87" s="11" t="n"/>
      <c r="P87" s="11" t="n"/>
    </row>
    <row r="88" ht="22" customHeight="1">
      <c r="B88" s="15" t="n"/>
      <c r="C88" s="15" t="n"/>
      <c r="D88" s="15" t="n"/>
      <c r="E88" s="15" t="n"/>
      <c r="F88" s="15" t="n"/>
      <c r="G88" s="15" t="n"/>
      <c r="H88" s="18" t="n"/>
      <c r="I88" s="18" t="n"/>
      <c r="J88" s="16">
        <f>IFERROR((I88-H88)/30,0)</f>
        <v/>
      </c>
      <c r="K88" s="17">
        <f>IFERROR(VLOOKUP(F88,'Property Registry'!B5:G154,6,FALSE),0)</f>
        <v/>
      </c>
      <c r="L88" s="17" t="n"/>
      <c r="M88" s="15" t="n"/>
      <c r="N88" s="15" t="n"/>
      <c r="O88" s="15" t="n"/>
      <c r="P88" s="15" t="n"/>
    </row>
    <row r="89" ht="22" customHeight="1">
      <c r="B89" s="11" t="n"/>
      <c r="C89" s="11" t="n"/>
      <c r="D89" s="11" t="n"/>
      <c r="E89" s="11" t="n"/>
      <c r="F89" s="11" t="n"/>
      <c r="G89" s="11" t="n"/>
      <c r="H89" s="14" t="n"/>
      <c r="I89" s="14" t="n"/>
      <c r="J89" s="12">
        <f>IFERROR((I89-H89)/30,0)</f>
        <v/>
      </c>
      <c r="K89" s="13">
        <f>IFERROR(VLOOKUP(F89,'Property Registry'!B5:G154,6,FALSE),0)</f>
        <v/>
      </c>
      <c r="L89" s="13" t="n"/>
      <c r="M89" s="11" t="n"/>
      <c r="N89" s="11" t="n"/>
      <c r="O89" s="11" t="n"/>
      <c r="P89" s="11" t="n"/>
    </row>
    <row r="90" ht="22" customHeight="1">
      <c r="B90" s="15" t="n"/>
      <c r="C90" s="15" t="n"/>
      <c r="D90" s="15" t="n"/>
      <c r="E90" s="15" t="n"/>
      <c r="F90" s="15" t="n"/>
      <c r="G90" s="15" t="n"/>
      <c r="H90" s="18" t="n"/>
      <c r="I90" s="18" t="n"/>
      <c r="J90" s="16">
        <f>IFERROR((I90-H90)/30,0)</f>
        <v/>
      </c>
      <c r="K90" s="17">
        <f>IFERROR(VLOOKUP(F90,'Property Registry'!B5:G154,6,FALSE),0)</f>
        <v/>
      </c>
      <c r="L90" s="17" t="n"/>
      <c r="M90" s="15" t="n"/>
      <c r="N90" s="15" t="n"/>
      <c r="O90" s="15" t="n"/>
      <c r="P90" s="15" t="n"/>
    </row>
    <row r="91" ht="22" customHeight="1">
      <c r="B91" s="11" t="n"/>
      <c r="C91" s="11" t="n"/>
      <c r="D91" s="11" t="n"/>
      <c r="E91" s="11" t="n"/>
      <c r="F91" s="11" t="n"/>
      <c r="G91" s="11" t="n"/>
      <c r="H91" s="14" t="n"/>
      <c r="I91" s="14" t="n"/>
      <c r="J91" s="12">
        <f>IFERROR((I91-H91)/30,0)</f>
        <v/>
      </c>
      <c r="K91" s="13">
        <f>IFERROR(VLOOKUP(F91,'Property Registry'!B5:G154,6,FALSE),0)</f>
        <v/>
      </c>
      <c r="L91" s="13" t="n"/>
      <c r="M91" s="11" t="n"/>
      <c r="N91" s="11" t="n"/>
      <c r="O91" s="11" t="n"/>
      <c r="P91" s="11" t="n"/>
    </row>
    <row r="92" ht="22" customHeight="1">
      <c r="B92" s="15" t="n"/>
      <c r="C92" s="15" t="n"/>
      <c r="D92" s="15" t="n"/>
      <c r="E92" s="15" t="n"/>
      <c r="F92" s="15" t="n"/>
      <c r="G92" s="15" t="n"/>
      <c r="H92" s="18" t="n"/>
      <c r="I92" s="18" t="n"/>
      <c r="J92" s="16">
        <f>IFERROR((I92-H92)/30,0)</f>
        <v/>
      </c>
      <c r="K92" s="17">
        <f>IFERROR(VLOOKUP(F92,'Property Registry'!B5:G154,6,FALSE),0)</f>
        <v/>
      </c>
      <c r="L92" s="17" t="n"/>
      <c r="M92" s="15" t="n"/>
      <c r="N92" s="15" t="n"/>
      <c r="O92" s="15" t="n"/>
      <c r="P92" s="15" t="n"/>
    </row>
    <row r="93" ht="22" customHeight="1">
      <c r="B93" s="11" t="n"/>
      <c r="C93" s="11" t="n"/>
      <c r="D93" s="11" t="n"/>
      <c r="E93" s="11" t="n"/>
      <c r="F93" s="11" t="n"/>
      <c r="G93" s="11" t="n"/>
      <c r="H93" s="14" t="n"/>
      <c r="I93" s="14" t="n"/>
      <c r="J93" s="12">
        <f>IFERROR((I93-H93)/30,0)</f>
        <v/>
      </c>
      <c r="K93" s="13">
        <f>IFERROR(VLOOKUP(F93,'Property Registry'!B5:G154,6,FALSE),0)</f>
        <v/>
      </c>
      <c r="L93" s="13" t="n"/>
      <c r="M93" s="11" t="n"/>
      <c r="N93" s="11" t="n"/>
      <c r="O93" s="11" t="n"/>
      <c r="P93" s="11" t="n"/>
    </row>
    <row r="94" ht="22" customHeight="1">
      <c r="B94" s="15" t="n"/>
      <c r="C94" s="15" t="n"/>
      <c r="D94" s="15" t="n"/>
      <c r="E94" s="15" t="n"/>
      <c r="F94" s="15" t="n"/>
      <c r="G94" s="15" t="n"/>
      <c r="H94" s="18" t="n"/>
      <c r="I94" s="18" t="n"/>
      <c r="J94" s="16">
        <f>IFERROR((I94-H94)/30,0)</f>
        <v/>
      </c>
      <c r="K94" s="17">
        <f>IFERROR(VLOOKUP(F94,'Property Registry'!B5:G154,6,FALSE),0)</f>
        <v/>
      </c>
      <c r="L94" s="17" t="n"/>
      <c r="M94" s="15" t="n"/>
      <c r="N94" s="15" t="n"/>
      <c r="O94" s="15" t="n"/>
      <c r="P94" s="15" t="n"/>
    </row>
    <row r="95" ht="22" customHeight="1">
      <c r="B95" s="11" t="n"/>
      <c r="C95" s="11" t="n"/>
      <c r="D95" s="11" t="n"/>
      <c r="E95" s="11" t="n"/>
      <c r="F95" s="11" t="n"/>
      <c r="G95" s="11" t="n"/>
      <c r="H95" s="14" t="n"/>
      <c r="I95" s="14" t="n"/>
      <c r="J95" s="12">
        <f>IFERROR((I95-H95)/30,0)</f>
        <v/>
      </c>
      <c r="K95" s="13">
        <f>IFERROR(VLOOKUP(F95,'Property Registry'!B5:G154,6,FALSE),0)</f>
        <v/>
      </c>
      <c r="L95" s="13" t="n"/>
      <c r="M95" s="11" t="n"/>
      <c r="N95" s="11" t="n"/>
      <c r="O95" s="11" t="n"/>
      <c r="P95" s="11" t="n"/>
    </row>
    <row r="96" ht="22" customHeight="1">
      <c r="B96" s="15" t="n"/>
      <c r="C96" s="15" t="n"/>
      <c r="D96" s="15" t="n"/>
      <c r="E96" s="15" t="n"/>
      <c r="F96" s="15" t="n"/>
      <c r="G96" s="15" t="n"/>
      <c r="H96" s="18" t="n"/>
      <c r="I96" s="18" t="n"/>
      <c r="J96" s="16">
        <f>IFERROR((I96-H96)/30,0)</f>
        <v/>
      </c>
      <c r="K96" s="17">
        <f>IFERROR(VLOOKUP(F96,'Property Registry'!B5:G154,6,FALSE),0)</f>
        <v/>
      </c>
      <c r="L96" s="17" t="n"/>
      <c r="M96" s="15" t="n"/>
      <c r="N96" s="15" t="n"/>
      <c r="O96" s="15" t="n"/>
      <c r="P96" s="15" t="n"/>
    </row>
    <row r="97" ht="22" customHeight="1">
      <c r="B97" s="11" t="n"/>
      <c r="C97" s="11" t="n"/>
      <c r="D97" s="11" t="n"/>
      <c r="E97" s="11" t="n"/>
      <c r="F97" s="11" t="n"/>
      <c r="G97" s="11" t="n"/>
      <c r="H97" s="14" t="n"/>
      <c r="I97" s="14" t="n"/>
      <c r="J97" s="12">
        <f>IFERROR((I97-H97)/30,0)</f>
        <v/>
      </c>
      <c r="K97" s="13">
        <f>IFERROR(VLOOKUP(F97,'Property Registry'!B5:G154,6,FALSE),0)</f>
        <v/>
      </c>
      <c r="L97" s="13" t="n"/>
      <c r="M97" s="11" t="n"/>
      <c r="N97" s="11" t="n"/>
      <c r="O97" s="11" t="n"/>
      <c r="P97" s="11" t="n"/>
    </row>
    <row r="98" ht="22" customHeight="1">
      <c r="B98" s="15" t="n"/>
      <c r="C98" s="15" t="n"/>
      <c r="D98" s="15" t="n"/>
      <c r="E98" s="15" t="n"/>
      <c r="F98" s="15" t="n"/>
      <c r="G98" s="15" t="n"/>
      <c r="H98" s="18" t="n"/>
      <c r="I98" s="18" t="n"/>
      <c r="J98" s="16">
        <f>IFERROR((I98-H98)/30,0)</f>
        <v/>
      </c>
      <c r="K98" s="17">
        <f>IFERROR(VLOOKUP(F98,'Property Registry'!B5:G154,6,FALSE),0)</f>
        <v/>
      </c>
      <c r="L98" s="17" t="n"/>
      <c r="M98" s="15" t="n"/>
      <c r="N98" s="15" t="n"/>
      <c r="O98" s="15" t="n"/>
      <c r="P98" s="15" t="n"/>
    </row>
    <row r="99" ht="22" customHeight="1">
      <c r="B99" s="11" t="n"/>
      <c r="C99" s="11" t="n"/>
      <c r="D99" s="11" t="n"/>
      <c r="E99" s="11" t="n"/>
      <c r="F99" s="11" t="n"/>
      <c r="G99" s="11" t="n"/>
      <c r="H99" s="14" t="n"/>
      <c r="I99" s="14" t="n"/>
      <c r="J99" s="12">
        <f>IFERROR((I99-H99)/30,0)</f>
        <v/>
      </c>
      <c r="K99" s="13">
        <f>IFERROR(VLOOKUP(F99,'Property Registry'!B5:G154,6,FALSE),0)</f>
        <v/>
      </c>
      <c r="L99" s="13" t="n"/>
      <c r="M99" s="11" t="n"/>
      <c r="N99" s="11" t="n"/>
      <c r="O99" s="11" t="n"/>
      <c r="P99" s="11" t="n"/>
    </row>
    <row r="100" ht="22" customHeight="1">
      <c r="B100" s="15" t="n"/>
      <c r="C100" s="15" t="n"/>
      <c r="D100" s="15" t="n"/>
      <c r="E100" s="15" t="n"/>
      <c r="F100" s="15" t="n"/>
      <c r="G100" s="15" t="n"/>
      <c r="H100" s="18" t="n"/>
      <c r="I100" s="18" t="n"/>
      <c r="J100" s="16">
        <f>IFERROR((I100-H100)/30,0)</f>
        <v/>
      </c>
      <c r="K100" s="17">
        <f>IFERROR(VLOOKUP(F100,'Property Registry'!B5:G154,6,FALSE),0)</f>
        <v/>
      </c>
      <c r="L100" s="17" t="n"/>
      <c r="M100" s="15" t="n"/>
      <c r="N100" s="15" t="n"/>
      <c r="O100" s="15" t="n"/>
      <c r="P100" s="15" t="n"/>
    </row>
    <row r="101" ht="22" customHeight="1">
      <c r="B101" s="11" t="n"/>
      <c r="C101" s="11" t="n"/>
      <c r="D101" s="11" t="n"/>
      <c r="E101" s="11" t="n"/>
      <c r="F101" s="11" t="n"/>
      <c r="G101" s="11" t="n"/>
      <c r="H101" s="14" t="n"/>
      <c r="I101" s="14" t="n"/>
      <c r="J101" s="12">
        <f>IFERROR((I101-H101)/30,0)</f>
        <v/>
      </c>
      <c r="K101" s="13">
        <f>IFERROR(VLOOKUP(F101,'Property Registry'!B5:G154,6,FALSE),0)</f>
        <v/>
      </c>
      <c r="L101" s="13" t="n"/>
      <c r="M101" s="11" t="n"/>
      <c r="N101" s="11" t="n"/>
      <c r="O101" s="11" t="n"/>
      <c r="P101" s="11" t="n"/>
    </row>
    <row r="102" ht="22" customHeight="1">
      <c r="B102" s="15" t="n"/>
      <c r="C102" s="15" t="n"/>
      <c r="D102" s="15" t="n"/>
      <c r="E102" s="15" t="n"/>
      <c r="F102" s="15" t="n"/>
      <c r="G102" s="15" t="n"/>
      <c r="H102" s="18" t="n"/>
      <c r="I102" s="18" t="n"/>
      <c r="J102" s="16">
        <f>IFERROR((I102-H102)/30,0)</f>
        <v/>
      </c>
      <c r="K102" s="17">
        <f>IFERROR(VLOOKUP(F102,'Property Registry'!B5:G154,6,FALSE),0)</f>
        <v/>
      </c>
      <c r="L102" s="17" t="n"/>
      <c r="M102" s="15" t="n"/>
      <c r="N102" s="15" t="n"/>
      <c r="O102" s="15" t="n"/>
      <c r="P102" s="15" t="n"/>
    </row>
    <row r="103" ht="22" customHeight="1">
      <c r="B103" s="11" t="n"/>
      <c r="C103" s="11" t="n"/>
      <c r="D103" s="11" t="n"/>
      <c r="E103" s="11" t="n"/>
      <c r="F103" s="11" t="n"/>
      <c r="G103" s="11" t="n"/>
      <c r="H103" s="14" t="n"/>
      <c r="I103" s="14" t="n"/>
      <c r="J103" s="12">
        <f>IFERROR((I103-H103)/30,0)</f>
        <v/>
      </c>
      <c r="K103" s="13">
        <f>IFERROR(VLOOKUP(F103,'Property Registry'!B5:G154,6,FALSE),0)</f>
        <v/>
      </c>
      <c r="L103" s="13" t="n"/>
      <c r="M103" s="11" t="n"/>
      <c r="N103" s="11" t="n"/>
      <c r="O103" s="11" t="n"/>
      <c r="P103" s="11" t="n"/>
    </row>
    <row r="104" ht="22" customHeight="1">
      <c r="B104" s="15" t="n"/>
      <c r="C104" s="15" t="n"/>
      <c r="D104" s="15" t="n"/>
      <c r="E104" s="15" t="n"/>
      <c r="F104" s="15" t="n"/>
      <c r="G104" s="15" t="n"/>
      <c r="H104" s="18" t="n"/>
      <c r="I104" s="18" t="n"/>
      <c r="J104" s="16">
        <f>IFERROR((I104-H104)/30,0)</f>
        <v/>
      </c>
      <c r="K104" s="17">
        <f>IFERROR(VLOOKUP(F104,'Property Registry'!B5:G154,6,FALSE),0)</f>
        <v/>
      </c>
      <c r="L104" s="17" t="n"/>
      <c r="M104" s="15" t="n"/>
      <c r="N104" s="15" t="n"/>
      <c r="O104" s="15" t="n"/>
      <c r="P104" s="15" t="n"/>
    </row>
    <row r="105" ht="22" customHeight="1">
      <c r="B105" s="11" t="n"/>
      <c r="C105" s="11" t="n"/>
      <c r="D105" s="11" t="n"/>
      <c r="E105" s="11" t="n"/>
      <c r="F105" s="11" t="n"/>
      <c r="G105" s="11" t="n"/>
      <c r="H105" s="14" t="n"/>
      <c r="I105" s="14" t="n"/>
      <c r="J105" s="12">
        <f>IFERROR((I105-H105)/30,0)</f>
        <v/>
      </c>
      <c r="K105" s="13">
        <f>IFERROR(VLOOKUP(F105,'Property Registry'!B5:G154,6,FALSE),0)</f>
        <v/>
      </c>
      <c r="L105" s="13" t="n"/>
      <c r="M105" s="11" t="n"/>
      <c r="N105" s="11" t="n"/>
      <c r="O105" s="11" t="n"/>
      <c r="P105" s="11" t="n"/>
    </row>
    <row r="106" ht="22" customHeight="1">
      <c r="B106" s="15" t="n"/>
      <c r="C106" s="15" t="n"/>
      <c r="D106" s="15" t="n"/>
      <c r="E106" s="15" t="n"/>
      <c r="F106" s="15" t="n"/>
      <c r="G106" s="15" t="n"/>
      <c r="H106" s="18" t="n"/>
      <c r="I106" s="18" t="n"/>
      <c r="J106" s="16">
        <f>IFERROR((I106-H106)/30,0)</f>
        <v/>
      </c>
      <c r="K106" s="17">
        <f>IFERROR(VLOOKUP(F106,'Property Registry'!B5:G154,6,FALSE),0)</f>
        <v/>
      </c>
      <c r="L106" s="17" t="n"/>
      <c r="M106" s="15" t="n"/>
      <c r="N106" s="15" t="n"/>
      <c r="O106" s="15" t="n"/>
      <c r="P106" s="15" t="n"/>
    </row>
    <row r="107" ht="22" customHeight="1">
      <c r="B107" s="11" t="n"/>
      <c r="C107" s="11" t="n"/>
      <c r="D107" s="11" t="n"/>
      <c r="E107" s="11" t="n"/>
      <c r="F107" s="11" t="n"/>
      <c r="G107" s="11" t="n"/>
      <c r="H107" s="14" t="n"/>
      <c r="I107" s="14" t="n"/>
      <c r="J107" s="12">
        <f>IFERROR((I107-H107)/30,0)</f>
        <v/>
      </c>
      <c r="K107" s="13">
        <f>IFERROR(VLOOKUP(F107,'Property Registry'!B5:G154,6,FALSE),0)</f>
        <v/>
      </c>
      <c r="L107" s="13" t="n"/>
      <c r="M107" s="11" t="n"/>
      <c r="N107" s="11" t="n"/>
      <c r="O107" s="11" t="n"/>
      <c r="P107" s="11" t="n"/>
    </row>
    <row r="108" ht="22" customHeight="1">
      <c r="B108" s="15" t="n"/>
      <c r="C108" s="15" t="n"/>
      <c r="D108" s="15" t="n"/>
      <c r="E108" s="15" t="n"/>
      <c r="F108" s="15" t="n"/>
      <c r="G108" s="15" t="n"/>
      <c r="H108" s="18" t="n"/>
      <c r="I108" s="18" t="n"/>
      <c r="J108" s="16">
        <f>IFERROR((I108-H108)/30,0)</f>
        <v/>
      </c>
      <c r="K108" s="17">
        <f>IFERROR(VLOOKUP(F108,'Property Registry'!B5:G154,6,FALSE),0)</f>
        <v/>
      </c>
      <c r="L108" s="17" t="n"/>
      <c r="M108" s="15" t="n"/>
      <c r="N108" s="15" t="n"/>
      <c r="O108" s="15" t="n"/>
      <c r="P108" s="15" t="n"/>
    </row>
    <row r="109" ht="22" customHeight="1">
      <c r="B109" s="11" t="n"/>
      <c r="C109" s="11" t="n"/>
      <c r="D109" s="11" t="n"/>
      <c r="E109" s="11" t="n"/>
      <c r="F109" s="11" t="n"/>
      <c r="G109" s="11" t="n"/>
      <c r="H109" s="14" t="n"/>
      <c r="I109" s="14" t="n"/>
      <c r="J109" s="12">
        <f>IFERROR((I109-H109)/30,0)</f>
        <v/>
      </c>
      <c r="K109" s="13">
        <f>IFERROR(VLOOKUP(F109,'Property Registry'!B5:G154,6,FALSE),0)</f>
        <v/>
      </c>
      <c r="L109" s="13" t="n"/>
      <c r="M109" s="11" t="n"/>
      <c r="N109" s="11" t="n"/>
      <c r="O109" s="11" t="n"/>
      <c r="P109" s="11" t="n"/>
    </row>
    <row r="110" ht="22" customHeight="1">
      <c r="B110" s="15" t="n"/>
      <c r="C110" s="15" t="n"/>
      <c r="D110" s="15" t="n"/>
      <c r="E110" s="15" t="n"/>
      <c r="F110" s="15" t="n"/>
      <c r="G110" s="15" t="n"/>
      <c r="H110" s="18" t="n"/>
      <c r="I110" s="18" t="n"/>
      <c r="J110" s="16">
        <f>IFERROR((I110-H110)/30,0)</f>
        <v/>
      </c>
      <c r="K110" s="17">
        <f>IFERROR(VLOOKUP(F110,'Property Registry'!B5:G154,6,FALSE),0)</f>
        <v/>
      </c>
      <c r="L110" s="17" t="n"/>
      <c r="M110" s="15" t="n"/>
      <c r="N110" s="15" t="n"/>
      <c r="O110" s="15" t="n"/>
      <c r="P110" s="15" t="n"/>
    </row>
    <row r="111" ht="22" customHeight="1">
      <c r="B111" s="11" t="n"/>
      <c r="C111" s="11" t="n"/>
      <c r="D111" s="11" t="n"/>
      <c r="E111" s="11" t="n"/>
      <c r="F111" s="11" t="n"/>
      <c r="G111" s="11" t="n"/>
      <c r="H111" s="14" t="n"/>
      <c r="I111" s="14" t="n"/>
      <c r="J111" s="12">
        <f>IFERROR((I111-H111)/30,0)</f>
        <v/>
      </c>
      <c r="K111" s="13">
        <f>IFERROR(VLOOKUP(F111,'Property Registry'!B5:G154,6,FALSE),0)</f>
        <v/>
      </c>
      <c r="L111" s="13" t="n"/>
      <c r="M111" s="11" t="n"/>
      <c r="N111" s="11" t="n"/>
      <c r="O111" s="11" t="n"/>
      <c r="P111" s="11" t="n"/>
    </row>
    <row r="112" ht="22" customHeight="1">
      <c r="B112" s="15" t="n"/>
      <c r="C112" s="15" t="n"/>
      <c r="D112" s="15" t="n"/>
      <c r="E112" s="15" t="n"/>
      <c r="F112" s="15" t="n"/>
      <c r="G112" s="15" t="n"/>
      <c r="H112" s="18" t="n"/>
      <c r="I112" s="18" t="n"/>
      <c r="J112" s="16">
        <f>IFERROR((I112-H112)/30,0)</f>
        <v/>
      </c>
      <c r="K112" s="17">
        <f>IFERROR(VLOOKUP(F112,'Property Registry'!B5:G154,6,FALSE),0)</f>
        <v/>
      </c>
      <c r="L112" s="17" t="n"/>
      <c r="M112" s="15" t="n"/>
      <c r="N112" s="15" t="n"/>
      <c r="O112" s="15" t="n"/>
      <c r="P112" s="15" t="n"/>
    </row>
    <row r="113" ht="22" customHeight="1">
      <c r="B113" s="11" t="n"/>
      <c r="C113" s="11" t="n"/>
      <c r="D113" s="11" t="n"/>
      <c r="E113" s="11" t="n"/>
      <c r="F113" s="11" t="n"/>
      <c r="G113" s="11" t="n"/>
      <c r="H113" s="14" t="n"/>
      <c r="I113" s="14" t="n"/>
      <c r="J113" s="12">
        <f>IFERROR((I113-H113)/30,0)</f>
        <v/>
      </c>
      <c r="K113" s="13">
        <f>IFERROR(VLOOKUP(F113,'Property Registry'!B5:G154,6,FALSE),0)</f>
        <v/>
      </c>
      <c r="L113" s="13" t="n"/>
      <c r="M113" s="11" t="n"/>
      <c r="N113" s="11" t="n"/>
      <c r="O113" s="11" t="n"/>
      <c r="P113" s="11" t="n"/>
    </row>
    <row r="114" ht="22" customHeight="1">
      <c r="B114" s="15" t="n"/>
      <c r="C114" s="15" t="n"/>
      <c r="D114" s="15" t="n"/>
      <c r="E114" s="15" t="n"/>
      <c r="F114" s="15" t="n"/>
      <c r="G114" s="15" t="n"/>
      <c r="H114" s="18" t="n"/>
      <c r="I114" s="18" t="n"/>
      <c r="J114" s="16">
        <f>IFERROR((I114-H114)/30,0)</f>
        <v/>
      </c>
      <c r="K114" s="17">
        <f>IFERROR(VLOOKUP(F114,'Property Registry'!B5:G154,6,FALSE),0)</f>
        <v/>
      </c>
      <c r="L114" s="17" t="n"/>
      <c r="M114" s="15" t="n"/>
      <c r="N114" s="15" t="n"/>
      <c r="O114" s="15" t="n"/>
      <c r="P114" s="15" t="n"/>
    </row>
    <row r="115" ht="22" customHeight="1">
      <c r="B115" s="11" t="n"/>
      <c r="C115" s="11" t="n"/>
      <c r="D115" s="11" t="n"/>
      <c r="E115" s="11" t="n"/>
      <c r="F115" s="11" t="n"/>
      <c r="G115" s="11" t="n"/>
      <c r="H115" s="14" t="n"/>
      <c r="I115" s="14" t="n"/>
      <c r="J115" s="12">
        <f>IFERROR((I115-H115)/30,0)</f>
        <v/>
      </c>
      <c r="K115" s="13">
        <f>IFERROR(VLOOKUP(F115,'Property Registry'!B5:G154,6,FALSE),0)</f>
        <v/>
      </c>
      <c r="L115" s="13" t="n"/>
      <c r="M115" s="11" t="n"/>
      <c r="N115" s="11" t="n"/>
      <c r="O115" s="11" t="n"/>
      <c r="P115" s="11" t="n"/>
    </row>
    <row r="116" ht="22" customHeight="1">
      <c r="B116" s="15" t="n"/>
      <c r="C116" s="15" t="n"/>
      <c r="D116" s="15" t="n"/>
      <c r="E116" s="15" t="n"/>
      <c r="F116" s="15" t="n"/>
      <c r="G116" s="15" t="n"/>
      <c r="H116" s="18" t="n"/>
      <c r="I116" s="18" t="n"/>
      <c r="J116" s="16">
        <f>IFERROR((I116-H116)/30,0)</f>
        <v/>
      </c>
      <c r="K116" s="17">
        <f>IFERROR(VLOOKUP(F116,'Property Registry'!B5:G154,6,FALSE),0)</f>
        <v/>
      </c>
      <c r="L116" s="17" t="n"/>
      <c r="M116" s="15" t="n"/>
      <c r="N116" s="15" t="n"/>
      <c r="O116" s="15" t="n"/>
      <c r="P116" s="15" t="n"/>
    </row>
    <row r="117" ht="22" customHeight="1">
      <c r="B117" s="11" t="n"/>
      <c r="C117" s="11" t="n"/>
      <c r="D117" s="11" t="n"/>
      <c r="E117" s="11" t="n"/>
      <c r="F117" s="11" t="n"/>
      <c r="G117" s="11" t="n"/>
      <c r="H117" s="14" t="n"/>
      <c r="I117" s="14" t="n"/>
      <c r="J117" s="12">
        <f>IFERROR((I117-H117)/30,0)</f>
        <v/>
      </c>
      <c r="K117" s="13">
        <f>IFERROR(VLOOKUP(F117,'Property Registry'!B5:G154,6,FALSE),0)</f>
        <v/>
      </c>
      <c r="L117" s="13" t="n"/>
      <c r="M117" s="11" t="n"/>
      <c r="N117" s="11" t="n"/>
      <c r="O117" s="11" t="n"/>
      <c r="P117" s="11" t="n"/>
    </row>
    <row r="118" ht="22" customHeight="1">
      <c r="B118" s="15" t="n"/>
      <c r="C118" s="15" t="n"/>
      <c r="D118" s="15" t="n"/>
      <c r="E118" s="15" t="n"/>
      <c r="F118" s="15" t="n"/>
      <c r="G118" s="15" t="n"/>
      <c r="H118" s="18" t="n"/>
      <c r="I118" s="18" t="n"/>
      <c r="J118" s="16">
        <f>IFERROR((I118-H118)/30,0)</f>
        <v/>
      </c>
      <c r="K118" s="17">
        <f>IFERROR(VLOOKUP(F118,'Property Registry'!B5:G154,6,FALSE),0)</f>
        <v/>
      </c>
      <c r="L118" s="17" t="n"/>
      <c r="M118" s="15" t="n"/>
      <c r="N118" s="15" t="n"/>
      <c r="O118" s="15" t="n"/>
      <c r="P118" s="15" t="n"/>
    </row>
    <row r="119" ht="22" customHeight="1">
      <c r="B119" s="11" t="n"/>
      <c r="C119" s="11" t="n"/>
      <c r="D119" s="11" t="n"/>
      <c r="E119" s="11" t="n"/>
      <c r="F119" s="11" t="n"/>
      <c r="G119" s="11" t="n"/>
      <c r="H119" s="14" t="n"/>
      <c r="I119" s="14" t="n"/>
      <c r="J119" s="12">
        <f>IFERROR((I119-H119)/30,0)</f>
        <v/>
      </c>
      <c r="K119" s="13">
        <f>IFERROR(VLOOKUP(F119,'Property Registry'!B5:G154,6,FALSE),0)</f>
        <v/>
      </c>
      <c r="L119" s="13" t="n"/>
      <c r="M119" s="11" t="n"/>
      <c r="N119" s="11" t="n"/>
      <c r="O119" s="11" t="n"/>
      <c r="P119" s="11" t="n"/>
    </row>
    <row r="120" ht="22" customHeight="1">
      <c r="B120" s="15" t="n"/>
      <c r="C120" s="15" t="n"/>
      <c r="D120" s="15" t="n"/>
      <c r="E120" s="15" t="n"/>
      <c r="F120" s="15" t="n"/>
      <c r="G120" s="15" t="n"/>
      <c r="H120" s="18" t="n"/>
      <c r="I120" s="18" t="n"/>
      <c r="J120" s="16">
        <f>IFERROR((I120-H120)/30,0)</f>
        <v/>
      </c>
      <c r="K120" s="17">
        <f>IFERROR(VLOOKUP(F120,'Property Registry'!B5:G154,6,FALSE),0)</f>
        <v/>
      </c>
      <c r="L120" s="17" t="n"/>
      <c r="M120" s="15" t="n"/>
      <c r="N120" s="15" t="n"/>
      <c r="O120" s="15" t="n"/>
      <c r="P120" s="15" t="n"/>
    </row>
    <row r="121" ht="22" customHeight="1">
      <c r="B121" s="11" t="n"/>
      <c r="C121" s="11" t="n"/>
      <c r="D121" s="11" t="n"/>
      <c r="E121" s="11" t="n"/>
      <c r="F121" s="11" t="n"/>
      <c r="G121" s="11" t="n"/>
      <c r="H121" s="14" t="n"/>
      <c r="I121" s="14" t="n"/>
      <c r="J121" s="12">
        <f>IFERROR((I121-H121)/30,0)</f>
        <v/>
      </c>
      <c r="K121" s="13">
        <f>IFERROR(VLOOKUP(F121,'Property Registry'!B5:G154,6,FALSE),0)</f>
        <v/>
      </c>
      <c r="L121" s="13" t="n"/>
      <c r="M121" s="11" t="n"/>
      <c r="N121" s="11" t="n"/>
      <c r="O121" s="11" t="n"/>
      <c r="P121" s="11" t="n"/>
    </row>
    <row r="122" ht="22" customHeight="1">
      <c r="B122" s="15" t="n"/>
      <c r="C122" s="15" t="n"/>
      <c r="D122" s="15" t="n"/>
      <c r="E122" s="15" t="n"/>
      <c r="F122" s="15" t="n"/>
      <c r="G122" s="15" t="n"/>
      <c r="H122" s="18" t="n"/>
      <c r="I122" s="18" t="n"/>
      <c r="J122" s="16">
        <f>IFERROR((I122-H122)/30,0)</f>
        <v/>
      </c>
      <c r="K122" s="17">
        <f>IFERROR(VLOOKUP(F122,'Property Registry'!B5:G154,6,FALSE),0)</f>
        <v/>
      </c>
      <c r="L122" s="17" t="n"/>
      <c r="M122" s="15" t="n"/>
      <c r="N122" s="15" t="n"/>
      <c r="O122" s="15" t="n"/>
      <c r="P122" s="15" t="n"/>
    </row>
    <row r="123" ht="22" customHeight="1">
      <c r="B123" s="11" t="n"/>
      <c r="C123" s="11" t="n"/>
      <c r="D123" s="11" t="n"/>
      <c r="E123" s="11" t="n"/>
      <c r="F123" s="11" t="n"/>
      <c r="G123" s="11" t="n"/>
      <c r="H123" s="14" t="n"/>
      <c r="I123" s="14" t="n"/>
      <c r="J123" s="12">
        <f>IFERROR((I123-H123)/30,0)</f>
        <v/>
      </c>
      <c r="K123" s="13">
        <f>IFERROR(VLOOKUP(F123,'Property Registry'!B5:G154,6,FALSE),0)</f>
        <v/>
      </c>
      <c r="L123" s="13" t="n"/>
      <c r="M123" s="11" t="n"/>
      <c r="N123" s="11" t="n"/>
      <c r="O123" s="11" t="n"/>
      <c r="P123" s="11" t="n"/>
    </row>
    <row r="124" ht="22" customHeight="1">
      <c r="B124" s="15" t="n"/>
      <c r="C124" s="15" t="n"/>
      <c r="D124" s="15" t="n"/>
      <c r="E124" s="15" t="n"/>
      <c r="F124" s="15" t="n"/>
      <c r="G124" s="15" t="n"/>
      <c r="H124" s="18" t="n"/>
      <c r="I124" s="18" t="n"/>
      <c r="J124" s="16">
        <f>IFERROR((I124-H124)/30,0)</f>
        <v/>
      </c>
      <c r="K124" s="17">
        <f>IFERROR(VLOOKUP(F124,'Property Registry'!B5:G154,6,FALSE),0)</f>
        <v/>
      </c>
      <c r="L124" s="17" t="n"/>
      <c r="M124" s="15" t="n"/>
      <c r="N124" s="15" t="n"/>
      <c r="O124" s="15" t="n"/>
      <c r="P124" s="15" t="n"/>
    </row>
    <row r="125" ht="22" customHeight="1">
      <c r="B125" s="11" t="n"/>
      <c r="C125" s="11" t="n"/>
      <c r="D125" s="11" t="n"/>
      <c r="E125" s="11" t="n"/>
      <c r="F125" s="11" t="n"/>
      <c r="G125" s="11" t="n"/>
      <c r="H125" s="14" t="n"/>
      <c r="I125" s="14" t="n"/>
      <c r="J125" s="12">
        <f>IFERROR((I125-H125)/30,0)</f>
        <v/>
      </c>
      <c r="K125" s="13">
        <f>IFERROR(VLOOKUP(F125,'Property Registry'!B5:G154,6,FALSE),0)</f>
        <v/>
      </c>
      <c r="L125" s="13" t="n"/>
      <c r="M125" s="11" t="n"/>
      <c r="N125" s="11" t="n"/>
      <c r="O125" s="11" t="n"/>
      <c r="P125" s="11" t="n"/>
    </row>
    <row r="126" ht="22" customHeight="1">
      <c r="B126" s="15" t="n"/>
      <c r="C126" s="15" t="n"/>
      <c r="D126" s="15" t="n"/>
      <c r="E126" s="15" t="n"/>
      <c r="F126" s="15" t="n"/>
      <c r="G126" s="15" t="n"/>
      <c r="H126" s="18" t="n"/>
      <c r="I126" s="18" t="n"/>
      <c r="J126" s="16">
        <f>IFERROR((I126-H126)/30,0)</f>
        <v/>
      </c>
      <c r="K126" s="17">
        <f>IFERROR(VLOOKUP(F126,'Property Registry'!B5:G154,6,FALSE),0)</f>
        <v/>
      </c>
      <c r="L126" s="17" t="n"/>
      <c r="M126" s="15" t="n"/>
      <c r="N126" s="15" t="n"/>
      <c r="O126" s="15" t="n"/>
      <c r="P126" s="15" t="n"/>
    </row>
    <row r="127" ht="22" customHeight="1">
      <c r="B127" s="11" t="n"/>
      <c r="C127" s="11" t="n"/>
      <c r="D127" s="11" t="n"/>
      <c r="E127" s="11" t="n"/>
      <c r="F127" s="11" t="n"/>
      <c r="G127" s="11" t="n"/>
      <c r="H127" s="14" t="n"/>
      <c r="I127" s="14" t="n"/>
      <c r="J127" s="12">
        <f>IFERROR((I127-H127)/30,0)</f>
        <v/>
      </c>
      <c r="K127" s="13">
        <f>IFERROR(VLOOKUP(F127,'Property Registry'!B5:G154,6,FALSE),0)</f>
        <v/>
      </c>
      <c r="L127" s="13" t="n"/>
      <c r="M127" s="11" t="n"/>
      <c r="N127" s="11" t="n"/>
      <c r="O127" s="11" t="n"/>
      <c r="P127" s="11" t="n"/>
    </row>
    <row r="128" ht="22" customHeight="1">
      <c r="B128" s="15" t="n"/>
      <c r="C128" s="15" t="n"/>
      <c r="D128" s="15" t="n"/>
      <c r="E128" s="15" t="n"/>
      <c r="F128" s="15" t="n"/>
      <c r="G128" s="15" t="n"/>
      <c r="H128" s="18" t="n"/>
      <c r="I128" s="18" t="n"/>
      <c r="J128" s="16">
        <f>IFERROR((I128-H128)/30,0)</f>
        <v/>
      </c>
      <c r="K128" s="17">
        <f>IFERROR(VLOOKUP(F128,'Property Registry'!B5:G154,6,FALSE),0)</f>
        <v/>
      </c>
      <c r="L128" s="17" t="n"/>
      <c r="M128" s="15" t="n"/>
      <c r="N128" s="15" t="n"/>
      <c r="O128" s="15" t="n"/>
      <c r="P128" s="15" t="n"/>
    </row>
    <row r="129" ht="22" customHeight="1">
      <c r="B129" s="11" t="n"/>
      <c r="C129" s="11" t="n"/>
      <c r="D129" s="11" t="n"/>
      <c r="E129" s="11" t="n"/>
      <c r="F129" s="11" t="n"/>
      <c r="G129" s="11" t="n"/>
      <c r="H129" s="14" t="n"/>
      <c r="I129" s="14" t="n"/>
      <c r="J129" s="12">
        <f>IFERROR((I129-H129)/30,0)</f>
        <v/>
      </c>
      <c r="K129" s="13">
        <f>IFERROR(VLOOKUP(F129,'Property Registry'!B5:G154,6,FALSE),0)</f>
        <v/>
      </c>
      <c r="L129" s="13" t="n"/>
      <c r="M129" s="11" t="n"/>
      <c r="N129" s="11" t="n"/>
      <c r="O129" s="11" t="n"/>
      <c r="P129" s="11" t="n"/>
    </row>
    <row r="130" ht="22" customHeight="1">
      <c r="B130" s="15" t="n"/>
      <c r="C130" s="15" t="n"/>
      <c r="D130" s="15" t="n"/>
      <c r="E130" s="15" t="n"/>
      <c r="F130" s="15" t="n"/>
      <c r="G130" s="15" t="n"/>
      <c r="H130" s="18" t="n"/>
      <c r="I130" s="18" t="n"/>
      <c r="J130" s="16">
        <f>IFERROR((I130-H130)/30,0)</f>
        <v/>
      </c>
      <c r="K130" s="17">
        <f>IFERROR(VLOOKUP(F130,'Property Registry'!B5:G154,6,FALSE),0)</f>
        <v/>
      </c>
      <c r="L130" s="17" t="n"/>
      <c r="M130" s="15" t="n"/>
      <c r="N130" s="15" t="n"/>
      <c r="O130" s="15" t="n"/>
      <c r="P130" s="15" t="n"/>
    </row>
    <row r="131" ht="22" customHeight="1">
      <c r="B131" s="11" t="n"/>
      <c r="C131" s="11" t="n"/>
      <c r="D131" s="11" t="n"/>
      <c r="E131" s="11" t="n"/>
      <c r="F131" s="11" t="n"/>
      <c r="G131" s="11" t="n"/>
      <c r="H131" s="14" t="n"/>
      <c r="I131" s="14" t="n"/>
      <c r="J131" s="12">
        <f>IFERROR((I131-H131)/30,0)</f>
        <v/>
      </c>
      <c r="K131" s="13">
        <f>IFERROR(VLOOKUP(F131,'Property Registry'!B5:G154,6,FALSE),0)</f>
        <v/>
      </c>
      <c r="L131" s="13" t="n"/>
      <c r="M131" s="11" t="n"/>
      <c r="N131" s="11" t="n"/>
      <c r="O131" s="11" t="n"/>
      <c r="P131" s="11" t="n"/>
    </row>
    <row r="132" ht="22" customHeight="1">
      <c r="B132" s="15" t="n"/>
      <c r="C132" s="15" t="n"/>
      <c r="D132" s="15" t="n"/>
      <c r="E132" s="15" t="n"/>
      <c r="F132" s="15" t="n"/>
      <c r="G132" s="15" t="n"/>
      <c r="H132" s="18" t="n"/>
      <c r="I132" s="18" t="n"/>
      <c r="J132" s="16">
        <f>IFERROR((I132-H132)/30,0)</f>
        <v/>
      </c>
      <c r="K132" s="17">
        <f>IFERROR(VLOOKUP(F132,'Property Registry'!B5:G154,6,FALSE),0)</f>
        <v/>
      </c>
      <c r="L132" s="17" t="n"/>
      <c r="M132" s="15" t="n"/>
      <c r="N132" s="15" t="n"/>
      <c r="O132" s="15" t="n"/>
      <c r="P132" s="15" t="n"/>
    </row>
    <row r="133" ht="22" customHeight="1">
      <c r="B133" s="11" t="n"/>
      <c r="C133" s="11" t="n"/>
      <c r="D133" s="11" t="n"/>
      <c r="E133" s="11" t="n"/>
      <c r="F133" s="11" t="n"/>
      <c r="G133" s="11" t="n"/>
      <c r="H133" s="14" t="n"/>
      <c r="I133" s="14" t="n"/>
      <c r="J133" s="12">
        <f>IFERROR((I133-H133)/30,0)</f>
        <v/>
      </c>
      <c r="K133" s="13">
        <f>IFERROR(VLOOKUP(F133,'Property Registry'!B5:G154,6,FALSE),0)</f>
        <v/>
      </c>
      <c r="L133" s="13" t="n"/>
      <c r="M133" s="11" t="n"/>
      <c r="N133" s="11" t="n"/>
      <c r="O133" s="11" t="n"/>
      <c r="P133" s="11" t="n"/>
    </row>
    <row r="134" ht="22" customHeight="1">
      <c r="B134" s="15" t="n"/>
      <c r="C134" s="15" t="n"/>
      <c r="D134" s="15" t="n"/>
      <c r="E134" s="15" t="n"/>
      <c r="F134" s="15" t="n"/>
      <c r="G134" s="15" t="n"/>
      <c r="H134" s="18" t="n"/>
      <c r="I134" s="18" t="n"/>
      <c r="J134" s="16">
        <f>IFERROR((I134-H134)/30,0)</f>
        <v/>
      </c>
      <c r="K134" s="17">
        <f>IFERROR(VLOOKUP(F134,'Property Registry'!B5:G154,6,FALSE),0)</f>
        <v/>
      </c>
      <c r="L134" s="17" t="n"/>
      <c r="M134" s="15" t="n"/>
      <c r="N134" s="15" t="n"/>
      <c r="O134" s="15" t="n"/>
      <c r="P134" s="15" t="n"/>
    </row>
    <row r="135" ht="22" customHeight="1">
      <c r="B135" s="11" t="n"/>
      <c r="C135" s="11" t="n"/>
      <c r="D135" s="11" t="n"/>
      <c r="E135" s="11" t="n"/>
      <c r="F135" s="11" t="n"/>
      <c r="G135" s="11" t="n"/>
      <c r="H135" s="14" t="n"/>
      <c r="I135" s="14" t="n"/>
      <c r="J135" s="12">
        <f>IFERROR((I135-H135)/30,0)</f>
        <v/>
      </c>
      <c r="K135" s="13">
        <f>IFERROR(VLOOKUP(F135,'Property Registry'!B5:G154,6,FALSE),0)</f>
        <v/>
      </c>
      <c r="L135" s="13" t="n"/>
      <c r="M135" s="11" t="n"/>
      <c r="N135" s="11" t="n"/>
      <c r="O135" s="11" t="n"/>
      <c r="P135" s="11" t="n"/>
    </row>
    <row r="136" ht="22" customHeight="1">
      <c r="B136" s="15" t="n"/>
      <c r="C136" s="15" t="n"/>
      <c r="D136" s="15" t="n"/>
      <c r="E136" s="15" t="n"/>
      <c r="F136" s="15" t="n"/>
      <c r="G136" s="15" t="n"/>
      <c r="H136" s="18" t="n"/>
      <c r="I136" s="18" t="n"/>
      <c r="J136" s="16">
        <f>IFERROR((I136-H136)/30,0)</f>
        <v/>
      </c>
      <c r="K136" s="17">
        <f>IFERROR(VLOOKUP(F136,'Property Registry'!B5:G154,6,FALSE),0)</f>
        <v/>
      </c>
      <c r="L136" s="17" t="n"/>
      <c r="M136" s="15" t="n"/>
      <c r="N136" s="15" t="n"/>
      <c r="O136" s="15" t="n"/>
      <c r="P136" s="15" t="n"/>
    </row>
    <row r="137" ht="22" customHeight="1">
      <c r="B137" s="11" t="n"/>
      <c r="C137" s="11" t="n"/>
      <c r="D137" s="11" t="n"/>
      <c r="E137" s="11" t="n"/>
      <c r="F137" s="11" t="n"/>
      <c r="G137" s="11" t="n"/>
      <c r="H137" s="14" t="n"/>
      <c r="I137" s="14" t="n"/>
      <c r="J137" s="12">
        <f>IFERROR((I137-H137)/30,0)</f>
        <v/>
      </c>
      <c r="K137" s="13">
        <f>IFERROR(VLOOKUP(F137,'Property Registry'!B5:G154,6,FALSE),0)</f>
        <v/>
      </c>
      <c r="L137" s="13" t="n"/>
      <c r="M137" s="11" t="n"/>
      <c r="N137" s="11" t="n"/>
      <c r="O137" s="11" t="n"/>
      <c r="P137" s="11" t="n"/>
    </row>
    <row r="138" ht="22" customHeight="1">
      <c r="B138" s="15" t="n"/>
      <c r="C138" s="15" t="n"/>
      <c r="D138" s="15" t="n"/>
      <c r="E138" s="15" t="n"/>
      <c r="F138" s="15" t="n"/>
      <c r="G138" s="15" t="n"/>
      <c r="H138" s="18" t="n"/>
      <c r="I138" s="18" t="n"/>
      <c r="J138" s="16">
        <f>IFERROR((I138-H138)/30,0)</f>
        <v/>
      </c>
      <c r="K138" s="17">
        <f>IFERROR(VLOOKUP(F138,'Property Registry'!B5:G154,6,FALSE),0)</f>
        <v/>
      </c>
      <c r="L138" s="17" t="n"/>
      <c r="M138" s="15" t="n"/>
      <c r="N138" s="15" t="n"/>
      <c r="O138" s="15" t="n"/>
      <c r="P138" s="15" t="n"/>
    </row>
    <row r="139" ht="22" customHeight="1">
      <c r="B139" s="11" t="n"/>
      <c r="C139" s="11" t="n"/>
      <c r="D139" s="11" t="n"/>
      <c r="E139" s="11" t="n"/>
      <c r="F139" s="11" t="n"/>
      <c r="G139" s="11" t="n"/>
      <c r="H139" s="14" t="n"/>
      <c r="I139" s="14" t="n"/>
      <c r="J139" s="12">
        <f>IFERROR((I139-H139)/30,0)</f>
        <v/>
      </c>
      <c r="K139" s="13">
        <f>IFERROR(VLOOKUP(F139,'Property Registry'!B5:G154,6,FALSE),0)</f>
        <v/>
      </c>
      <c r="L139" s="13" t="n"/>
      <c r="M139" s="11" t="n"/>
      <c r="N139" s="11" t="n"/>
      <c r="O139" s="11" t="n"/>
      <c r="P139" s="11" t="n"/>
    </row>
    <row r="140" ht="22" customHeight="1">
      <c r="B140" s="15" t="n"/>
      <c r="C140" s="15" t="n"/>
      <c r="D140" s="15" t="n"/>
      <c r="E140" s="15" t="n"/>
      <c r="F140" s="15" t="n"/>
      <c r="G140" s="15" t="n"/>
      <c r="H140" s="18" t="n"/>
      <c r="I140" s="18" t="n"/>
      <c r="J140" s="16">
        <f>IFERROR((I140-H140)/30,0)</f>
        <v/>
      </c>
      <c r="K140" s="17">
        <f>IFERROR(VLOOKUP(F140,'Property Registry'!B5:G154,6,FALSE),0)</f>
        <v/>
      </c>
      <c r="L140" s="17" t="n"/>
      <c r="M140" s="15" t="n"/>
      <c r="N140" s="15" t="n"/>
      <c r="O140" s="15" t="n"/>
      <c r="P140" s="15" t="n"/>
    </row>
    <row r="141" ht="22" customHeight="1">
      <c r="B141" s="11" t="n"/>
      <c r="C141" s="11" t="n"/>
      <c r="D141" s="11" t="n"/>
      <c r="E141" s="11" t="n"/>
      <c r="F141" s="11" t="n"/>
      <c r="G141" s="11" t="n"/>
      <c r="H141" s="14" t="n"/>
      <c r="I141" s="14" t="n"/>
      <c r="J141" s="12">
        <f>IFERROR((I141-H141)/30,0)</f>
        <v/>
      </c>
      <c r="K141" s="13">
        <f>IFERROR(VLOOKUP(F141,'Property Registry'!B5:G154,6,FALSE),0)</f>
        <v/>
      </c>
      <c r="L141" s="13" t="n"/>
      <c r="M141" s="11" t="n"/>
      <c r="N141" s="11" t="n"/>
      <c r="O141" s="11" t="n"/>
      <c r="P141" s="11" t="n"/>
    </row>
    <row r="142" ht="22" customHeight="1">
      <c r="B142" s="15" t="n"/>
      <c r="C142" s="15" t="n"/>
      <c r="D142" s="15" t="n"/>
      <c r="E142" s="15" t="n"/>
      <c r="F142" s="15" t="n"/>
      <c r="G142" s="15" t="n"/>
      <c r="H142" s="18" t="n"/>
      <c r="I142" s="18" t="n"/>
      <c r="J142" s="16">
        <f>IFERROR((I142-H142)/30,0)</f>
        <v/>
      </c>
      <c r="K142" s="17">
        <f>IFERROR(VLOOKUP(F142,'Property Registry'!B5:G154,6,FALSE),0)</f>
        <v/>
      </c>
      <c r="L142" s="17" t="n"/>
      <c r="M142" s="15" t="n"/>
      <c r="N142" s="15" t="n"/>
      <c r="O142" s="15" t="n"/>
      <c r="P142" s="15" t="n"/>
    </row>
    <row r="143" ht="22" customHeight="1">
      <c r="B143" s="11" t="n"/>
      <c r="C143" s="11" t="n"/>
      <c r="D143" s="11" t="n"/>
      <c r="E143" s="11" t="n"/>
      <c r="F143" s="11" t="n"/>
      <c r="G143" s="11" t="n"/>
      <c r="H143" s="14" t="n"/>
      <c r="I143" s="14" t="n"/>
      <c r="J143" s="12">
        <f>IFERROR((I143-H143)/30,0)</f>
        <v/>
      </c>
      <c r="K143" s="13">
        <f>IFERROR(VLOOKUP(F143,'Property Registry'!B5:G154,6,FALSE),0)</f>
        <v/>
      </c>
      <c r="L143" s="13" t="n"/>
      <c r="M143" s="11" t="n"/>
      <c r="N143" s="11" t="n"/>
      <c r="O143" s="11" t="n"/>
      <c r="P143" s="11" t="n"/>
    </row>
    <row r="144" ht="22" customHeight="1">
      <c r="B144" s="15" t="n"/>
      <c r="C144" s="15" t="n"/>
      <c r="D144" s="15" t="n"/>
      <c r="E144" s="15" t="n"/>
      <c r="F144" s="15" t="n"/>
      <c r="G144" s="15" t="n"/>
      <c r="H144" s="18" t="n"/>
      <c r="I144" s="18" t="n"/>
      <c r="J144" s="16">
        <f>IFERROR((I144-H144)/30,0)</f>
        <v/>
      </c>
      <c r="K144" s="17">
        <f>IFERROR(VLOOKUP(F144,'Property Registry'!B5:G154,6,FALSE),0)</f>
        <v/>
      </c>
      <c r="L144" s="17" t="n"/>
      <c r="M144" s="15" t="n"/>
      <c r="N144" s="15" t="n"/>
      <c r="O144" s="15" t="n"/>
      <c r="P144" s="15" t="n"/>
    </row>
    <row r="145" ht="22" customHeight="1">
      <c r="B145" s="11" t="n"/>
      <c r="C145" s="11" t="n"/>
      <c r="D145" s="11" t="n"/>
      <c r="E145" s="11" t="n"/>
      <c r="F145" s="11" t="n"/>
      <c r="G145" s="11" t="n"/>
      <c r="H145" s="14" t="n"/>
      <c r="I145" s="14" t="n"/>
      <c r="J145" s="12">
        <f>IFERROR((I145-H145)/30,0)</f>
        <v/>
      </c>
      <c r="K145" s="13">
        <f>IFERROR(VLOOKUP(F145,'Property Registry'!B5:G154,6,FALSE),0)</f>
        <v/>
      </c>
      <c r="L145" s="13" t="n"/>
      <c r="M145" s="11" t="n"/>
      <c r="N145" s="11" t="n"/>
      <c r="O145" s="11" t="n"/>
      <c r="P145" s="11" t="n"/>
    </row>
    <row r="146" ht="22" customHeight="1">
      <c r="B146" s="15" t="n"/>
      <c r="C146" s="15" t="n"/>
      <c r="D146" s="15" t="n"/>
      <c r="E146" s="15" t="n"/>
      <c r="F146" s="15" t="n"/>
      <c r="G146" s="15" t="n"/>
      <c r="H146" s="18" t="n"/>
      <c r="I146" s="18" t="n"/>
      <c r="J146" s="16">
        <f>IFERROR((I146-H146)/30,0)</f>
        <v/>
      </c>
      <c r="K146" s="17">
        <f>IFERROR(VLOOKUP(F146,'Property Registry'!B5:G154,6,FALSE),0)</f>
        <v/>
      </c>
      <c r="L146" s="17" t="n"/>
      <c r="M146" s="15" t="n"/>
      <c r="N146" s="15" t="n"/>
      <c r="O146" s="15" t="n"/>
      <c r="P146" s="15" t="n"/>
    </row>
    <row r="147" ht="22" customHeight="1">
      <c r="B147" s="11" t="n"/>
      <c r="C147" s="11" t="n"/>
      <c r="D147" s="11" t="n"/>
      <c r="E147" s="11" t="n"/>
      <c r="F147" s="11" t="n"/>
      <c r="G147" s="11" t="n"/>
      <c r="H147" s="14" t="n"/>
      <c r="I147" s="14" t="n"/>
      <c r="J147" s="12">
        <f>IFERROR((I147-H147)/30,0)</f>
        <v/>
      </c>
      <c r="K147" s="13">
        <f>IFERROR(VLOOKUP(F147,'Property Registry'!B5:G154,6,FALSE),0)</f>
        <v/>
      </c>
      <c r="L147" s="13" t="n"/>
      <c r="M147" s="11" t="n"/>
      <c r="N147" s="11" t="n"/>
      <c r="O147" s="11" t="n"/>
      <c r="P147" s="11" t="n"/>
    </row>
    <row r="148" ht="22" customHeight="1">
      <c r="B148" s="15" t="n"/>
      <c r="C148" s="15" t="n"/>
      <c r="D148" s="15" t="n"/>
      <c r="E148" s="15" t="n"/>
      <c r="F148" s="15" t="n"/>
      <c r="G148" s="15" t="n"/>
      <c r="H148" s="18" t="n"/>
      <c r="I148" s="18" t="n"/>
      <c r="J148" s="16">
        <f>IFERROR((I148-H148)/30,0)</f>
        <v/>
      </c>
      <c r="K148" s="17">
        <f>IFERROR(VLOOKUP(F148,'Property Registry'!B5:G154,6,FALSE),0)</f>
        <v/>
      </c>
      <c r="L148" s="17" t="n"/>
      <c r="M148" s="15" t="n"/>
      <c r="N148" s="15" t="n"/>
      <c r="O148" s="15" t="n"/>
      <c r="P148" s="15" t="n"/>
    </row>
    <row r="149" ht="22" customHeight="1">
      <c r="B149" s="11" t="n"/>
      <c r="C149" s="11" t="n"/>
      <c r="D149" s="11" t="n"/>
      <c r="E149" s="11" t="n"/>
      <c r="F149" s="11" t="n"/>
      <c r="G149" s="11" t="n"/>
      <c r="H149" s="14" t="n"/>
      <c r="I149" s="14" t="n"/>
      <c r="J149" s="12">
        <f>IFERROR((I149-H149)/30,0)</f>
        <v/>
      </c>
      <c r="K149" s="13">
        <f>IFERROR(VLOOKUP(F149,'Property Registry'!B5:G154,6,FALSE),0)</f>
        <v/>
      </c>
      <c r="L149" s="13" t="n"/>
      <c r="M149" s="11" t="n"/>
      <c r="N149" s="11" t="n"/>
      <c r="O149" s="11" t="n"/>
      <c r="P149" s="11" t="n"/>
    </row>
    <row r="150" ht="22" customHeight="1">
      <c r="B150" s="15" t="n"/>
      <c r="C150" s="15" t="n"/>
      <c r="D150" s="15" t="n"/>
      <c r="E150" s="15" t="n"/>
      <c r="F150" s="15" t="n"/>
      <c r="G150" s="15" t="n"/>
      <c r="H150" s="18" t="n"/>
      <c r="I150" s="18" t="n"/>
      <c r="J150" s="16">
        <f>IFERROR((I150-H150)/30,0)</f>
        <v/>
      </c>
      <c r="K150" s="17">
        <f>IFERROR(VLOOKUP(F150,'Property Registry'!B5:G154,6,FALSE),0)</f>
        <v/>
      </c>
      <c r="L150" s="17" t="n"/>
      <c r="M150" s="15" t="n"/>
      <c r="N150" s="15" t="n"/>
      <c r="O150" s="15" t="n"/>
      <c r="P150" s="15" t="n"/>
    </row>
    <row r="151" ht="22" customHeight="1">
      <c r="B151" s="11" t="n"/>
      <c r="C151" s="11" t="n"/>
      <c r="D151" s="11" t="n"/>
      <c r="E151" s="11" t="n"/>
      <c r="F151" s="11" t="n"/>
      <c r="G151" s="11" t="n"/>
      <c r="H151" s="14" t="n"/>
      <c r="I151" s="14" t="n"/>
      <c r="J151" s="12">
        <f>IFERROR((I151-H151)/30,0)</f>
        <v/>
      </c>
      <c r="K151" s="13">
        <f>IFERROR(VLOOKUP(F151,'Property Registry'!B5:G154,6,FALSE),0)</f>
        <v/>
      </c>
      <c r="L151" s="13" t="n"/>
      <c r="M151" s="11" t="n"/>
      <c r="N151" s="11" t="n"/>
      <c r="O151" s="11" t="n"/>
      <c r="P151" s="11" t="n"/>
    </row>
    <row r="152" ht="22" customHeight="1">
      <c r="B152" s="15" t="n"/>
      <c r="C152" s="15" t="n"/>
      <c r="D152" s="15" t="n"/>
      <c r="E152" s="15" t="n"/>
      <c r="F152" s="15" t="n"/>
      <c r="G152" s="15" t="n"/>
      <c r="H152" s="18" t="n"/>
      <c r="I152" s="18" t="n"/>
      <c r="J152" s="16">
        <f>IFERROR((I152-H152)/30,0)</f>
        <v/>
      </c>
      <c r="K152" s="17">
        <f>IFERROR(VLOOKUP(F152,'Property Registry'!B5:G154,6,FALSE),0)</f>
        <v/>
      </c>
      <c r="L152" s="17" t="n"/>
      <c r="M152" s="15" t="n"/>
      <c r="N152" s="15" t="n"/>
      <c r="O152" s="15" t="n"/>
      <c r="P152" s="15" t="n"/>
    </row>
    <row r="153" ht="22" customHeight="1">
      <c r="B153" s="11" t="n"/>
      <c r="C153" s="11" t="n"/>
      <c r="D153" s="11" t="n"/>
      <c r="E153" s="11" t="n"/>
      <c r="F153" s="11" t="n"/>
      <c r="G153" s="11" t="n"/>
      <c r="H153" s="14" t="n"/>
      <c r="I153" s="14" t="n"/>
      <c r="J153" s="12">
        <f>IFERROR((I153-H153)/30,0)</f>
        <v/>
      </c>
      <c r="K153" s="13">
        <f>IFERROR(VLOOKUP(F153,'Property Registry'!B5:G154,6,FALSE),0)</f>
        <v/>
      </c>
      <c r="L153" s="13" t="n"/>
      <c r="M153" s="11" t="n"/>
      <c r="N153" s="11" t="n"/>
      <c r="O153" s="11" t="n"/>
      <c r="P153" s="11" t="n"/>
    </row>
    <row r="154" ht="22" customHeight="1">
      <c r="B154" s="15" t="n"/>
      <c r="C154" s="15" t="n"/>
      <c r="D154" s="15" t="n"/>
      <c r="E154" s="15" t="n"/>
      <c r="F154" s="15" t="n"/>
      <c r="G154" s="15" t="n"/>
      <c r="H154" s="18" t="n"/>
      <c r="I154" s="18" t="n"/>
      <c r="J154" s="16">
        <f>IFERROR((I154-H154)/30,0)</f>
        <v/>
      </c>
      <c r="K154" s="17">
        <f>IFERROR(VLOOKUP(F154,'Property Registry'!B5:G154,6,FALSE),0)</f>
        <v/>
      </c>
      <c r="L154" s="17" t="n"/>
      <c r="M154" s="15" t="n"/>
      <c r="N154" s="15" t="n"/>
      <c r="O154" s="15" t="n"/>
      <c r="P154" s="15" t="n"/>
    </row>
    <row r="155" ht="26" customHeight="1">
      <c r="B155" s="19" t="inlineStr">
        <is>
          <t>TOTALS</t>
        </is>
      </c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21">
        <f>IFERROR(SUM(K5:K154),0)</f>
        <v/>
      </c>
      <c r="L155" s="21">
        <f>IFERROR(SUM(L5:L154),0)</f>
        <v/>
      </c>
      <c r="M155" s="19" t="n"/>
      <c r="N155" s="19" t="n"/>
      <c r="O155" s="19" t="n"/>
      <c r="P155" s="19" t="n"/>
    </row>
  </sheetData>
  <mergeCells count="1">
    <mergeCell ref="B2:P2"/>
  </mergeCells>
  <conditionalFormatting sqref="I5:I154">
    <cfRule type="expression" priority="1" dxfId="1">
      <formula>AND(I5&lt;TODAY(),I5&lt;&gt;"")</formula>
    </cfRule>
    <cfRule type="expression" priority="2" dxfId="2">
      <formula>AND(I5-TODAY()&lt;=30,I5-TODAY()&gt;0,I5&lt;&gt;"")</formula>
    </cfRule>
  </conditionalFormatting>
  <dataValidations count="1">
    <dataValidation sqref="L5:L154" showDropDown="0" showInputMessage="0" showErrorMessage="0" allowBlank="1" promptTitle="Payment Method" prompt="Select Payment Method" type="list">
      <formula1>"Cash,Bank Transfer,Cheque,Online"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O1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2" customWidth="1" min="3" max="3"/>
    <col width="16" customWidth="1" min="4" max="4"/>
    <col width="14" customWidth="1" min="5" max="5"/>
    <col width="14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6" customWidth="1" min="12" max="12"/>
    <col width="16" customWidth="1" min="13" max="13"/>
    <col width="12" customWidth="1" min="14" max="14"/>
    <col width="24" customWidth="1" min="15" max="15"/>
  </cols>
  <sheetData>
    <row r="1" ht="15" customHeight="1"/>
    <row r="2" ht="32" customHeight="1">
      <c r="B2" s="1" t="inlineStr">
        <is>
          <t>Rent Collection — [Month/Year]</t>
        </is>
      </c>
    </row>
    <row r="3" ht="8" customHeight="1"/>
    <row r="4" ht="28" customHeight="1">
      <c r="B4" s="10" t="inlineStr">
        <is>
          <t>Unit ID</t>
        </is>
      </c>
      <c r="C4" s="10" t="inlineStr">
        <is>
          <t>Tenant Name</t>
        </is>
      </c>
      <c r="D4" s="10" t="inlineStr">
        <is>
          <t>Monthly Rent</t>
        </is>
      </c>
      <c r="E4" s="10" t="inlineStr">
        <is>
          <t>Due Date</t>
        </is>
      </c>
      <c r="F4" s="10" t="inlineStr">
        <is>
          <t>Payment Date</t>
        </is>
      </c>
      <c r="G4" s="10" t="inlineStr">
        <is>
          <t>Amount Paid</t>
        </is>
      </c>
      <c r="H4" s="10" t="inlineStr">
        <is>
          <t>Outstanding</t>
        </is>
      </c>
      <c r="I4" s="10" t="inlineStr">
        <is>
          <t>Payment Status</t>
        </is>
      </c>
      <c r="J4" s="10" t="inlineStr">
        <is>
          <t>Days Late</t>
        </is>
      </c>
      <c r="K4" s="10" t="inlineStr">
        <is>
          <t>Late Fee</t>
        </is>
      </c>
      <c r="L4" s="10" t="inlineStr">
        <is>
          <t>Total Due</t>
        </is>
      </c>
      <c r="M4" s="10" t="inlineStr">
        <is>
          <t>Payment Method</t>
        </is>
      </c>
      <c r="N4" s="10" t="inlineStr">
        <is>
          <t>Receipt #</t>
        </is>
      </c>
      <c r="O4" s="10" t="inlineStr">
        <is>
          <t>Notes</t>
        </is>
      </c>
    </row>
    <row r="5" ht="22" customHeight="1">
      <c r="B5" s="11" t="n"/>
      <c r="C5" s="11" t="n"/>
      <c r="D5" s="13" t="n"/>
      <c r="E5" s="14" t="n"/>
      <c r="F5" s="14" t="n"/>
      <c r="G5" s="13" t="n"/>
      <c r="H5" s="13">
        <f>IFERROR(D5-G5,0)</f>
        <v/>
      </c>
      <c r="I5" s="11">
        <f>IF(G5&gt;=D5,"Paid",IF(G5&gt;0,"Partial","Unpaid"))</f>
        <v/>
      </c>
      <c r="J5" s="12">
        <f>IFERROR(IF(I5="Unpaid",MAX(0,TODAY()-E5),IF(I5="Partial",MAX(0,TODAY()-E5),0)),0)</f>
        <v/>
      </c>
      <c r="K5" s="13">
        <f>IFERROR(IF(J5&gt;0,MIN(D5*0.05,500),0),0)</f>
        <v/>
      </c>
      <c r="L5" s="13">
        <f>IFERROR(D5+K5,0)</f>
        <v/>
      </c>
      <c r="M5" s="11" t="n"/>
      <c r="N5" s="11" t="n"/>
      <c r="O5" s="11" t="n"/>
    </row>
    <row r="6" ht="22" customHeight="1">
      <c r="B6" s="15" t="n"/>
      <c r="C6" s="15" t="n"/>
      <c r="D6" s="17" t="n"/>
      <c r="E6" s="18" t="n"/>
      <c r="F6" s="18" t="n"/>
      <c r="G6" s="17" t="n"/>
      <c r="H6" s="17">
        <f>IFERROR(D6-G6,0)</f>
        <v/>
      </c>
      <c r="I6" s="15">
        <f>IF(G6&gt;=D6,"Paid",IF(G6&gt;0,"Partial","Unpaid"))</f>
        <v/>
      </c>
      <c r="J6" s="16">
        <f>IFERROR(IF(I6="Unpaid",MAX(0,TODAY()-E6),IF(I6="Partial",MAX(0,TODAY()-E6),0)),0)</f>
        <v/>
      </c>
      <c r="K6" s="17">
        <f>IFERROR(IF(J6&gt;0,MIN(D6*0.05,500),0),0)</f>
        <v/>
      </c>
      <c r="L6" s="17">
        <f>IFERROR(D6+K6,0)</f>
        <v/>
      </c>
      <c r="M6" s="15" t="n"/>
      <c r="N6" s="15" t="n"/>
      <c r="O6" s="15" t="n"/>
    </row>
    <row r="7" ht="22" customHeight="1">
      <c r="B7" s="11" t="n"/>
      <c r="C7" s="11" t="n"/>
      <c r="D7" s="13" t="n"/>
      <c r="E7" s="14" t="n"/>
      <c r="F7" s="14" t="n"/>
      <c r="G7" s="13" t="n"/>
      <c r="H7" s="13">
        <f>IFERROR(D7-G7,0)</f>
        <v/>
      </c>
      <c r="I7" s="11">
        <f>IF(G7&gt;=D7,"Paid",IF(G7&gt;0,"Partial","Unpaid"))</f>
        <v/>
      </c>
      <c r="J7" s="12">
        <f>IFERROR(IF(I7="Unpaid",MAX(0,TODAY()-E7),IF(I7="Partial",MAX(0,TODAY()-E7),0)),0)</f>
        <v/>
      </c>
      <c r="K7" s="13">
        <f>IFERROR(IF(J7&gt;0,MIN(D7*0.05,500),0),0)</f>
        <v/>
      </c>
      <c r="L7" s="13">
        <f>IFERROR(D7+K7,0)</f>
        <v/>
      </c>
      <c r="M7" s="11" t="n"/>
      <c r="N7" s="11" t="n"/>
      <c r="O7" s="11" t="n"/>
    </row>
    <row r="8" ht="22" customHeight="1">
      <c r="B8" s="15" t="n"/>
      <c r="C8" s="15" t="n"/>
      <c r="D8" s="17" t="n"/>
      <c r="E8" s="18" t="n"/>
      <c r="F8" s="18" t="n"/>
      <c r="G8" s="17" t="n"/>
      <c r="H8" s="17">
        <f>IFERROR(D8-G8,0)</f>
        <v/>
      </c>
      <c r="I8" s="15">
        <f>IF(G8&gt;=D8,"Paid",IF(G8&gt;0,"Partial","Unpaid"))</f>
        <v/>
      </c>
      <c r="J8" s="16">
        <f>IFERROR(IF(I8="Unpaid",MAX(0,TODAY()-E8),IF(I8="Partial",MAX(0,TODAY()-E8),0)),0)</f>
        <v/>
      </c>
      <c r="K8" s="17">
        <f>IFERROR(IF(J8&gt;0,MIN(D8*0.05,500),0),0)</f>
        <v/>
      </c>
      <c r="L8" s="17">
        <f>IFERROR(D8+K8,0)</f>
        <v/>
      </c>
      <c r="M8" s="15" t="n"/>
      <c r="N8" s="15" t="n"/>
      <c r="O8" s="15" t="n"/>
    </row>
    <row r="9" ht="22" customHeight="1">
      <c r="B9" s="11" t="n"/>
      <c r="C9" s="11" t="n"/>
      <c r="D9" s="13" t="n"/>
      <c r="E9" s="14" t="n"/>
      <c r="F9" s="14" t="n"/>
      <c r="G9" s="13" t="n"/>
      <c r="H9" s="13">
        <f>IFERROR(D9-G9,0)</f>
        <v/>
      </c>
      <c r="I9" s="11">
        <f>IF(G9&gt;=D9,"Paid",IF(G9&gt;0,"Partial","Unpaid"))</f>
        <v/>
      </c>
      <c r="J9" s="12">
        <f>IFERROR(IF(I9="Unpaid",MAX(0,TODAY()-E9),IF(I9="Partial",MAX(0,TODAY()-E9),0)),0)</f>
        <v/>
      </c>
      <c r="K9" s="13">
        <f>IFERROR(IF(J9&gt;0,MIN(D9*0.05,500),0),0)</f>
        <v/>
      </c>
      <c r="L9" s="13">
        <f>IFERROR(D9+K9,0)</f>
        <v/>
      </c>
      <c r="M9" s="11" t="n"/>
      <c r="N9" s="11" t="n"/>
      <c r="O9" s="11" t="n"/>
    </row>
    <row r="10" ht="22" customHeight="1">
      <c r="B10" s="15" t="n"/>
      <c r="C10" s="15" t="n"/>
      <c r="D10" s="17" t="n"/>
      <c r="E10" s="18" t="n"/>
      <c r="F10" s="18" t="n"/>
      <c r="G10" s="17" t="n"/>
      <c r="H10" s="17">
        <f>IFERROR(D10-G10,0)</f>
        <v/>
      </c>
      <c r="I10" s="15">
        <f>IF(G10&gt;=D10,"Paid",IF(G10&gt;0,"Partial","Unpaid"))</f>
        <v/>
      </c>
      <c r="J10" s="16">
        <f>IFERROR(IF(I10="Unpaid",MAX(0,TODAY()-E10),IF(I10="Partial",MAX(0,TODAY()-E10),0)),0)</f>
        <v/>
      </c>
      <c r="K10" s="17">
        <f>IFERROR(IF(J10&gt;0,MIN(D10*0.05,500),0),0)</f>
        <v/>
      </c>
      <c r="L10" s="17">
        <f>IFERROR(D10+K10,0)</f>
        <v/>
      </c>
      <c r="M10" s="15" t="n"/>
      <c r="N10" s="15" t="n"/>
      <c r="O10" s="15" t="n"/>
    </row>
    <row r="11" ht="22" customHeight="1">
      <c r="B11" s="11" t="n"/>
      <c r="C11" s="11" t="n"/>
      <c r="D11" s="13" t="n"/>
      <c r="E11" s="14" t="n"/>
      <c r="F11" s="14" t="n"/>
      <c r="G11" s="13" t="n"/>
      <c r="H11" s="13">
        <f>IFERROR(D11-G11,0)</f>
        <v/>
      </c>
      <c r="I11" s="11">
        <f>IF(G11&gt;=D11,"Paid",IF(G11&gt;0,"Partial","Unpaid"))</f>
        <v/>
      </c>
      <c r="J11" s="12">
        <f>IFERROR(IF(I11="Unpaid",MAX(0,TODAY()-E11),IF(I11="Partial",MAX(0,TODAY()-E11),0)),0)</f>
        <v/>
      </c>
      <c r="K11" s="13">
        <f>IFERROR(IF(J11&gt;0,MIN(D11*0.05,500),0),0)</f>
        <v/>
      </c>
      <c r="L11" s="13">
        <f>IFERROR(D11+K11,0)</f>
        <v/>
      </c>
      <c r="M11" s="11" t="n"/>
      <c r="N11" s="11" t="n"/>
      <c r="O11" s="11" t="n"/>
    </row>
    <row r="12" ht="22" customHeight="1">
      <c r="B12" s="15" t="n"/>
      <c r="C12" s="15" t="n"/>
      <c r="D12" s="17" t="n"/>
      <c r="E12" s="18" t="n"/>
      <c r="F12" s="18" t="n"/>
      <c r="G12" s="17" t="n"/>
      <c r="H12" s="17">
        <f>IFERROR(D12-G12,0)</f>
        <v/>
      </c>
      <c r="I12" s="15">
        <f>IF(G12&gt;=D12,"Paid",IF(G12&gt;0,"Partial","Unpaid"))</f>
        <v/>
      </c>
      <c r="J12" s="16">
        <f>IFERROR(IF(I12="Unpaid",MAX(0,TODAY()-E12),IF(I12="Partial",MAX(0,TODAY()-E12),0)),0)</f>
        <v/>
      </c>
      <c r="K12" s="17">
        <f>IFERROR(IF(J12&gt;0,MIN(D12*0.05,500),0),0)</f>
        <v/>
      </c>
      <c r="L12" s="17">
        <f>IFERROR(D12+K12,0)</f>
        <v/>
      </c>
      <c r="M12" s="15" t="n"/>
      <c r="N12" s="15" t="n"/>
      <c r="O12" s="15" t="n"/>
    </row>
    <row r="13" ht="22" customHeight="1">
      <c r="B13" s="11" t="n"/>
      <c r="C13" s="11" t="n"/>
      <c r="D13" s="13" t="n"/>
      <c r="E13" s="14" t="n"/>
      <c r="F13" s="14" t="n"/>
      <c r="G13" s="13" t="n"/>
      <c r="H13" s="13">
        <f>IFERROR(D13-G13,0)</f>
        <v/>
      </c>
      <c r="I13" s="11">
        <f>IF(G13&gt;=D13,"Paid",IF(G13&gt;0,"Partial","Unpaid"))</f>
        <v/>
      </c>
      <c r="J13" s="12">
        <f>IFERROR(IF(I13="Unpaid",MAX(0,TODAY()-E13),IF(I13="Partial",MAX(0,TODAY()-E13),0)),0)</f>
        <v/>
      </c>
      <c r="K13" s="13">
        <f>IFERROR(IF(J13&gt;0,MIN(D13*0.05,500),0),0)</f>
        <v/>
      </c>
      <c r="L13" s="13">
        <f>IFERROR(D13+K13,0)</f>
        <v/>
      </c>
      <c r="M13" s="11" t="n"/>
      <c r="N13" s="11" t="n"/>
      <c r="O13" s="11" t="n"/>
    </row>
    <row r="14" ht="22" customHeight="1">
      <c r="B14" s="15" t="n"/>
      <c r="C14" s="15" t="n"/>
      <c r="D14" s="17" t="n"/>
      <c r="E14" s="18" t="n"/>
      <c r="F14" s="18" t="n"/>
      <c r="G14" s="17" t="n"/>
      <c r="H14" s="17">
        <f>IFERROR(D14-G14,0)</f>
        <v/>
      </c>
      <c r="I14" s="15">
        <f>IF(G14&gt;=D14,"Paid",IF(G14&gt;0,"Partial","Unpaid"))</f>
        <v/>
      </c>
      <c r="J14" s="16">
        <f>IFERROR(IF(I14="Unpaid",MAX(0,TODAY()-E14),IF(I14="Partial",MAX(0,TODAY()-E14),0)),0)</f>
        <v/>
      </c>
      <c r="K14" s="17">
        <f>IFERROR(IF(J14&gt;0,MIN(D14*0.05,500),0),0)</f>
        <v/>
      </c>
      <c r="L14" s="17">
        <f>IFERROR(D14+K14,0)</f>
        <v/>
      </c>
      <c r="M14" s="15" t="n"/>
      <c r="N14" s="15" t="n"/>
      <c r="O14" s="15" t="n"/>
    </row>
    <row r="15" ht="22" customHeight="1">
      <c r="B15" s="11" t="n"/>
      <c r="C15" s="11" t="n"/>
      <c r="D15" s="13" t="n"/>
      <c r="E15" s="14" t="n"/>
      <c r="F15" s="14" t="n"/>
      <c r="G15" s="13" t="n"/>
      <c r="H15" s="13">
        <f>IFERROR(D15-G15,0)</f>
        <v/>
      </c>
      <c r="I15" s="11">
        <f>IF(G15&gt;=D15,"Paid",IF(G15&gt;0,"Partial","Unpaid"))</f>
        <v/>
      </c>
      <c r="J15" s="12">
        <f>IFERROR(IF(I15="Unpaid",MAX(0,TODAY()-E15),IF(I15="Partial",MAX(0,TODAY()-E15),0)),0)</f>
        <v/>
      </c>
      <c r="K15" s="13">
        <f>IFERROR(IF(J15&gt;0,MIN(D15*0.05,500),0),0)</f>
        <v/>
      </c>
      <c r="L15" s="13">
        <f>IFERROR(D15+K15,0)</f>
        <v/>
      </c>
      <c r="M15" s="11" t="n"/>
      <c r="N15" s="11" t="n"/>
      <c r="O15" s="11" t="n"/>
    </row>
    <row r="16" ht="22" customHeight="1">
      <c r="B16" s="15" t="n"/>
      <c r="C16" s="15" t="n"/>
      <c r="D16" s="17" t="n"/>
      <c r="E16" s="18" t="n"/>
      <c r="F16" s="18" t="n"/>
      <c r="G16" s="17" t="n"/>
      <c r="H16" s="17">
        <f>IFERROR(D16-G16,0)</f>
        <v/>
      </c>
      <c r="I16" s="15">
        <f>IF(G16&gt;=D16,"Paid",IF(G16&gt;0,"Partial","Unpaid"))</f>
        <v/>
      </c>
      <c r="J16" s="16">
        <f>IFERROR(IF(I16="Unpaid",MAX(0,TODAY()-E16),IF(I16="Partial",MAX(0,TODAY()-E16),0)),0)</f>
        <v/>
      </c>
      <c r="K16" s="17">
        <f>IFERROR(IF(J16&gt;0,MIN(D16*0.05,500),0),0)</f>
        <v/>
      </c>
      <c r="L16" s="17">
        <f>IFERROR(D16+K16,0)</f>
        <v/>
      </c>
      <c r="M16" s="15" t="n"/>
      <c r="N16" s="15" t="n"/>
      <c r="O16" s="15" t="n"/>
    </row>
    <row r="17" ht="22" customHeight="1">
      <c r="B17" s="11" t="n"/>
      <c r="C17" s="11" t="n"/>
      <c r="D17" s="13" t="n"/>
      <c r="E17" s="14" t="n"/>
      <c r="F17" s="14" t="n"/>
      <c r="G17" s="13" t="n"/>
      <c r="H17" s="13">
        <f>IFERROR(D17-G17,0)</f>
        <v/>
      </c>
      <c r="I17" s="11">
        <f>IF(G17&gt;=D17,"Paid",IF(G17&gt;0,"Partial","Unpaid"))</f>
        <v/>
      </c>
      <c r="J17" s="12">
        <f>IFERROR(IF(I17="Unpaid",MAX(0,TODAY()-E17),IF(I17="Partial",MAX(0,TODAY()-E17),0)),0)</f>
        <v/>
      </c>
      <c r="K17" s="13">
        <f>IFERROR(IF(J17&gt;0,MIN(D17*0.05,500),0),0)</f>
        <v/>
      </c>
      <c r="L17" s="13">
        <f>IFERROR(D17+K17,0)</f>
        <v/>
      </c>
      <c r="M17" s="11" t="n"/>
      <c r="N17" s="11" t="n"/>
      <c r="O17" s="11" t="n"/>
    </row>
    <row r="18" ht="22" customHeight="1">
      <c r="B18" s="15" t="n"/>
      <c r="C18" s="15" t="n"/>
      <c r="D18" s="17" t="n"/>
      <c r="E18" s="18" t="n"/>
      <c r="F18" s="18" t="n"/>
      <c r="G18" s="17" t="n"/>
      <c r="H18" s="17">
        <f>IFERROR(D18-G18,0)</f>
        <v/>
      </c>
      <c r="I18" s="15">
        <f>IF(G18&gt;=D18,"Paid",IF(G18&gt;0,"Partial","Unpaid"))</f>
        <v/>
      </c>
      <c r="J18" s="16">
        <f>IFERROR(IF(I18="Unpaid",MAX(0,TODAY()-E18),IF(I18="Partial",MAX(0,TODAY()-E18),0)),0)</f>
        <v/>
      </c>
      <c r="K18" s="17">
        <f>IFERROR(IF(J18&gt;0,MIN(D18*0.05,500),0),0)</f>
        <v/>
      </c>
      <c r="L18" s="17">
        <f>IFERROR(D18+K18,0)</f>
        <v/>
      </c>
      <c r="M18" s="15" t="n"/>
      <c r="N18" s="15" t="n"/>
      <c r="O18" s="15" t="n"/>
    </row>
    <row r="19" ht="22" customHeight="1">
      <c r="B19" s="11" t="n"/>
      <c r="C19" s="11" t="n"/>
      <c r="D19" s="13" t="n"/>
      <c r="E19" s="14" t="n"/>
      <c r="F19" s="14" t="n"/>
      <c r="G19" s="13" t="n"/>
      <c r="H19" s="13">
        <f>IFERROR(D19-G19,0)</f>
        <v/>
      </c>
      <c r="I19" s="11">
        <f>IF(G19&gt;=D19,"Paid",IF(G19&gt;0,"Partial","Unpaid"))</f>
        <v/>
      </c>
      <c r="J19" s="12">
        <f>IFERROR(IF(I19="Unpaid",MAX(0,TODAY()-E19),IF(I19="Partial",MAX(0,TODAY()-E19),0)),0)</f>
        <v/>
      </c>
      <c r="K19" s="13">
        <f>IFERROR(IF(J19&gt;0,MIN(D19*0.05,500),0),0)</f>
        <v/>
      </c>
      <c r="L19" s="13">
        <f>IFERROR(D19+K19,0)</f>
        <v/>
      </c>
      <c r="M19" s="11" t="n"/>
      <c r="N19" s="11" t="n"/>
      <c r="O19" s="11" t="n"/>
    </row>
    <row r="20" ht="22" customHeight="1">
      <c r="B20" s="15" t="n"/>
      <c r="C20" s="15" t="n"/>
      <c r="D20" s="17" t="n"/>
      <c r="E20" s="18" t="n"/>
      <c r="F20" s="18" t="n"/>
      <c r="G20" s="17" t="n"/>
      <c r="H20" s="17">
        <f>IFERROR(D20-G20,0)</f>
        <v/>
      </c>
      <c r="I20" s="15">
        <f>IF(G20&gt;=D20,"Paid",IF(G20&gt;0,"Partial","Unpaid"))</f>
        <v/>
      </c>
      <c r="J20" s="16">
        <f>IFERROR(IF(I20="Unpaid",MAX(0,TODAY()-E20),IF(I20="Partial",MAX(0,TODAY()-E20),0)),0)</f>
        <v/>
      </c>
      <c r="K20" s="17">
        <f>IFERROR(IF(J20&gt;0,MIN(D20*0.05,500),0),0)</f>
        <v/>
      </c>
      <c r="L20" s="17">
        <f>IFERROR(D20+K20,0)</f>
        <v/>
      </c>
      <c r="M20" s="15" t="n"/>
      <c r="N20" s="15" t="n"/>
      <c r="O20" s="15" t="n"/>
    </row>
    <row r="21" ht="22" customHeight="1">
      <c r="B21" s="11" t="n"/>
      <c r="C21" s="11" t="n"/>
      <c r="D21" s="13" t="n"/>
      <c r="E21" s="14" t="n"/>
      <c r="F21" s="14" t="n"/>
      <c r="G21" s="13" t="n"/>
      <c r="H21" s="13">
        <f>IFERROR(D21-G21,0)</f>
        <v/>
      </c>
      <c r="I21" s="11">
        <f>IF(G21&gt;=D21,"Paid",IF(G21&gt;0,"Partial","Unpaid"))</f>
        <v/>
      </c>
      <c r="J21" s="12">
        <f>IFERROR(IF(I21="Unpaid",MAX(0,TODAY()-E21),IF(I21="Partial",MAX(0,TODAY()-E21),0)),0)</f>
        <v/>
      </c>
      <c r="K21" s="13">
        <f>IFERROR(IF(J21&gt;0,MIN(D21*0.05,500),0),0)</f>
        <v/>
      </c>
      <c r="L21" s="13">
        <f>IFERROR(D21+K21,0)</f>
        <v/>
      </c>
      <c r="M21" s="11" t="n"/>
      <c r="N21" s="11" t="n"/>
      <c r="O21" s="11" t="n"/>
    </row>
    <row r="22" ht="22" customHeight="1">
      <c r="B22" s="15" t="n"/>
      <c r="C22" s="15" t="n"/>
      <c r="D22" s="17" t="n"/>
      <c r="E22" s="18" t="n"/>
      <c r="F22" s="18" t="n"/>
      <c r="G22" s="17" t="n"/>
      <c r="H22" s="17">
        <f>IFERROR(D22-G22,0)</f>
        <v/>
      </c>
      <c r="I22" s="15">
        <f>IF(G22&gt;=D22,"Paid",IF(G22&gt;0,"Partial","Unpaid"))</f>
        <v/>
      </c>
      <c r="J22" s="16">
        <f>IFERROR(IF(I22="Unpaid",MAX(0,TODAY()-E22),IF(I22="Partial",MAX(0,TODAY()-E22),0)),0)</f>
        <v/>
      </c>
      <c r="K22" s="17">
        <f>IFERROR(IF(J22&gt;0,MIN(D22*0.05,500),0),0)</f>
        <v/>
      </c>
      <c r="L22" s="17">
        <f>IFERROR(D22+K22,0)</f>
        <v/>
      </c>
      <c r="M22" s="15" t="n"/>
      <c r="N22" s="15" t="n"/>
      <c r="O22" s="15" t="n"/>
    </row>
    <row r="23" ht="22" customHeight="1">
      <c r="B23" s="11" t="n"/>
      <c r="C23" s="11" t="n"/>
      <c r="D23" s="13" t="n"/>
      <c r="E23" s="14" t="n"/>
      <c r="F23" s="14" t="n"/>
      <c r="G23" s="13" t="n"/>
      <c r="H23" s="13">
        <f>IFERROR(D23-G23,0)</f>
        <v/>
      </c>
      <c r="I23" s="11">
        <f>IF(G23&gt;=D23,"Paid",IF(G23&gt;0,"Partial","Unpaid"))</f>
        <v/>
      </c>
      <c r="J23" s="12">
        <f>IFERROR(IF(I23="Unpaid",MAX(0,TODAY()-E23),IF(I23="Partial",MAX(0,TODAY()-E23),0)),0)</f>
        <v/>
      </c>
      <c r="K23" s="13">
        <f>IFERROR(IF(J23&gt;0,MIN(D23*0.05,500),0),0)</f>
        <v/>
      </c>
      <c r="L23" s="13">
        <f>IFERROR(D23+K23,0)</f>
        <v/>
      </c>
      <c r="M23" s="11" t="n"/>
      <c r="N23" s="11" t="n"/>
      <c r="O23" s="11" t="n"/>
    </row>
    <row r="24" ht="22" customHeight="1">
      <c r="B24" s="15" t="n"/>
      <c r="C24" s="15" t="n"/>
      <c r="D24" s="17" t="n"/>
      <c r="E24" s="18" t="n"/>
      <c r="F24" s="18" t="n"/>
      <c r="G24" s="17" t="n"/>
      <c r="H24" s="17">
        <f>IFERROR(D24-G24,0)</f>
        <v/>
      </c>
      <c r="I24" s="15">
        <f>IF(G24&gt;=D24,"Paid",IF(G24&gt;0,"Partial","Unpaid"))</f>
        <v/>
      </c>
      <c r="J24" s="16">
        <f>IFERROR(IF(I24="Unpaid",MAX(0,TODAY()-E24),IF(I24="Partial",MAX(0,TODAY()-E24),0)),0)</f>
        <v/>
      </c>
      <c r="K24" s="17">
        <f>IFERROR(IF(J24&gt;0,MIN(D24*0.05,500),0),0)</f>
        <v/>
      </c>
      <c r="L24" s="17">
        <f>IFERROR(D24+K24,0)</f>
        <v/>
      </c>
      <c r="M24" s="15" t="n"/>
      <c r="N24" s="15" t="n"/>
      <c r="O24" s="15" t="n"/>
    </row>
    <row r="25" ht="22" customHeight="1">
      <c r="B25" s="11" t="n"/>
      <c r="C25" s="11" t="n"/>
      <c r="D25" s="13" t="n"/>
      <c r="E25" s="14" t="n"/>
      <c r="F25" s="14" t="n"/>
      <c r="G25" s="13" t="n"/>
      <c r="H25" s="13">
        <f>IFERROR(D25-G25,0)</f>
        <v/>
      </c>
      <c r="I25" s="11">
        <f>IF(G25&gt;=D25,"Paid",IF(G25&gt;0,"Partial","Unpaid"))</f>
        <v/>
      </c>
      <c r="J25" s="12">
        <f>IFERROR(IF(I25="Unpaid",MAX(0,TODAY()-E25),IF(I25="Partial",MAX(0,TODAY()-E25),0)),0)</f>
        <v/>
      </c>
      <c r="K25" s="13">
        <f>IFERROR(IF(J25&gt;0,MIN(D25*0.05,500),0),0)</f>
        <v/>
      </c>
      <c r="L25" s="13">
        <f>IFERROR(D25+K25,0)</f>
        <v/>
      </c>
      <c r="M25" s="11" t="n"/>
      <c r="N25" s="11" t="n"/>
      <c r="O25" s="11" t="n"/>
    </row>
    <row r="26" ht="22" customHeight="1">
      <c r="B26" s="15" t="n"/>
      <c r="C26" s="15" t="n"/>
      <c r="D26" s="17" t="n"/>
      <c r="E26" s="18" t="n"/>
      <c r="F26" s="18" t="n"/>
      <c r="G26" s="17" t="n"/>
      <c r="H26" s="17">
        <f>IFERROR(D26-G26,0)</f>
        <v/>
      </c>
      <c r="I26" s="15">
        <f>IF(G26&gt;=D26,"Paid",IF(G26&gt;0,"Partial","Unpaid"))</f>
        <v/>
      </c>
      <c r="J26" s="16">
        <f>IFERROR(IF(I26="Unpaid",MAX(0,TODAY()-E26),IF(I26="Partial",MAX(0,TODAY()-E26),0)),0)</f>
        <v/>
      </c>
      <c r="K26" s="17">
        <f>IFERROR(IF(J26&gt;0,MIN(D26*0.05,500),0),0)</f>
        <v/>
      </c>
      <c r="L26" s="17">
        <f>IFERROR(D26+K26,0)</f>
        <v/>
      </c>
      <c r="M26" s="15" t="n"/>
      <c r="N26" s="15" t="n"/>
      <c r="O26" s="15" t="n"/>
    </row>
    <row r="27" ht="22" customHeight="1">
      <c r="B27" s="11" t="n"/>
      <c r="C27" s="11" t="n"/>
      <c r="D27" s="13" t="n"/>
      <c r="E27" s="14" t="n"/>
      <c r="F27" s="14" t="n"/>
      <c r="G27" s="13" t="n"/>
      <c r="H27" s="13">
        <f>IFERROR(D27-G27,0)</f>
        <v/>
      </c>
      <c r="I27" s="11">
        <f>IF(G27&gt;=D27,"Paid",IF(G27&gt;0,"Partial","Unpaid"))</f>
        <v/>
      </c>
      <c r="J27" s="12">
        <f>IFERROR(IF(I27="Unpaid",MAX(0,TODAY()-E27),IF(I27="Partial",MAX(0,TODAY()-E27),0)),0)</f>
        <v/>
      </c>
      <c r="K27" s="13">
        <f>IFERROR(IF(J27&gt;0,MIN(D27*0.05,500),0),0)</f>
        <v/>
      </c>
      <c r="L27" s="13">
        <f>IFERROR(D27+K27,0)</f>
        <v/>
      </c>
      <c r="M27" s="11" t="n"/>
      <c r="N27" s="11" t="n"/>
      <c r="O27" s="11" t="n"/>
    </row>
    <row r="28" ht="22" customHeight="1">
      <c r="B28" s="15" t="n"/>
      <c r="C28" s="15" t="n"/>
      <c r="D28" s="17" t="n"/>
      <c r="E28" s="18" t="n"/>
      <c r="F28" s="18" t="n"/>
      <c r="G28" s="17" t="n"/>
      <c r="H28" s="17">
        <f>IFERROR(D28-G28,0)</f>
        <v/>
      </c>
      <c r="I28" s="15">
        <f>IF(G28&gt;=D28,"Paid",IF(G28&gt;0,"Partial","Unpaid"))</f>
        <v/>
      </c>
      <c r="J28" s="16">
        <f>IFERROR(IF(I28="Unpaid",MAX(0,TODAY()-E28),IF(I28="Partial",MAX(0,TODAY()-E28),0)),0)</f>
        <v/>
      </c>
      <c r="K28" s="17">
        <f>IFERROR(IF(J28&gt;0,MIN(D28*0.05,500),0),0)</f>
        <v/>
      </c>
      <c r="L28" s="17">
        <f>IFERROR(D28+K28,0)</f>
        <v/>
      </c>
      <c r="M28" s="15" t="n"/>
      <c r="N28" s="15" t="n"/>
      <c r="O28" s="15" t="n"/>
    </row>
    <row r="29" ht="22" customHeight="1">
      <c r="B29" s="11" t="n"/>
      <c r="C29" s="11" t="n"/>
      <c r="D29" s="13" t="n"/>
      <c r="E29" s="14" t="n"/>
      <c r="F29" s="14" t="n"/>
      <c r="G29" s="13" t="n"/>
      <c r="H29" s="13">
        <f>IFERROR(D29-G29,0)</f>
        <v/>
      </c>
      <c r="I29" s="11">
        <f>IF(G29&gt;=D29,"Paid",IF(G29&gt;0,"Partial","Unpaid"))</f>
        <v/>
      </c>
      <c r="J29" s="12">
        <f>IFERROR(IF(I29="Unpaid",MAX(0,TODAY()-E29),IF(I29="Partial",MAX(0,TODAY()-E29),0)),0)</f>
        <v/>
      </c>
      <c r="K29" s="13">
        <f>IFERROR(IF(J29&gt;0,MIN(D29*0.05,500),0),0)</f>
        <v/>
      </c>
      <c r="L29" s="13">
        <f>IFERROR(D29+K29,0)</f>
        <v/>
      </c>
      <c r="M29" s="11" t="n"/>
      <c r="N29" s="11" t="n"/>
      <c r="O29" s="11" t="n"/>
    </row>
    <row r="30" ht="22" customHeight="1">
      <c r="B30" s="15" t="n"/>
      <c r="C30" s="15" t="n"/>
      <c r="D30" s="17" t="n"/>
      <c r="E30" s="18" t="n"/>
      <c r="F30" s="18" t="n"/>
      <c r="G30" s="17" t="n"/>
      <c r="H30" s="17">
        <f>IFERROR(D30-G30,0)</f>
        <v/>
      </c>
      <c r="I30" s="15">
        <f>IF(G30&gt;=D30,"Paid",IF(G30&gt;0,"Partial","Unpaid"))</f>
        <v/>
      </c>
      <c r="J30" s="16">
        <f>IFERROR(IF(I30="Unpaid",MAX(0,TODAY()-E30),IF(I30="Partial",MAX(0,TODAY()-E30),0)),0)</f>
        <v/>
      </c>
      <c r="K30" s="17">
        <f>IFERROR(IF(J30&gt;0,MIN(D30*0.05,500),0),0)</f>
        <v/>
      </c>
      <c r="L30" s="17">
        <f>IFERROR(D30+K30,0)</f>
        <v/>
      </c>
      <c r="M30" s="15" t="n"/>
      <c r="N30" s="15" t="n"/>
      <c r="O30" s="15" t="n"/>
    </row>
    <row r="31" ht="22" customHeight="1">
      <c r="B31" s="11" t="n"/>
      <c r="C31" s="11" t="n"/>
      <c r="D31" s="13" t="n"/>
      <c r="E31" s="14" t="n"/>
      <c r="F31" s="14" t="n"/>
      <c r="G31" s="13" t="n"/>
      <c r="H31" s="13">
        <f>IFERROR(D31-G31,0)</f>
        <v/>
      </c>
      <c r="I31" s="11">
        <f>IF(G31&gt;=D31,"Paid",IF(G31&gt;0,"Partial","Unpaid"))</f>
        <v/>
      </c>
      <c r="J31" s="12">
        <f>IFERROR(IF(I31="Unpaid",MAX(0,TODAY()-E31),IF(I31="Partial",MAX(0,TODAY()-E31),0)),0)</f>
        <v/>
      </c>
      <c r="K31" s="13">
        <f>IFERROR(IF(J31&gt;0,MIN(D31*0.05,500),0),0)</f>
        <v/>
      </c>
      <c r="L31" s="13">
        <f>IFERROR(D31+K31,0)</f>
        <v/>
      </c>
      <c r="M31" s="11" t="n"/>
      <c r="N31" s="11" t="n"/>
      <c r="O31" s="11" t="n"/>
    </row>
    <row r="32" ht="22" customHeight="1">
      <c r="B32" s="15" t="n"/>
      <c r="C32" s="15" t="n"/>
      <c r="D32" s="17" t="n"/>
      <c r="E32" s="18" t="n"/>
      <c r="F32" s="18" t="n"/>
      <c r="G32" s="17" t="n"/>
      <c r="H32" s="17">
        <f>IFERROR(D32-G32,0)</f>
        <v/>
      </c>
      <c r="I32" s="15">
        <f>IF(G32&gt;=D32,"Paid",IF(G32&gt;0,"Partial","Unpaid"))</f>
        <v/>
      </c>
      <c r="J32" s="16">
        <f>IFERROR(IF(I32="Unpaid",MAX(0,TODAY()-E32),IF(I32="Partial",MAX(0,TODAY()-E32),0)),0)</f>
        <v/>
      </c>
      <c r="K32" s="17">
        <f>IFERROR(IF(J32&gt;0,MIN(D32*0.05,500),0),0)</f>
        <v/>
      </c>
      <c r="L32" s="17">
        <f>IFERROR(D32+K32,0)</f>
        <v/>
      </c>
      <c r="M32" s="15" t="n"/>
      <c r="N32" s="15" t="n"/>
      <c r="O32" s="15" t="n"/>
    </row>
    <row r="33" ht="22" customHeight="1">
      <c r="B33" s="11" t="n"/>
      <c r="C33" s="11" t="n"/>
      <c r="D33" s="13" t="n"/>
      <c r="E33" s="14" t="n"/>
      <c r="F33" s="14" t="n"/>
      <c r="G33" s="13" t="n"/>
      <c r="H33" s="13">
        <f>IFERROR(D33-G33,0)</f>
        <v/>
      </c>
      <c r="I33" s="11">
        <f>IF(G33&gt;=D33,"Paid",IF(G33&gt;0,"Partial","Unpaid"))</f>
        <v/>
      </c>
      <c r="J33" s="12">
        <f>IFERROR(IF(I33="Unpaid",MAX(0,TODAY()-E33),IF(I33="Partial",MAX(0,TODAY()-E33),0)),0)</f>
        <v/>
      </c>
      <c r="K33" s="13">
        <f>IFERROR(IF(J33&gt;0,MIN(D33*0.05,500),0),0)</f>
        <v/>
      </c>
      <c r="L33" s="13">
        <f>IFERROR(D33+K33,0)</f>
        <v/>
      </c>
      <c r="M33" s="11" t="n"/>
      <c r="N33" s="11" t="n"/>
      <c r="O33" s="11" t="n"/>
    </row>
    <row r="34" ht="22" customHeight="1">
      <c r="B34" s="15" t="n"/>
      <c r="C34" s="15" t="n"/>
      <c r="D34" s="17" t="n"/>
      <c r="E34" s="18" t="n"/>
      <c r="F34" s="18" t="n"/>
      <c r="G34" s="17" t="n"/>
      <c r="H34" s="17">
        <f>IFERROR(D34-G34,0)</f>
        <v/>
      </c>
      <c r="I34" s="15">
        <f>IF(G34&gt;=D34,"Paid",IF(G34&gt;0,"Partial","Unpaid"))</f>
        <v/>
      </c>
      <c r="J34" s="16">
        <f>IFERROR(IF(I34="Unpaid",MAX(0,TODAY()-E34),IF(I34="Partial",MAX(0,TODAY()-E34),0)),0)</f>
        <v/>
      </c>
      <c r="K34" s="17">
        <f>IFERROR(IF(J34&gt;0,MIN(D34*0.05,500),0),0)</f>
        <v/>
      </c>
      <c r="L34" s="17">
        <f>IFERROR(D34+K34,0)</f>
        <v/>
      </c>
      <c r="M34" s="15" t="n"/>
      <c r="N34" s="15" t="n"/>
      <c r="O34" s="15" t="n"/>
    </row>
    <row r="35" ht="22" customHeight="1">
      <c r="B35" s="11" t="n"/>
      <c r="C35" s="11" t="n"/>
      <c r="D35" s="13" t="n"/>
      <c r="E35" s="14" t="n"/>
      <c r="F35" s="14" t="n"/>
      <c r="G35" s="13" t="n"/>
      <c r="H35" s="13">
        <f>IFERROR(D35-G35,0)</f>
        <v/>
      </c>
      <c r="I35" s="11">
        <f>IF(G35&gt;=D35,"Paid",IF(G35&gt;0,"Partial","Unpaid"))</f>
        <v/>
      </c>
      <c r="J35" s="12">
        <f>IFERROR(IF(I35="Unpaid",MAX(0,TODAY()-E35),IF(I35="Partial",MAX(0,TODAY()-E35),0)),0)</f>
        <v/>
      </c>
      <c r="K35" s="13">
        <f>IFERROR(IF(J35&gt;0,MIN(D35*0.05,500),0),0)</f>
        <v/>
      </c>
      <c r="L35" s="13">
        <f>IFERROR(D35+K35,0)</f>
        <v/>
      </c>
      <c r="M35" s="11" t="n"/>
      <c r="N35" s="11" t="n"/>
      <c r="O35" s="11" t="n"/>
    </row>
    <row r="36" ht="22" customHeight="1">
      <c r="B36" s="15" t="n"/>
      <c r="C36" s="15" t="n"/>
      <c r="D36" s="17" t="n"/>
      <c r="E36" s="18" t="n"/>
      <c r="F36" s="18" t="n"/>
      <c r="G36" s="17" t="n"/>
      <c r="H36" s="17">
        <f>IFERROR(D36-G36,0)</f>
        <v/>
      </c>
      <c r="I36" s="15">
        <f>IF(G36&gt;=D36,"Paid",IF(G36&gt;0,"Partial","Unpaid"))</f>
        <v/>
      </c>
      <c r="J36" s="16">
        <f>IFERROR(IF(I36="Unpaid",MAX(0,TODAY()-E36),IF(I36="Partial",MAX(0,TODAY()-E36),0)),0)</f>
        <v/>
      </c>
      <c r="K36" s="17">
        <f>IFERROR(IF(J36&gt;0,MIN(D36*0.05,500),0),0)</f>
        <v/>
      </c>
      <c r="L36" s="17">
        <f>IFERROR(D36+K36,0)</f>
        <v/>
      </c>
      <c r="M36" s="15" t="n"/>
      <c r="N36" s="15" t="n"/>
      <c r="O36" s="15" t="n"/>
    </row>
    <row r="37" ht="22" customHeight="1">
      <c r="B37" s="11" t="n"/>
      <c r="C37" s="11" t="n"/>
      <c r="D37" s="13" t="n"/>
      <c r="E37" s="14" t="n"/>
      <c r="F37" s="14" t="n"/>
      <c r="G37" s="13" t="n"/>
      <c r="H37" s="13">
        <f>IFERROR(D37-G37,0)</f>
        <v/>
      </c>
      <c r="I37" s="11">
        <f>IF(G37&gt;=D37,"Paid",IF(G37&gt;0,"Partial","Unpaid"))</f>
        <v/>
      </c>
      <c r="J37" s="12">
        <f>IFERROR(IF(I37="Unpaid",MAX(0,TODAY()-E37),IF(I37="Partial",MAX(0,TODAY()-E37),0)),0)</f>
        <v/>
      </c>
      <c r="K37" s="13">
        <f>IFERROR(IF(J37&gt;0,MIN(D37*0.05,500),0),0)</f>
        <v/>
      </c>
      <c r="L37" s="13">
        <f>IFERROR(D37+K37,0)</f>
        <v/>
      </c>
      <c r="M37" s="11" t="n"/>
      <c r="N37" s="11" t="n"/>
      <c r="O37" s="11" t="n"/>
    </row>
    <row r="38" ht="22" customHeight="1">
      <c r="B38" s="15" t="n"/>
      <c r="C38" s="15" t="n"/>
      <c r="D38" s="17" t="n"/>
      <c r="E38" s="18" t="n"/>
      <c r="F38" s="18" t="n"/>
      <c r="G38" s="17" t="n"/>
      <c r="H38" s="17">
        <f>IFERROR(D38-G38,0)</f>
        <v/>
      </c>
      <c r="I38" s="15">
        <f>IF(G38&gt;=D38,"Paid",IF(G38&gt;0,"Partial","Unpaid"))</f>
        <v/>
      </c>
      <c r="J38" s="16">
        <f>IFERROR(IF(I38="Unpaid",MAX(0,TODAY()-E38),IF(I38="Partial",MAX(0,TODAY()-E38),0)),0)</f>
        <v/>
      </c>
      <c r="K38" s="17">
        <f>IFERROR(IF(J38&gt;0,MIN(D38*0.05,500),0),0)</f>
        <v/>
      </c>
      <c r="L38" s="17">
        <f>IFERROR(D38+K38,0)</f>
        <v/>
      </c>
      <c r="M38" s="15" t="n"/>
      <c r="N38" s="15" t="n"/>
      <c r="O38" s="15" t="n"/>
    </row>
    <row r="39" ht="22" customHeight="1">
      <c r="B39" s="11" t="n"/>
      <c r="C39" s="11" t="n"/>
      <c r="D39" s="13" t="n"/>
      <c r="E39" s="14" t="n"/>
      <c r="F39" s="14" t="n"/>
      <c r="G39" s="13" t="n"/>
      <c r="H39" s="13">
        <f>IFERROR(D39-G39,0)</f>
        <v/>
      </c>
      <c r="I39" s="11">
        <f>IF(G39&gt;=D39,"Paid",IF(G39&gt;0,"Partial","Unpaid"))</f>
        <v/>
      </c>
      <c r="J39" s="12">
        <f>IFERROR(IF(I39="Unpaid",MAX(0,TODAY()-E39),IF(I39="Partial",MAX(0,TODAY()-E39),0)),0)</f>
        <v/>
      </c>
      <c r="K39" s="13">
        <f>IFERROR(IF(J39&gt;0,MIN(D39*0.05,500),0),0)</f>
        <v/>
      </c>
      <c r="L39" s="13">
        <f>IFERROR(D39+K39,0)</f>
        <v/>
      </c>
      <c r="M39" s="11" t="n"/>
      <c r="N39" s="11" t="n"/>
      <c r="O39" s="11" t="n"/>
    </row>
    <row r="40" ht="22" customHeight="1">
      <c r="B40" s="15" t="n"/>
      <c r="C40" s="15" t="n"/>
      <c r="D40" s="17" t="n"/>
      <c r="E40" s="18" t="n"/>
      <c r="F40" s="18" t="n"/>
      <c r="G40" s="17" t="n"/>
      <c r="H40" s="17">
        <f>IFERROR(D40-G40,0)</f>
        <v/>
      </c>
      <c r="I40" s="15">
        <f>IF(G40&gt;=D40,"Paid",IF(G40&gt;0,"Partial","Unpaid"))</f>
        <v/>
      </c>
      <c r="J40" s="16">
        <f>IFERROR(IF(I40="Unpaid",MAX(0,TODAY()-E40),IF(I40="Partial",MAX(0,TODAY()-E40),0)),0)</f>
        <v/>
      </c>
      <c r="K40" s="17">
        <f>IFERROR(IF(J40&gt;0,MIN(D40*0.05,500),0),0)</f>
        <v/>
      </c>
      <c r="L40" s="17">
        <f>IFERROR(D40+K40,0)</f>
        <v/>
      </c>
      <c r="M40" s="15" t="n"/>
      <c r="N40" s="15" t="n"/>
      <c r="O40" s="15" t="n"/>
    </row>
    <row r="41" ht="22" customHeight="1">
      <c r="B41" s="11" t="n"/>
      <c r="C41" s="11" t="n"/>
      <c r="D41" s="13" t="n"/>
      <c r="E41" s="14" t="n"/>
      <c r="F41" s="14" t="n"/>
      <c r="G41" s="13" t="n"/>
      <c r="H41" s="13">
        <f>IFERROR(D41-G41,0)</f>
        <v/>
      </c>
      <c r="I41" s="11">
        <f>IF(G41&gt;=D41,"Paid",IF(G41&gt;0,"Partial","Unpaid"))</f>
        <v/>
      </c>
      <c r="J41" s="12">
        <f>IFERROR(IF(I41="Unpaid",MAX(0,TODAY()-E41),IF(I41="Partial",MAX(0,TODAY()-E41),0)),0)</f>
        <v/>
      </c>
      <c r="K41" s="13">
        <f>IFERROR(IF(J41&gt;0,MIN(D41*0.05,500),0),0)</f>
        <v/>
      </c>
      <c r="L41" s="13">
        <f>IFERROR(D41+K41,0)</f>
        <v/>
      </c>
      <c r="M41" s="11" t="n"/>
      <c r="N41" s="11" t="n"/>
      <c r="O41" s="11" t="n"/>
    </row>
    <row r="42" ht="22" customHeight="1">
      <c r="B42" s="15" t="n"/>
      <c r="C42" s="15" t="n"/>
      <c r="D42" s="17" t="n"/>
      <c r="E42" s="18" t="n"/>
      <c r="F42" s="18" t="n"/>
      <c r="G42" s="17" t="n"/>
      <c r="H42" s="17">
        <f>IFERROR(D42-G42,0)</f>
        <v/>
      </c>
      <c r="I42" s="15">
        <f>IF(G42&gt;=D42,"Paid",IF(G42&gt;0,"Partial","Unpaid"))</f>
        <v/>
      </c>
      <c r="J42" s="16">
        <f>IFERROR(IF(I42="Unpaid",MAX(0,TODAY()-E42),IF(I42="Partial",MAX(0,TODAY()-E42),0)),0)</f>
        <v/>
      </c>
      <c r="K42" s="17">
        <f>IFERROR(IF(J42&gt;0,MIN(D42*0.05,500),0),0)</f>
        <v/>
      </c>
      <c r="L42" s="17">
        <f>IFERROR(D42+K42,0)</f>
        <v/>
      </c>
      <c r="M42" s="15" t="n"/>
      <c r="N42" s="15" t="n"/>
      <c r="O42" s="15" t="n"/>
    </row>
    <row r="43" ht="22" customHeight="1">
      <c r="B43" s="11" t="n"/>
      <c r="C43" s="11" t="n"/>
      <c r="D43" s="13" t="n"/>
      <c r="E43" s="14" t="n"/>
      <c r="F43" s="14" t="n"/>
      <c r="G43" s="13" t="n"/>
      <c r="H43" s="13">
        <f>IFERROR(D43-G43,0)</f>
        <v/>
      </c>
      <c r="I43" s="11">
        <f>IF(G43&gt;=D43,"Paid",IF(G43&gt;0,"Partial","Unpaid"))</f>
        <v/>
      </c>
      <c r="J43" s="12">
        <f>IFERROR(IF(I43="Unpaid",MAX(0,TODAY()-E43),IF(I43="Partial",MAX(0,TODAY()-E43),0)),0)</f>
        <v/>
      </c>
      <c r="K43" s="13">
        <f>IFERROR(IF(J43&gt;0,MIN(D43*0.05,500),0),0)</f>
        <v/>
      </c>
      <c r="L43" s="13">
        <f>IFERROR(D43+K43,0)</f>
        <v/>
      </c>
      <c r="M43" s="11" t="n"/>
      <c r="N43" s="11" t="n"/>
      <c r="O43" s="11" t="n"/>
    </row>
    <row r="44" ht="22" customHeight="1">
      <c r="B44" s="15" t="n"/>
      <c r="C44" s="15" t="n"/>
      <c r="D44" s="17" t="n"/>
      <c r="E44" s="18" t="n"/>
      <c r="F44" s="18" t="n"/>
      <c r="G44" s="17" t="n"/>
      <c r="H44" s="17">
        <f>IFERROR(D44-G44,0)</f>
        <v/>
      </c>
      <c r="I44" s="15">
        <f>IF(G44&gt;=D44,"Paid",IF(G44&gt;0,"Partial","Unpaid"))</f>
        <v/>
      </c>
      <c r="J44" s="16">
        <f>IFERROR(IF(I44="Unpaid",MAX(0,TODAY()-E44),IF(I44="Partial",MAX(0,TODAY()-E44),0)),0)</f>
        <v/>
      </c>
      <c r="K44" s="17">
        <f>IFERROR(IF(J44&gt;0,MIN(D44*0.05,500),0),0)</f>
        <v/>
      </c>
      <c r="L44" s="17">
        <f>IFERROR(D44+K44,0)</f>
        <v/>
      </c>
      <c r="M44" s="15" t="n"/>
      <c r="N44" s="15" t="n"/>
      <c r="O44" s="15" t="n"/>
    </row>
    <row r="45" ht="22" customHeight="1">
      <c r="B45" s="11" t="n"/>
      <c r="C45" s="11" t="n"/>
      <c r="D45" s="13" t="n"/>
      <c r="E45" s="14" t="n"/>
      <c r="F45" s="14" t="n"/>
      <c r="G45" s="13" t="n"/>
      <c r="H45" s="13">
        <f>IFERROR(D45-G45,0)</f>
        <v/>
      </c>
      <c r="I45" s="11">
        <f>IF(G45&gt;=D45,"Paid",IF(G45&gt;0,"Partial","Unpaid"))</f>
        <v/>
      </c>
      <c r="J45" s="12">
        <f>IFERROR(IF(I45="Unpaid",MAX(0,TODAY()-E45),IF(I45="Partial",MAX(0,TODAY()-E45),0)),0)</f>
        <v/>
      </c>
      <c r="K45" s="13">
        <f>IFERROR(IF(J45&gt;0,MIN(D45*0.05,500),0),0)</f>
        <v/>
      </c>
      <c r="L45" s="13">
        <f>IFERROR(D45+K45,0)</f>
        <v/>
      </c>
      <c r="M45" s="11" t="n"/>
      <c r="N45" s="11" t="n"/>
      <c r="O45" s="11" t="n"/>
    </row>
    <row r="46" ht="22" customHeight="1">
      <c r="B46" s="15" t="n"/>
      <c r="C46" s="15" t="n"/>
      <c r="D46" s="17" t="n"/>
      <c r="E46" s="18" t="n"/>
      <c r="F46" s="18" t="n"/>
      <c r="G46" s="17" t="n"/>
      <c r="H46" s="17">
        <f>IFERROR(D46-G46,0)</f>
        <v/>
      </c>
      <c r="I46" s="15">
        <f>IF(G46&gt;=D46,"Paid",IF(G46&gt;0,"Partial","Unpaid"))</f>
        <v/>
      </c>
      <c r="J46" s="16">
        <f>IFERROR(IF(I46="Unpaid",MAX(0,TODAY()-E46),IF(I46="Partial",MAX(0,TODAY()-E46),0)),0)</f>
        <v/>
      </c>
      <c r="K46" s="17">
        <f>IFERROR(IF(J46&gt;0,MIN(D46*0.05,500),0),0)</f>
        <v/>
      </c>
      <c r="L46" s="17">
        <f>IFERROR(D46+K46,0)</f>
        <v/>
      </c>
      <c r="M46" s="15" t="n"/>
      <c r="N46" s="15" t="n"/>
      <c r="O46" s="15" t="n"/>
    </row>
    <row r="47" ht="22" customHeight="1">
      <c r="B47" s="11" t="n"/>
      <c r="C47" s="11" t="n"/>
      <c r="D47" s="13" t="n"/>
      <c r="E47" s="14" t="n"/>
      <c r="F47" s="14" t="n"/>
      <c r="G47" s="13" t="n"/>
      <c r="H47" s="13">
        <f>IFERROR(D47-G47,0)</f>
        <v/>
      </c>
      <c r="I47" s="11">
        <f>IF(G47&gt;=D47,"Paid",IF(G47&gt;0,"Partial","Unpaid"))</f>
        <v/>
      </c>
      <c r="J47" s="12">
        <f>IFERROR(IF(I47="Unpaid",MAX(0,TODAY()-E47),IF(I47="Partial",MAX(0,TODAY()-E47),0)),0)</f>
        <v/>
      </c>
      <c r="K47" s="13">
        <f>IFERROR(IF(J47&gt;0,MIN(D47*0.05,500),0),0)</f>
        <v/>
      </c>
      <c r="L47" s="13">
        <f>IFERROR(D47+K47,0)</f>
        <v/>
      </c>
      <c r="M47" s="11" t="n"/>
      <c r="N47" s="11" t="n"/>
      <c r="O47" s="11" t="n"/>
    </row>
    <row r="48" ht="22" customHeight="1">
      <c r="B48" s="15" t="n"/>
      <c r="C48" s="15" t="n"/>
      <c r="D48" s="17" t="n"/>
      <c r="E48" s="18" t="n"/>
      <c r="F48" s="18" t="n"/>
      <c r="G48" s="17" t="n"/>
      <c r="H48" s="17">
        <f>IFERROR(D48-G48,0)</f>
        <v/>
      </c>
      <c r="I48" s="15">
        <f>IF(G48&gt;=D48,"Paid",IF(G48&gt;0,"Partial","Unpaid"))</f>
        <v/>
      </c>
      <c r="J48" s="16">
        <f>IFERROR(IF(I48="Unpaid",MAX(0,TODAY()-E48),IF(I48="Partial",MAX(0,TODAY()-E48),0)),0)</f>
        <v/>
      </c>
      <c r="K48" s="17">
        <f>IFERROR(IF(J48&gt;0,MIN(D48*0.05,500),0),0)</f>
        <v/>
      </c>
      <c r="L48" s="17">
        <f>IFERROR(D48+K48,0)</f>
        <v/>
      </c>
      <c r="M48" s="15" t="n"/>
      <c r="N48" s="15" t="n"/>
      <c r="O48" s="15" t="n"/>
    </row>
    <row r="49" ht="22" customHeight="1">
      <c r="B49" s="11" t="n"/>
      <c r="C49" s="11" t="n"/>
      <c r="D49" s="13" t="n"/>
      <c r="E49" s="14" t="n"/>
      <c r="F49" s="14" t="n"/>
      <c r="G49" s="13" t="n"/>
      <c r="H49" s="13">
        <f>IFERROR(D49-G49,0)</f>
        <v/>
      </c>
      <c r="I49" s="11">
        <f>IF(G49&gt;=D49,"Paid",IF(G49&gt;0,"Partial","Unpaid"))</f>
        <v/>
      </c>
      <c r="J49" s="12">
        <f>IFERROR(IF(I49="Unpaid",MAX(0,TODAY()-E49),IF(I49="Partial",MAX(0,TODAY()-E49),0)),0)</f>
        <v/>
      </c>
      <c r="K49" s="13">
        <f>IFERROR(IF(J49&gt;0,MIN(D49*0.05,500),0),0)</f>
        <v/>
      </c>
      <c r="L49" s="13">
        <f>IFERROR(D49+K49,0)</f>
        <v/>
      </c>
      <c r="M49" s="11" t="n"/>
      <c r="N49" s="11" t="n"/>
      <c r="O49" s="11" t="n"/>
    </row>
    <row r="50" ht="22" customHeight="1">
      <c r="B50" s="15" t="n"/>
      <c r="C50" s="15" t="n"/>
      <c r="D50" s="17" t="n"/>
      <c r="E50" s="18" t="n"/>
      <c r="F50" s="18" t="n"/>
      <c r="G50" s="17" t="n"/>
      <c r="H50" s="17">
        <f>IFERROR(D50-G50,0)</f>
        <v/>
      </c>
      <c r="I50" s="15">
        <f>IF(G50&gt;=D50,"Paid",IF(G50&gt;0,"Partial","Unpaid"))</f>
        <v/>
      </c>
      <c r="J50" s="16">
        <f>IFERROR(IF(I50="Unpaid",MAX(0,TODAY()-E50),IF(I50="Partial",MAX(0,TODAY()-E50),0)),0)</f>
        <v/>
      </c>
      <c r="K50" s="17">
        <f>IFERROR(IF(J50&gt;0,MIN(D50*0.05,500),0),0)</f>
        <v/>
      </c>
      <c r="L50" s="17">
        <f>IFERROR(D50+K50,0)</f>
        <v/>
      </c>
      <c r="M50" s="15" t="n"/>
      <c r="N50" s="15" t="n"/>
      <c r="O50" s="15" t="n"/>
    </row>
    <row r="51" ht="22" customHeight="1">
      <c r="B51" s="11" t="n"/>
      <c r="C51" s="11" t="n"/>
      <c r="D51" s="13" t="n"/>
      <c r="E51" s="14" t="n"/>
      <c r="F51" s="14" t="n"/>
      <c r="G51" s="13" t="n"/>
      <c r="H51" s="13">
        <f>IFERROR(D51-G51,0)</f>
        <v/>
      </c>
      <c r="I51" s="11">
        <f>IF(G51&gt;=D51,"Paid",IF(G51&gt;0,"Partial","Unpaid"))</f>
        <v/>
      </c>
      <c r="J51" s="12">
        <f>IFERROR(IF(I51="Unpaid",MAX(0,TODAY()-E51),IF(I51="Partial",MAX(0,TODAY()-E51),0)),0)</f>
        <v/>
      </c>
      <c r="K51" s="13">
        <f>IFERROR(IF(J51&gt;0,MIN(D51*0.05,500),0),0)</f>
        <v/>
      </c>
      <c r="L51" s="13">
        <f>IFERROR(D51+K51,0)</f>
        <v/>
      </c>
      <c r="M51" s="11" t="n"/>
      <c r="N51" s="11" t="n"/>
      <c r="O51" s="11" t="n"/>
    </row>
    <row r="52" ht="22" customHeight="1">
      <c r="B52" s="15" t="n"/>
      <c r="C52" s="15" t="n"/>
      <c r="D52" s="17" t="n"/>
      <c r="E52" s="18" t="n"/>
      <c r="F52" s="18" t="n"/>
      <c r="G52" s="17" t="n"/>
      <c r="H52" s="17">
        <f>IFERROR(D52-G52,0)</f>
        <v/>
      </c>
      <c r="I52" s="15">
        <f>IF(G52&gt;=D52,"Paid",IF(G52&gt;0,"Partial","Unpaid"))</f>
        <v/>
      </c>
      <c r="J52" s="16">
        <f>IFERROR(IF(I52="Unpaid",MAX(0,TODAY()-E52),IF(I52="Partial",MAX(0,TODAY()-E52),0)),0)</f>
        <v/>
      </c>
      <c r="K52" s="17">
        <f>IFERROR(IF(J52&gt;0,MIN(D52*0.05,500),0),0)</f>
        <v/>
      </c>
      <c r="L52" s="17">
        <f>IFERROR(D52+K52,0)</f>
        <v/>
      </c>
      <c r="M52" s="15" t="n"/>
      <c r="N52" s="15" t="n"/>
      <c r="O52" s="15" t="n"/>
    </row>
    <row r="53" ht="22" customHeight="1">
      <c r="B53" s="11" t="n"/>
      <c r="C53" s="11" t="n"/>
      <c r="D53" s="13" t="n"/>
      <c r="E53" s="14" t="n"/>
      <c r="F53" s="14" t="n"/>
      <c r="G53" s="13" t="n"/>
      <c r="H53" s="13">
        <f>IFERROR(D53-G53,0)</f>
        <v/>
      </c>
      <c r="I53" s="11">
        <f>IF(G53&gt;=D53,"Paid",IF(G53&gt;0,"Partial","Unpaid"))</f>
        <v/>
      </c>
      <c r="J53" s="12">
        <f>IFERROR(IF(I53="Unpaid",MAX(0,TODAY()-E53),IF(I53="Partial",MAX(0,TODAY()-E53),0)),0)</f>
        <v/>
      </c>
      <c r="K53" s="13">
        <f>IFERROR(IF(J53&gt;0,MIN(D53*0.05,500),0),0)</f>
        <v/>
      </c>
      <c r="L53" s="13">
        <f>IFERROR(D53+K53,0)</f>
        <v/>
      </c>
      <c r="M53" s="11" t="n"/>
      <c r="N53" s="11" t="n"/>
      <c r="O53" s="11" t="n"/>
    </row>
    <row r="54" ht="22" customHeight="1">
      <c r="B54" s="15" t="n"/>
      <c r="C54" s="15" t="n"/>
      <c r="D54" s="17" t="n"/>
      <c r="E54" s="18" t="n"/>
      <c r="F54" s="18" t="n"/>
      <c r="G54" s="17" t="n"/>
      <c r="H54" s="17">
        <f>IFERROR(D54-G54,0)</f>
        <v/>
      </c>
      <c r="I54" s="15">
        <f>IF(G54&gt;=D54,"Paid",IF(G54&gt;0,"Partial","Unpaid"))</f>
        <v/>
      </c>
      <c r="J54" s="16">
        <f>IFERROR(IF(I54="Unpaid",MAX(0,TODAY()-E54),IF(I54="Partial",MAX(0,TODAY()-E54),0)),0)</f>
        <v/>
      </c>
      <c r="K54" s="17">
        <f>IFERROR(IF(J54&gt;0,MIN(D54*0.05,500),0),0)</f>
        <v/>
      </c>
      <c r="L54" s="17">
        <f>IFERROR(D54+K54,0)</f>
        <v/>
      </c>
      <c r="M54" s="15" t="n"/>
      <c r="N54" s="15" t="n"/>
      <c r="O54" s="15" t="n"/>
    </row>
    <row r="55" ht="22" customHeight="1">
      <c r="B55" s="11" t="n"/>
      <c r="C55" s="11" t="n"/>
      <c r="D55" s="13" t="n"/>
      <c r="E55" s="14" t="n"/>
      <c r="F55" s="14" t="n"/>
      <c r="G55" s="13" t="n"/>
      <c r="H55" s="13">
        <f>IFERROR(D55-G55,0)</f>
        <v/>
      </c>
      <c r="I55" s="11">
        <f>IF(G55&gt;=D55,"Paid",IF(G55&gt;0,"Partial","Unpaid"))</f>
        <v/>
      </c>
      <c r="J55" s="12">
        <f>IFERROR(IF(I55="Unpaid",MAX(0,TODAY()-E55),IF(I55="Partial",MAX(0,TODAY()-E55),0)),0)</f>
        <v/>
      </c>
      <c r="K55" s="13">
        <f>IFERROR(IF(J55&gt;0,MIN(D55*0.05,500),0),0)</f>
        <v/>
      </c>
      <c r="L55" s="13">
        <f>IFERROR(D55+K55,0)</f>
        <v/>
      </c>
      <c r="M55" s="11" t="n"/>
      <c r="N55" s="11" t="n"/>
      <c r="O55" s="11" t="n"/>
    </row>
    <row r="56" ht="22" customHeight="1">
      <c r="B56" s="15" t="n"/>
      <c r="C56" s="15" t="n"/>
      <c r="D56" s="17" t="n"/>
      <c r="E56" s="18" t="n"/>
      <c r="F56" s="18" t="n"/>
      <c r="G56" s="17" t="n"/>
      <c r="H56" s="17">
        <f>IFERROR(D56-G56,0)</f>
        <v/>
      </c>
      <c r="I56" s="15">
        <f>IF(G56&gt;=D56,"Paid",IF(G56&gt;0,"Partial","Unpaid"))</f>
        <v/>
      </c>
      <c r="J56" s="16">
        <f>IFERROR(IF(I56="Unpaid",MAX(0,TODAY()-E56),IF(I56="Partial",MAX(0,TODAY()-E56),0)),0)</f>
        <v/>
      </c>
      <c r="K56" s="17">
        <f>IFERROR(IF(J56&gt;0,MIN(D56*0.05,500),0),0)</f>
        <v/>
      </c>
      <c r="L56" s="17">
        <f>IFERROR(D56+K56,0)</f>
        <v/>
      </c>
      <c r="M56" s="15" t="n"/>
      <c r="N56" s="15" t="n"/>
      <c r="O56" s="15" t="n"/>
    </row>
    <row r="57" ht="22" customHeight="1">
      <c r="B57" s="11" t="n"/>
      <c r="C57" s="11" t="n"/>
      <c r="D57" s="13" t="n"/>
      <c r="E57" s="14" t="n"/>
      <c r="F57" s="14" t="n"/>
      <c r="G57" s="13" t="n"/>
      <c r="H57" s="13">
        <f>IFERROR(D57-G57,0)</f>
        <v/>
      </c>
      <c r="I57" s="11">
        <f>IF(G57&gt;=D57,"Paid",IF(G57&gt;0,"Partial","Unpaid"))</f>
        <v/>
      </c>
      <c r="J57" s="12">
        <f>IFERROR(IF(I57="Unpaid",MAX(0,TODAY()-E57),IF(I57="Partial",MAX(0,TODAY()-E57),0)),0)</f>
        <v/>
      </c>
      <c r="K57" s="13">
        <f>IFERROR(IF(J57&gt;0,MIN(D57*0.05,500),0),0)</f>
        <v/>
      </c>
      <c r="L57" s="13">
        <f>IFERROR(D57+K57,0)</f>
        <v/>
      </c>
      <c r="M57" s="11" t="n"/>
      <c r="N57" s="11" t="n"/>
      <c r="O57" s="11" t="n"/>
    </row>
    <row r="58" ht="22" customHeight="1">
      <c r="B58" s="15" t="n"/>
      <c r="C58" s="15" t="n"/>
      <c r="D58" s="17" t="n"/>
      <c r="E58" s="18" t="n"/>
      <c r="F58" s="18" t="n"/>
      <c r="G58" s="17" t="n"/>
      <c r="H58" s="17">
        <f>IFERROR(D58-G58,0)</f>
        <v/>
      </c>
      <c r="I58" s="15">
        <f>IF(G58&gt;=D58,"Paid",IF(G58&gt;0,"Partial","Unpaid"))</f>
        <v/>
      </c>
      <c r="J58" s="16">
        <f>IFERROR(IF(I58="Unpaid",MAX(0,TODAY()-E58),IF(I58="Partial",MAX(0,TODAY()-E58),0)),0)</f>
        <v/>
      </c>
      <c r="K58" s="17">
        <f>IFERROR(IF(J58&gt;0,MIN(D58*0.05,500),0),0)</f>
        <v/>
      </c>
      <c r="L58" s="17">
        <f>IFERROR(D58+K58,0)</f>
        <v/>
      </c>
      <c r="M58" s="15" t="n"/>
      <c r="N58" s="15" t="n"/>
      <c r="O58" s="15" t="n"/>
    </row>
    <row r="59" ht="22" customHeight="1">
      <c r="B59" s="11" t="n"/>
      <c r="C59" s="11" t="n"/>
      <c r="D59" s="13" t="n"/>
      <c r="E59" s="14" t="n"/>
      <c r="F59" s="14" t="n"/>
      <c r="G59" s="13" t="n"/>
      <c r="H59" s="13">
        <f>IFERROR(D59-G59,0)</f>
        <v/>
      </c>
      <c r="I59" s="11">
        <f>IF(G59&gt;=D59,"Paid",IF(G59&gt;0,"Partial","Unpaid"))</f>
        <v/>
      </c>
      <c r="J59" s="12">
        <f>IFERROR(IF(I59="Unpaid",MAX(0,TODAY()-E59),IF(I59="Partial",MAX(0,TODAY()-E59),0)),0)</f>
        <v/>
      </c>
      <c r="K59" s="13">
        <f>IFERROR(IF(J59&gt;0,MIN(D59*0.05,500),0),0)</f>
        <v/>
      </c>
      <c r="L59" s="13">
        <f>IFERROR(D59+K59,0)</f>
        <v/>
      </c>
      <c r="M59" s="11" t="n"/>
      <c r="N59" s="11" t="n"/>
      <c r="O59" s="11" t="n"/>
    </row>
    <row r="60" ht="22" customHeight="1">
      <c r="B60" s="15" t="n"/>
      <c r="C60" s="15" t="n"/>
      <c r="D60" s="17" t="n"/>
      <c r="E60" s="18" t="n"/>
      <c r="F60" s="18" t="n"/>
      <c r="G60" s="17" t="n"/>
      <c r="H60" s="17">
        <f>IFERROR(D60-G60,0)</f>
        <v/>
      </c>
      <c r="I60" s="15">
        <f>IF(G60&gt;=D60,"Paid",IF(G60&gt;0,"Partial","Unpaid"))</f>
        <v/>
      </c>
      <c r="J60" s="16">
        <f>IFERROR(IF(I60="Unpaid",MAX(0,TODAY()-E60),IF(I60="Partial",MAX(0,TODAY()-E60),0)),0)</f>
        <v/>
      </c>
      <c r="K60" s="17">
        <f>IFERROR(IF(J60&gt;0,MIN(D60*0.05,500),0),0)</f>
        <v/>
      </c>
      <c r="L60" s="17">
        <f>IFERROR(D60+K60,0)</f>
        <v/>
      </c>
      <c r="M60" s="15" t="n"/>
      <c r="N60" s="15" t="n"/>
      <c r="O60" s="15" t="n"/>
    </row>
    <row r="61" ht="22" customHeight="1">
      <c r="B61" s="11" t="n"/>
      <c r="C61" s="11" t="n"/>
      <c r="D61" s="13" t="n"/>
      <c r="E61" s="14" t="n"/>
      <c r="F61" s="14" t="n"/>
      <c r="G61" s="13" t="n"/>
      <c r="H61" s="13">
        <f>IFERROR(D61-G61,0)</f>
        <v/>
      </c>
      <c r="I61" s="11">
        <f>IF(G61&gt;=D61,"Paid",IF(G61&gt;0,"Partial","Unpaid"))</f>
        <v/>
      </c>
      <c r="J61" s="12">
        <f>IFERROR(IF(I61="Unpaid",MAX(0,TODAY()-E61),IF(I61="Partial",MAX(0,TODAY()-E61),0)),0)</f>
        <v/>
      </c>
      <c r="K61" s="13">
        <f>IFERROR(IF(J61&gt;0,MIN(D61*0.05,500),0),0)</f>
        <v/>
      </c>
      <c r="L61" s="13">
        <f>IFERROR(D61+K61,0)</f>
        <v/>
      </c>
      <c r="M61" s="11" t="n"/>
      <c r="N61" s="11" t="n"/>
      <c r="O61" s="11" t="n"/>
    </row>
    <row r="62" ht="22" customHeight="1">
      <c r="B62" s="15" t="n"/>
      <c r="C62" s="15" t="n"/>
      <c r="D62" s="17" t="n"/>
      <c r="E62" s="18" t="n"/>
      <c r="F62" s="18" t="n"/>
      <c r="G62" s="17" t="n"/>
      <c r="H62" s="17">
        <f>IFERROR(D62-G62,0)</f>
        <v/>
      </c>
      <c r="I62" s="15">
        <f>IF(G62&gt;=D62,"Paid",IF(G62&gt;0,"Partial","Unpaid"))</f>
        <v/>
      </c>
      <c r="J62" s="16">
        <f>IFERROR(IF(I62="Unpaid",MAX(0,TODAY()-E62),IF(I62="Partial",MAX(0,TODAY()-E62),0)),0)</f>
        <v/>
      </c>
      <c r="K62" s="17">
        <f>IFERROR(IF(J62&gt;0,MIN(D62*0.05,500),0),0)</f>
        <v/>
      </c>
      <c r="L62" s="17">
        <f>IFERROR(D62+K62,0)</f>
        <v/>
      </c>
      <c r="M62" s="15" t="n"/>
      <c r="N62" s="15" t="n"/>
      <c r="O62" s="15" t="n"/>
    </row>
    <row r="63" ht="22" customHeight="1">
      <c r="B63" s="11" t="n"/>
      <c r="C63" s="11" t="n"/>
      <c r="D63" s="13" t="n"/>
      <c r="E63" s="14" t="n"/>
      <c r="F63" s="14" t="n"/>
      <c r="G63" s="13" t="n"/>
      <c r="H63" s="13">
        <f>IFERROR(D63-G63,0)</f>
        <v/>
      </c>
      <c r="I63" s="11">
        <f>IF(G63&gt;=D63,"Paid",IF(G63&gt;0,"Partial","Unpaid"))</f>
        <v/>
      </c>
      <c r="J63" s="12">
        <f>IFERROR(IF(I63="Unpaid",MAX(0,TODAY()-E63),IF(I63="Partial",MAX(0,TODAY()-E63),0)),0)</f>
        <v/>
      </c>
      <c r="K63" s="13">
        <f>IFERROR(IF(J63&gt;0,MIN(D63*0.05,500),0),0)</f>
        <v/>
      </c>
      <c r="L63" s="13">
        <f>IFERROR(D63+K63,0)</f>
        <v/>
      </c>
      <c r="M63" s="11" t="n"/>
      <c r="N63" s="11" t="n"/>
      <c r="O63" s="11" t="n"/>
    </row>
    <row r="64" ht="22" customHeight="1">
      <c r="B64" s="15" t="n"/>
      <c r="C64" s="15" t="n"/>
      <c r="D64" s="17" t="n"/>
      <c r="E64" s="18" t="n"/>
      <c r="F64" s="18" t="n"/>
      <c r="G64" s="17" t="n"/>
      <c r="H64" s="17">
        <f>IFERROR(D64-G64,0)</f>
        <v/>
      </c>
      <c r="I64" s="15">
        <f>IF(G64&gt;=D64,"Paid",IF(G64&gt;0,"Partial","Unpaid"))</f>
        <v/>
      </c>
      <c r="J64" s="16">
        <f>IFERROR(IF(I64="Unpaid",MAX(0,TODAY()-E64),IF(I64="Partial",MAX(0,TODAY()-E64),0)),0)</f>
        <v/>
      </c>
      <c r="K64" s="17">
        <f>IFERROR(IF(J64&gt;0,MIN(D64*0.05,500),0),0)</f>
        <v/>
      </c>
      <c r="L64" s="17">
        <f>IFERROR(D64+K64,0)</f>
        <v/>
      </c>
      <c r="M64" s="15" t="n"/>
      <c r="N64" s="15" t="n"/>
      <c r="O64" s="15" t="n"/>
    </row>
    <row r="65" ht="22" customHeight="1">
      <c r="B65" s="11" t="n"/>
      <c r="C65" s="11" t="n"/>
      <c r="D65" s="13" t="n"/>
      <c r="E65" s="14" t="n"/>
      <c r="F65" s="14" t="n"/>
      <c r="G65" s="13" t="n"/>
      <c r="H65" s="13">
        <f>IFERROR(D65-G65,0)</f>
        <v/>
      </c>
      <c r="I65" s="11">
        <f>IF(G65&gt;=D65,"Paid",IF(G65&gt;0,"Partial","Unpaid"))</f>
        <v/>
      </c>
      <c r="J65" s="12">
        <f>IFERROR(IF(I65="Unpaid",MAX(0,TODAY()-E65),IF(I65="Partial",MAX(0,TODAY()-E65),0)),0)</f>
        <v/>
      </c>
      <c r="K65" s="13">
        <f>IFERROR(IF(J65&gt;0,MIN(D65*0.05,500),0),0)</f>
        <v/>
      </c>
      <c r="L65" s="13">
        <f>IFERROR(D65+K65,0)</f>
        <v/>
      </c>
      <c r="M65" s="11" t="n"/>
      <c r="N65" s="11" t="n"/>
      <c r="O65" s="11" t="n"/>
    </row>
    <row r="66" ht="22" customHeight="1">
      <c r="B66" s="15" t="n"/>
      <c r="C66" s="15" t="n"/>
      <c r="D66" s="17" t="n"/>
      <c r="E66" s="18" t="n"/>
      <c r="F66" s="18" t="n"/>
      <c r="G66" s="17" t="n"/>
      <c r="H66" s="17">
        <f>IFERROR(D66-G66,0)</f>
        <v/>
      </c>
      <c r="I66" s="15">
        <f>IF(G66&gt;=D66,"Paid",IF(G66&gt;0,"Partial","Unpaid"))</f>
        <v/>
      </c>
      <c r="J66" s="16">
        <f>IFERROR(IF(I66="Unpaid",MAX(0,TODAY()-E66),IF(I66="Partial",MAX(0,TODAY()-E66),0)),0)</f>
        <v/>
      </c>
      <c r="K66" s="17">
        <f>IFERROR(IF(J66&gt;0,MIN(D66*0.05,500),0),0)</f>
        <v/>
      </c>
      <c r="L66" s="17">
        <f>IFERROR(D66+K66,0)</f>
        <v/>
      </c>
      <c r="M66" s="15" t="n"/>
      <c r="N66" s="15" t="n"/>
      <c r="O66" s="15" t="n"/>
    </row>
    <row r="67" ht="22" customHeight="1">
      <c r="B67" s="11" t="n"/>
      <c r="C67" s="11" t="n"/>
      <c r="D67" s="13" t="n"/>
      <c r="E67" s="14" t="n"/>
      <c r="F67" s="14" t="n"/>
      <c r="G67" s="13" t="n"/>
      <c r="H67" s="13">
        <f>IFERROR(D67-G67,0)</f>
        <v/>
      </c>
      <c r="I67" s="11">
        <f>IF(G67&gt;=D67,"Paid",IF(G67&gt;0,"Partial","Unpaid"))</f>
        <v/>
      </c>
      <c r="J67" s="12">
        <f>IFERROR(IF(I67="Unpaid",MAX(0,TODAY()-E67),IF(I67="Partial",MAX(0,TODAY()-E67),0)),0)</f>
        <v/>
      </c>
      <c r="K67" s="13">
        <f>IFERROR(IF(J67&gt;0,MIN(D67*0.05,500),0),0)</f>
        <v/>
      </c>
      <c r="L67" s="13">
        <f>IFERROR(D67+K67,0)</f>
        <v/>
      </c>
      <c r="M67" s="11" t="n"/>
      <c r="N67" s="11" t="n"/>
      <c r="O67" s="11" t="n"/>
    </row>
    <row r="68" ht="22" customHeight="1">
      <c r="B68" s="15" t="n"/>
      <c r="C68" s="15" t="n"/>
      <c r="D68" s="17" t="n"/>
      <c r="E68" s="18" t="n"/>
      <c r="F68" s="18" t="n"/>
      <c r="G68" s="17" t="n"/>
      <c r="H68" s="17">
        <f>IFERROR(D68-G68,0)</f>
        <v/>
      </c>
      <c r="I68" s="15">
        <f>IF(G68&gt;=D68,"Paid",IF(G68&gt;0,"Partial","Unpaid"))</f>
        <v/>
      </c>
      <c r="J68" s="16">
        <f>IFERROR(IF(I68="Unpaid",MAX(0,TODAY()-E68),IF(I68="Partial",MAX(0,TODAY()-E68),0)),0)</f>
        <v/>
      </c>
      <c r="K68" s="17">
        <f>IFERROR(IF(J68&gt;0,MIN(D68*0.05,500),0),0)</f>
        <v/>
      </c>
      <c r="L68" s="17">
        <f>IFERROR(D68+K68,0)</f>
        <v/>
      </c>
      <c r="M68" s="15" t="n"/>
      <c r="N68" s="15" t="n"/>
      <c r="O68" s="15" t="n"/>
    </row>
    <row r="69" ht="22" customHeight="1">
      <c r="B69" s="11" t="n"/>
      <c r="C69" s="11" t="n"/>
      <c r="D69" s="13" t="n"/>
      <c r="E69" s="14" t="n"/>
      <c r="F69" s="14" t="n"/>
      <c r="G69" s="13" t="n"/>
      <c r="H69" s="13">
        <f>IFERROR(D69-G69,0)</f>
        <v/>
      </c>
      <c r="I69" s="11">
        <f>IF(G69&gt;=D69,"Paid",IF(G69&gt;0,"Partial","Unpaid"))</f>
        <v/>
      </c>
      <c r="J69" s="12">
        <f>IFERROR(IF(I69="Unpaid",MAX(0,TODAY()-E69),IF(I69="Partial",MAX(0,TODAY()-E69),0)),0)</f>
        <v/>
      </c>
      <c r="K69" s="13">
        <f>IFERROR(IF(J69&gt;0,MIN(D69*0.05,500),0),0)</f>
        <v/>
      </c>
      <c r="L69" s="13">
        <f>IFERROR(D69+K69,0)</f>
        <v/>
      </c>
      <c r="M69" s="11" t="n"/>
      <c r="N69" s="11" t="n"/>
      <c r="O69" s="11" t="n"/>
    </row>
    <row r="70" ht="22" customHeight="1">
      <c r="B70" s="15" t="n"/>
      <c r="C70" s="15" t="n"/>
      <c r="D70" s="17" t="n"/>
      <c r="E70" s="18" t="n"/>
      <c r="F70" s="18" t="n"/>
      <c r="G70" s="17" t="n"/>
      <c r="H70" s="17">
        <f>IFERROR(D70-G70,0)</f>
        <v/>
      </c>
      <c r="I70" s="15">
        <f>IF(G70&gt;=D70,"Paid",IF(G70&gt;0,"Partial","Unpaid"))</f>
        <v/>
      </c>
      <c r="J70" s="16">
        <f>IFERROR(IF(I70="Unpaid",MAX(0,TODAY()-E70),IF(I70="Partial",MAX(0,TODAY()-E70),0)),0)</f>
        <v/>
      </c>
      <c r="K70" s="17">
        <f>IFERROR(IF(J70&gt;0,MIN(D70*0.05,500),0),0)</f>
        <v/>
      </c>
      <c r="L70" s="17">
        <f>IFERROR(D70+K70,0)</f>
        <v/>
      </c>
      <c r="M70" s="15" t="n"/>
      <c r="N70" s="15" t="n"/>
      <c r="O70" s="15" t="n"/>
    </row>
    <row r="71" ht="22" customHeight="1">
      <c r="B71" s="11" t="n"/>
      <c r="C71" s="11" t="n"/>
      <c r="D71" s="13" t="n"/>
      <c r="E71" s="14" t="n"/>
      <c r="F71" s="14" t="n"/>
      <c r="G71" s="13" t="n"/>
      <c r="H71" s="13">
        <f>IFERROR(D71-G71,0)</f>
        <v/>
      </c>
      <c r="I71" s="11">
        <f>IF(G71&gt;=D71,"Paid",IF(G71&gt;0,"Partial","Unpaid"))</f>
        <v/>
      </c>
      <c r="J71" s="12">
        <f>IFERROR(IF(I71="Unpaid",MAX(0,TODAY()-E71),IF(I71="Partial",MAX(0,TODAY()-E71),0)),0)</f>
        <v/>
      </c>
      <c r="K71" s="13">
        <f>IFERROR(IF(J71&gt;0,MIN(D71*0.05,500),0),0)</f>
        <v/>
      </c>
      <c r="L71" s="13">
        <f>IFERROR(D71+K71,0)</f>
        <v/>
      </c>
      <c r="M71" s="11" t="n"/>
      <c r="N71" s="11" t="n"/>
      <c r="O71" s="11" t="n"/>
    </row>
    <row r="72" ht="22" customHeight="1">
      <c r="B72" s="15" t="n"/>
      <c r="C72" s="15" t="n"/>
      <c r="D72" s="17" t="n"/>
      <c r="E72" s="18" t="n"/>
      <c r="F72" s="18" t="n"/>
      <c r="G72" s="17" t="n"/>
      <c r="H72" s="17">
        <f>IFERROR(D72-G72,0)</f>
        <v/>
      </c>
      <c r="I72" s="15">
        <f>IF(G72&gt;=D72,"Paid",IF(G72&gt;0,"Partial","Unpaid"))</f>
        <v/>
      </c>
      <c r="J72" s="16">
        <f>IFERROR(IF(I72="Unpaid",MAX(0,TODAY()-E72),IF(I72="Partial",MAX(0,TODAY()-E72),0)),0)</f>
        <v/>
      </c>
      <c r="K72" s="17">
        <f>IFERROR(IF(J72&gt;0,MIN(D72*0.05,500),0),0)</f>
        <v/>
      </c>
      <c r="L72" s="17">
        <f>IFERROR(D72+K72,0)</f>
        <v/>
      </c>
      <c r="M72" s="15" t="n"/>
      <c r="N72" s="15" t="n"/>
      <c r="O72" s="15" t="n"/>
    </row>
    <row r="73" ht="22" customHeight="1">
      <c r="B73" s="11" t="n"/>
      <c r="C73" s="11" t="n"/>
      <c r="D73" s="13" t="n"/>
      <c r="E73" s="14" t="n"/>
      <c r="F73" s="14" t="n"/>
      <c r="G73" s="13" t="n"/>
      <c r="H73" s="13">
        <f>IFERROR(D73-G73,0)</f>
        <v/>
      </c>
      <c r="I73" s="11">
        <f>IF(G73&gt;=D73,"Paid",IF(G73&gt;0,"Partial","Unpaid"))</f>
        <v/>
      </c>
      <c r="J73" s="12">
        <f>IFERROR(IF(I73="Unpaid",MAX(0,TODAY()-E73),IF(I73="Partial",MAX(0,TODAY()-E73),0)),0)</f>
        <v/>
      </c>
      <c r="K73" s="13">
        <f>IFERROR(IF(J73&gt;0,MIN(D73*0.05,500),0),0)</f>
        <v/>
      </c>
      <c r="L73" s="13">
        <f>IFERROR(D73+K73,0)</f>
        <v/>
      </c>
      <c r="M73" s="11" t="n"/>
      <c r="N73" s="11" t="n"/>
      <c r="O73" s="11" t="n"/>
    </row>
    <row r="74" ht="22" customHeight="1">
      <c r="B74" s="15" t="n"/>
      <c r="C74" s="15" t="n"/>
      <c r="D74" s="17" t="n"/>
      <c r="E74" s="18" t="n"/>
      <c r="F74" s="18" t="n"/>
      <c r="G74" s="17" t="n"/>
      <c r="H74" s="17">
        <f>IFERROR(D74-G74,0)</f>
        <v/>
      </c>
      <c r="I74" s="15">
        <f>IF(G74&gt;=D74,"Paid",IF(G74&gt;0,"Partial","Unpaid"))</f>
        <v/>
      </c>
      <c r="J74" s="16">
        <f>IFERROR(IF(I74="Unpaid",MAX(0,TODAY()-E74),IF(I74="Partial",MAX(0,TODAY()-E74),0)),0)</f>
        <v/>
      </c>
      <c r="K74" s="17">
        <f>IFERROR(IF(J74&gt;0,MIN(D74*0.05,500),0),0)</f>
        <v/>
      </c>
      <c r="L74" s="17">
        <f>IFERROR(D74+K74,0)</f>
        <v/>
      </c>
      <c r="M74" s="15" t="n"/>
      <c r="N74" s="15" t="n"/>
      <c r="O74" s="15" t="n"/>
    </row>
    <row r="75" ht="22" customHeight="1">
      <c r="B75" s="11" t="n"/>
      <c r="C75" s="11" t="n"/>
      <c r="D75" s="13" t="n"/>
      <c r="E75" s="14" t="n"/>
      <c r="F75" s="14" t="n"/>
      <c r="G75" s="13" t="n"/>
      <c r="H75" s="13">
        <f>IFERROR(D75-G75,0)</f>
        <v/>
      </c>
      <c r="I75" s="11">
        <f>IF(G75&gt;=D75,"Paid",IF(G75&gt;0,"Partial","Unpaid"))</f>
        <v/>
      </c>
      <c r="J75" s="12">
        <f>IFERROR(IF(I75="Unpaid",MAX(0,TODAY()-E75),IF(I75="Partial",MAX(0,TODAY()-E75),0)),0)</f>
        <v/>
      </c>
      <c r="K75" s="13">
        <f>IFERROR(IF(J75&gt;0,MIN(D75*0.05,500),0),0)</f>
        <v/>
      </c>
      <c r="L75" s="13">
        <f>IFERROR(D75+K75,0)</f>
        <v/>
      </c>
      <c r="M75" s="11" t="n"/>
      <c r="N75" s="11" t="n"/>
      <c r="O75" s="11" t="n"/>
    </row>
    <row r="76" ht="22" customHeight="1">
      <c r="B76" s="15" t="n"/>
      <c r="C76" s="15" t="n"/>
      <c r="D76" s="17" t="n"/>
      <c r="E76" s="18" t="n"/>
      <c r="F76" s="18" t="n"/>
      <c r="G76" s="17" t="n"/>
      <c r="H76" s="17">
        <f>IFERROR(D76-G76,0)</f>
        <v/>
      </c>
      <c r="I76" s="15">
        <f>IF(G76&gt;=D76,"Paid",IF(G76&gt;0,"Partial","Unpaid"))</f>
        <v/>
      </c>
      <c r="J76" s="16">
        <f>IFERROR(IF(I76="Unpaid",MAX(0,TODAY()-E76),IF(I76="Partial",MAX(0,TODAY()-E76),0)),0)</f>
        <v/>
      </c>
      <c r="K76" s="17">
        <f>IFERROR(IF(J76&gt;0,MIN(D76*0.05,500),0),0)</f>
        <v/>
      </c>
      <c r="L76" s="17">
        <f>IFERROR(D76+K76,0)</f>
        <v/>
      </c>
      <c r="M76" s="15" t="n"/>
      <c r="N76" s="15" t="n"/>
      <c r="O76" s="15" t="n"/>
    </row>
    <row r="77" ht="22" customHeight="1">
      <c r="B77" s="11" t="n"/>
      <c r="C77" s="11" t="n"/>
      <c r="D77" s="13" t="n"/>
      <c r="E77" s="14" t="n"/>
      <c r="F77" s="14" t="n"/>
      <c r="G77" s="13" t="n"/>
      <c r="H77" s="13">
        <f>IFERROR(D77-G77,0)</f>
        <v/>
      </c>
      <c r="I77" s="11">
        <f>IF(G77&gt;=D77,"Paid",IF(G77&gt;0,"Partial","Unpaid"))</f>
        <v/>
      </c>
      <c r="J77" s="12">
        <f>IFERROR(IF(I77="Unpaid",MAX(0,TODAY()-E77),IF(I77="Partial",MAX(0,TODAY()-E77),0)),0)</f>
        <v/>
      </c>
      <c r="K77" s="13">
        <f>IFERROR(IF(J77&gt;0,MIN(D77*0.05,500),0),0)</f>
        <v/>
      </c>
      <c r="L77" s="13">
        <f>IFERROR(D77+K77,0)</f>
        <v/>
      </c>
      <c r="M77" s="11" t="n"/>
      <c r="N77" s="11" t="n"/>
      <c r="O77" s="11" t="n"/>
    </row>
    <row r="78" ht="22" customHeight="1">
      <c r="B78" s="15" t="n"/>
      <c r="C78" s="15" t="n"/>
      <c r="D78" s="17" t="n"/>
      <c r="E78" s="18" t="n"/>
      <c r="F78" s="18" t="n"/>
      <c r="G78" s="17" t="n"/>
      <c r="H78" s="17">
        <f>IFERROR(D78-G78,0)</f>
        <v/>
      </c>
      <c r="I78" s="15">
        <f>IF(G78&gt;=D78,"Paid",IF(G78&gt;0,"Partial","Unpaid"))</f>
        <v/>
      </c>
      <c r="J78" s="16">
        <f>IFERROR(IF(I78="Unpaid",MAX(0,TODAY()-E78),IF(I78="Partial",MAX(0,TODAY()-E78),0)),0)</f>
        <v/>
      </c>
      <c r="K78" s="17">
        <f>IFERROR(IF(J78&gt;0,MIN(D78*0.05,500),0),0)</f>
        <v/>
      </c>
      <c r="L78" s="17">
        <f>IFERROR(D78+K78,0)</f>
        <v/>
      </c>
      <c r="M78" s="15" t="n"/>
      <c r="N78" s="15" t="n"/>
      <c r="O78" s="15" t="n"/>
    </row>
    <row r="79" ht="22" customHeight="1">
      <c r="B79" s="11" t="n"/>
      <c r="C79" s="11" t="n"/>
      <c r="D79" s="13" t="n"/>
      <c r="E79" s="14" t="n"/>
      <c r="F79" s="14" t="n"/>
      <c r="G79" s="13" t="n"/>
      <c r="H79" s="13">
        <f>IFERROR(D79-G79,0)</f>
        <v/>
      </c>
      <c r="I79" s="11">
        <f>IF(G79&gt;=D79,"Paid",IF(G79&gt;0,"Partial","Unpaid"))</f>
        <v/>
      </c>
      <c r="J79" s="12">
        <f>IFERROR(IF(I79="Unpaid",MAX(0,TODAY()-E79),IF(I79="Partial",MAX(0,TODAY()-E79),0)),0)</f>
        <v/>
      </c>
      <c r="K79" s="13">
        <f>IFERROR(IF(J79&gt;0,MIN(D79*0.05,500),0),0)</f>
        <v/>
      </c>
      <c r="L79" s="13">
        <f>IFERROR(D79+K79,0)</f>
        <v/>
      </c>
      <c r="M79" s="11" t="n"/>
      <c r="N79" s="11" t="n"/>
      <c r="O79" s="11" t="n"/>
    </row>
    <row r="80" ht="22" customHeight="1">
      <c r="B80" s="15" t="n"/>
      <c r="C80" s="15" t="n"/>
      <c r="D80" s="17" t="n"/>
      <c r="E80" s="18" t="n"/>
      <c r="F80" s="18" t="n"/>
      <c r="G80" s="17" t="n"/>
      <c r="H80" s="17">
        <f>IFERROR(D80-G80,0)</f>
        <v/>
      </c>
      <c r="I80" s="15">
        <f>IF(G80&gt;=D80,"Paid",IF(G80&gt;0,"Partial","Unpaid"))</f>
        <v/>
      </c>
      <c r="J80" s="16">
        <f>IFERROR(IF(I80="Unpaid",MAX(0,TODAY()-E80),IF(I80="Partial",MAX(0,TODAY()-E80),0)),0)</f>
        <v/>
      </c>
      <c r="K80" s="17">
        <f>IFERROR(IF(J80&gt;0,MIN(D80*0.05,500),0),0)</f>
        <v/>
      </c>
      <c r="L80" s="17">
        <f>IFERROR(D80+K80,0)</f>
        <v/>
      </c>
      <c r="M80" s="15" t="n"/>
      <c r="N80" s="15" t="n"/>
      <c r="O80" s="15" t="n"/>
    </row>
    <row r="81" ht="22" customHeight="1">
      <c r="B81" s="11" t="n"/>
      <c r="C81" s="11" t="n"/>
      <c r="D81" s="13" t="n"/>
      <c r="E81" s="14" t="n"/>
      <c r="F81" s="14" t="n"/>
      <c r="G81" s="13" t="n"/>
      <c r="H81" s="13">
        <f>IFERROR(D81-G81,0)</f>
        <v/>
      </c>
      <c r="I81" s="11">
        <f>IF(G81&gt;=D81,"Paid",IF(G81&gt;0,"Partial","Unpaid"))</f>
        <v/>
      </c>
      <c r="J81" s="12">
        <f>IFERROR(IF(I81="Unpaid",MAX(0,TODAY()-E81),IF(I81="Partial",MAX(0,TODAY()-E81),0)),0)</f>
        <v/>
      </c>
      <c r="K81" s="13">
        <f>IFERROR(IF(J81&gt;0,MIN(D81*0.05,500),0),0)</f>
        <v/>
      </c>
      <c r="L81" s="13">
        <f>IFERROR(D81+K81,0)</f>
        <v/>
      </c>
      <c r="M81" s="11" t="n"/>
      <c r="N81" s="11" t="n"/>
      <c r="O81" s="11" t="n"/>
    </row>
    <row r="82" ht="22" customHeight="1">
      <c r="B82" s="15" t="n"/>
      <c r="C82" s="15" t="n"/>
      <c r="D82" s="17" t="n"/>
      <c r="E82" s="18" t="n"/>
      <c r="F82" s="18" t="n"/>
      <c r="G82" s="17" t="n"/>
      <c r="H82" s="17">
        <f>IFERROR(D82-G82,0)</f>
        <v/>
      </c>
      <c r="I82" s="15">
        <f>IF(G82&gt;=D82,"Paid",IF(G82&gt;0,"Partial","Unpaid"))</f>
        <v/>
      </c>
      <c r="J82" s="16">
        <f>IFERROR(IF(I82="Unpaid",MAX(0,TODAY()-E82),IF(I82="Partial",MAX(0,TODAY()-E82),0)),0)</f>
        <v/>
      </c>
      <c r="K82" s="17">
        <f>IFERROR(IF(J82&gt;0,MIN(D82*0.05,500),0),0)</f>
        <v/>
      </c>
      <c r="L82" s="17">
        <f>IFERROR(D82+K82,0)</f>
        <v/>
      </c>
      <c r="M82" s="15" t="n"/>
      <c r="N82" s="15" t="n"/>
      <c r="O82" s="15" t="n"/>
    </row>
    <row r="83" ht="22" customHeight="1">
      <c r="B83" s="11" t="n"/>
      <c r="C83" s="11" t="n"/>
      <c r="D83" s="13" t="n"/>
      <c r="E83" s="14" t="n"/>
      <c r="F83" s="14" t="n"/>
      <c r="G83" s="13" t="n"/>
      <c r="H83" s="13">
        <f>IFERROR(D83-G83,0)</f>
        <v/>
      </c>
      <c r="I83" s="11">
        <f>IF(G83&gt;=D83,"Paid",IF(G83&gt;0,"Partial","Unpaid"))</f>
        <v/>
      </c>
      <c r="J83" s="12">
        <f>IFERROR(IF(I83="Unpaid",MAX(0,TODAY()-E83),IF(I83="Partial",MAX(0,TODAY()-E83),0)),0)</f>
        <v/>
      </c>
      <c r="K83" s="13">
        <f>IFERROR(IF(J83&gt;0,MIN(D83*0.05,500),0),0)</f>
        <v/>
      </c>
      <c r="L83" s="13">
        <f>IFERROR(D83+K83,0)</f>
        <v/>
      </c>
      <c r="M83" s="11" t="n"/>
      <c r="N83" s="11" t="n"/>
      <c r="O83" s="11" t="n"/>
    </row>
    <row r="84" ht="22" customHeight="1">
      <c r="B84" s="15" t="n"/>
      <c r="C84" s="15" t="n"/>
      <c r="D84" s="17" t="n"/>
      <c r="E84" s="18" t="n"/>
      <c r="F84" s="18" t="n"/>
      <c r="G84" s="17" t="n"/>
      <c r="H84" s="17">
        <f>IFERROR(D84-G84,0)</f>
        <v/>
      </c>
      <c r="I84" s="15">
        <f>IF(G84&gt;=D84,"Paid",IF(G84&gt;0,"Partial","Unpaid"))</f>
        <v/>
      </c>
      <c r="J84" s="16">
        <f>IFERROR(IF(I84="Unpaid",MAX(0,TODAY()-E84),IF(I84="Partial",MAX(0,TODAY()-E84),0)),0)</f>
        <v/>
      </c>
      <c r="K84" s="17">
        <f>IFERROR(IF(J84&gt;0,MIN(D84*0.05,500),0),0)</f>
        <v/>
      </c>
      <c r="L84" s="17">
        <f>IFERROR(D84+K84,0)</f>
        <v/>
      </c>
      <c r="M84" s="15" t="n"/>
      <c r="N84" s="15" t="n"/>
      <c r="O84" s="15" t="n"/>
    </row>
    <row r="85" ht="22" customHeight="1">
      <c r="B85" s="11" t="n"/>
      <c r="C85" s="11" t="n"/>
      <c r="D85" s="13" t="n"/>
      <c r="E85" s="14" t="n"/>
      <c r="F85" s="14" t="n"/>
      <c r="G85" s="13" t="n"/>
      <c r="H85" s="13">
        <f>IFERROR(D85-G85,0)</f>
        <v/>
      </c>
      <c r="I85" s="11">
        <f>IF(G85&gt;=D85,"Paid",IF(G85&gt;0,"Partial","Unpaid"))</f>
        <v/>
      </c>
      <c r="J85" s="12">
        <f>IFERROR(IF(I85="Unpaid",MAX(0,TODAY()-E85),IF(I85="Partial",MAX(0,TODAY()-E85),0)),0)</f>
        <v/>
      </c>
      <c r="K85" s="13">
        <f>IFERROR(IF(J85&gt;0,MIN(D85*0.05,500),0),0)</f>
        <v/>
      </c>
      <c r="L85" s="13">
        <f>IFERROR(D85+K85,0)</f>
        <v/>
      </c>
      <c r="M85" s="11" t="n"/>
      <c r="N85" s="11" t="n"/>
      <c r="O85" s="11" t="n"/>
    </row>
    <row r="86" ht="22" customHeight="1">
      <c r="B86" s="15" t="n"/>
      <c r="C86" s="15" t="n"/>
      <c r="D86" s="17" t="n"/>
      <c r="E86" s="18" t="n"/>
      <c r="F86" s="18" t="n"/>
      <c r="G86" s="17" t="n"/>
      <c r="H86" s="17">
        <f>IFERROR(D86-G86,0)</f>
        <v/>
      </c>
      <c r="I86" s="15">
        <f>IF(G86&gt;=D86,"Paid",IF(G86&gt;0,"Partial","Unpaid"))</f>
        <v/>
      </c>
      <c r="J86" s="16">
        <f>IFERROR(IF(I86="Unpaid",MAX(0,TODAY()-E86),IF(I86="Partial",MAX(0,TODAY()-E86),0)),0)</f>
        <v/>
      </c>
      <c r="K86" s="17">
        <f>IFERROR(IF(J86&gt;0,MIN(D86*0.05,500),0),0)</f>
        <v/>
      </c>
      <c r="L86" s="17">
        <f>IFERROR(D86+K86,0)</f>
        <v/>
      </c>
      <c r="M86" s="15" t="n"/>
      <c r="N86" s="15" t="n"/>
      <c r="O86" s="15" t="n"/>
    </row>
    <row r="87" ht="22" customHeight="1">
      <c r="B87" s="11" t="n"/>
      <c r="C87" s="11" t="n"/>
      <c r="D87" s="13" t="n"/>
      <c r="E87" s="14" t="n"/>
      <c r="F87" s="14" t="n"/>
      <c r="G87" s="13" t="n"/>
      <c r="H87" s="13">
        <f>IFERROR(D87-G87,0)</f>
        <v/>
      </c>
      <c r="I87" s="11">
        <f>IF(G87&gt;=D87,"Paid",IF(G87&gt;0,"Partial","Unpaid"))</f>
        <v/>
      </c>
      <c r="J87" s="12">
        <f>IFERROR(IF(I87="Unpaid",MAX(0,TODAY()-E87),IF(I87="Partial",MAX(0,TODAY()-E87),0)),0)</f>
        <v/>
      </c>
      <c r="K87" s="13">
        <f>IFERROR(IF(J87&gt;0,MIN(D87*0.05,500),0),0)</f>
        <v/>
      </c>
      <c r="L87" s="13">
        <f>IFERROR(D87+K87,0)</f>
        <v/>
      </c>
      <c r="M87" s="11" t="n"/>
      <c r="N87" s="11" t="n"/>
      <c r="O87" s="11" t="n"/>
    </row>
    <row r="88" ht="22" customHeight="1">
      <c r="B88" s="15" t="n"/>
      <c r="C88" s="15" t="n"/>
      <c r="D88" s="17" t="n"/>
      <c r="E88" s="18" t="n"/>
      <c r="F88" s="18" t="n"/>
      <c r="G88" s="17" t="n"/>
      <c r="H88" s="17">
        <f>IFERROR(D88-G88,0)</f>
        <v/>
      </c>
      <c r="I88" s="15">
        <f>IF(G88&gt;=D88,"Paid",IF(G88&gt;0,"Partial","Unpaid"))</f>
        <v/>
      </c>
      <c r="J88" s="16">
        <f>IFERROR(IF(I88="Unpaid",MAX(0,TODAY()-E88),IF(I88="Partial",MAX(0,TODAY()-E88),0)),0)</f>
        <v/>
      </c>
      <c r="K88" s="17">
        <f>IFERROR(IF(J88&gt;0,MIN(D88*0.05,500),0),0)</f>
        <v/>
      </c>
      <c r="L88" s="17">
        <f>IFERROR(D88+K88,0)</f>
        <v/>
      </c>
      <c r="M88" s="15" t="n"/>
      <c r="N88" s="15" t="n"/>
      <c r="O88" s="15" t="n"/>
    </row>
    <row r="89" ht="22" customHeight="1">
      <c r="B89" s="11" t="n"/>
      <c r="C89" s="11" t="n"/>
      <c r="D89" s="13" t="n"/>
      <c r="E89" s="14" t="n"/>
      <c r="F89" s="14" t="n"/>
      <c r="G89" s="13" t="n"/>
      <c r="H89" s="13">
        <f>IFERROR(D89-G89,0)</f>
        <v/>
      </c>
      <c r="I89" s="11">
        <f>IF(G89&gt;=D89,"Paid",IF(G89&gt;0,"Partial","Unpaid"))</f>
        <v/>
      </c>
      <c r="J89" s="12">
        <f>IFERROR(IF(I89="Unpaid",MAX(0,TODAY()-E89),IF(I89="Partial",MAX(0,TODAY()-E89),0)),0)</f>
        <v/>
      </c>
      <c r="K89" s="13">
        <f>IFERROR(IF(J89&gt;0,MIN(D89*0.05,500),0),0)</f>
        <v/>
      </c>
      <c r="L89" s="13">
        <f>IFERROR(D89+K89,0)</f>
        <v/>
      </c>
      <c r="M89" s="11" t="n"/>
      <c r="N89" s="11" t="n"/>
      <c r="O89" s="11" t="n"/>
    </row>
    <row r="90" ht="22" customHeight="1">
      <c r="B90" s="15" t="n"/>
      <c r="C90" s="15" t="n"/>
      <c r="D90" s="17" t="n"/>
      <c r="E90" s="18" t="n"/>
      <c r="F90" s="18" t="n"/>
      <c r="G90" s="17" t="n"/>
      <c r="H90" s="17">
        <f>IFERROR(D90-G90,0)</f>
        <v/>
      </c>
      <c r="I90" s="15">
        <f>IF(G90&gt;=D90,"Paid",IF(G90&gt;0,"Partial","Unpaid"))</f>
        <v/>
      </c>
      <c r="J90" s="16">
        <f>IFERROR(IF(I90="Unpaid",MAX(0,TODAY()-E90),IF(I90="Partial",MAX(0,TODAY()-E90),0)),0)</f>
        <v/>
      </c>
      <c r="K90" s="17">
        <f>IFERROR(IF(J90&gt;0,MIN(D90*0.05,500),0),0)</f>
        <v/>
      </c>
      <c r="L90" s="17">
        <f>IFERROR(D90+K90,0)</f>
        <v/>
      </c>
      <c r="M90" s="15" t="n"/>
      <c r="N90" s="15" t="n"/>
      <c r="O90" s="15" t="n"/>
    </row>
    <row r="91" ht="22" customHeight="1">
      <c r="B91" s="11" t="n"/>
      <c r="C91" s="11" t="n"/>
      <c r="D91" s="13" t="n"/>
      <c r="E91" s="14" t="n"/>
      <c r="F91" s="14" t="n"/>
      <c r="G91" s="13" t="n"/>
      <c r="H91" s="13">
        <f>IFERROR(D91-G91,0)</f>
        <v/>
      </c>
      <c r="I91" s="11">
        <f>IF(G91&gt;=D91,"Paid",IF(G91&gt;0,"Partial","Unpaid"))</f>
        <v/>
      </c>
      <c r="J91" s="12">
        <f>IFERROR(IF(I91="Unpaid",MAX(0,TODAY()-E91),IF(I91="Partial",MAX(0,TODAY()-E91),0)),0)</f>
        <v/>
      </c>
      <c r="K91" s="13">
        <f>IFERROR(IF(J91&gt;0,MIN(D91*0.05,500),0),0)</f>
        <v/>
      </c>
      <c r="L91" s="13">
        <f>IFERROR(D91+K91,0)</f>
        <v/>
      </c>
      <c r="M91" s="11" t="n"/>
      <c r="N91" s="11" t="n"/>
      <c r="O91" s="11" t="n"/>
    </row>
    <row r="92" ht="22" customHeight="1">
      <c r="B92" s="15" t="n"/>
      <c r="C92" s="15" t="n"/>
      <c r="D92" s="17" t="n"/>
      <c r="E92" s="18" t="n"/>
      <c r="F92" s="18" t="n"/>
      <c r="G92" s="17" t="n"/>
      <c r="H92" s="17">
        <f>IFERROR(D92-G92,0)</f>
        <v/>
      </c>
      <c r="I92" s="15">
        <f>IF(G92&gt;=D92,"Paid",IF(G92&gt;0,"Partial","Unpaid"))</f>
        <v/>
      </c>
      <c r="J92" s="16">
        <f>IFERROR(IF(I92="Unpaid",MAX(0,TODAY()-E92),IF(I92="Partial",MAX(0,TODAY()-E92),0)),0)</f>
        <v/>
      </c>
      <c r="K92" s="17">
        <f>IFERROR(IF(J92&gt;0,MIN(D92*0.05,500),0),0)</f>
        <v/>
      </c>
      <c r="L92" s="17">
        <f>IFERROR(D92+K92,0)</f>
        <v/>
      </c>
      <c r="M92" s="15" t="n"/>
      <c r="N92" s="15" t="n"/>
      <c r="O92" s="15" t="n"/>
    </row>
    <row r="93" ht="22" customHeight="1">
      <c r="B93" s="11" t="n"/>
      <c r="C93" s="11" t="n"/>
      <c r="D93" s="13" t="n"/>
      <c r="E93" s="14" t="n"/>
      <c r="F93" s="14" t="n"/>
      <c r="G93" s="13" t="n"/>
      <c r="H93" s="13">
        <f>IFERROR(D93-G93,0)</f>
        <v/>
      </c>
      <c r="I93" s="11">
        <f>IF(G93&gt;=D93,"Paid",IF(G93&gt;0,"Partial","Unpaid"))</f>
        <v/>
      </c>
      <c r="J93" s="12">
        <f>IFERROR(IF(I93="Unpaid",MAX(0,TODAY()-E93),IF(I93="Partial",MAX(0,TODAY()-E93),0)),0)</f>
        <v/>
      </c>
      <c r="K93" s="13">
        <f>IFERROR(IF(J93&gt;0,MIN(D93*0.05,500),0),0)</f>
        <v/>
      </c>
      <c r="L93" s="13">
        <f>IFERROR(D93+K93,0)</f>
        <v/>
      </c>
      <c r="M93" s="11" t="n"/>
      <c r="N93" s="11" t="n"/>
      <c r="O93" s="11" t="n"/>
    </row>
    <row r="94" ht="22" customHeight="1">
      <c r="B94" s="15" t="n"/>
      <c r="C94" s="15" t="n"/>
      <c r="D94" s="17" t="n"/>
      <c r="E94" s="18" t="n"/>
      <c r="F94" s="18" t="n"/>
      <c r="G94" s="17" t="n"/>
      <c r="H94" s="17">
        <f>IFERROR(D94-G94,0)</f>
        <v/>
      </c>
      <c r="I94" s="15">
        <f>IF(G94&gt;=D94,"Paid",IF(G94&gt;0,"Partial","Unpaid"))</f>
        <v/>
      </c>
      <c r="J94" s="16">
        <f>IFERROR(IF(I94="Unpaid",MAX(0,TODAY()-E94),IF(I94="Partial",MAX(0,TODAY()-E94),0)),0)</f>
        <v/>
      </c>
      <c r="K94" s="17">
        <f>IFERROR(IF(J94&gt;0,MIN(D94*0.05,500),0),0)</f>
        <v/>
      </c>
      <c r="L94" s="17">
        <f>IFERROR(D94+K94,0)</f>
        <v/>
      </c>
      <c r="M94" s="15" t="n"/>
      <c r="N94" s="15" t="n"/>
      <c r="O94" s="15" t="n"/>
    </row>
    <row r="95" ht="22" customHeight="1">
      <c r="B95" s="11" t="n"/>
      <c r="C95" s="11" t="n"/>
      <c r="D95" s="13" t="n"/>
      <c r="E95" s="14" t="n"/>
      <c r="F95" s="14" t="n"/>
      <c r="G95" s="13" t="n"/>
      <c r="H95" s="13">
        <f>IFERROR(D95-G95,0)</f>
        <v/>
      </c>
      <c r="I95" s="11">
        <f>IF(G95&gt;=D95,"Paid",IF(G95&gt;0,"Partial","Unpaid"))</f>
        <v/>
      </c>
      <c r="J95" s="12">
        <f>IFERROR(IF(I95="Unpaid",MAX(0,TODAY()-E95),IF(I95="Partial",MAX(0,TODAY()-E95),0)),0)</f>
        <v/>
      </c>
      <c r="K95" s="13">
        <f>IFERROR(IF(J95&gt;0,MIN(D95*0.05,500),0),0)</f>
        <v/>
      </c>
      <c r="L95" s="13">
        <f>IFERROR(D95+K95,0)</f>
        <v/>
      </c>
      <c r="M95" s="11" t="n"/>
      <c r="N95" s="11" t="n"/>
      <c r="O95" s="11" t="n"/>
    </row>
    <row r="96" ht="22" customHeight="1">
      <c r="B96" s="15" t="n"/>
      <c r="C96" s="15" t="n"/>
      <c r="D96" s="17" t="n"/>
      <c r="E96" s="18" t="n"/>
      <c r="F96" s="18" t="n"/>
      <c r="G96" s="17" t="n"/>
      <c r="H96" s="17">
        <f>IFERROR(D96-G96,0)</f>
        <v/>
      </c>
      <c r="I96" s="15">
        <f>IF(G96&gt;=D96,"Paid",IF(G96&gt;0,"Partial","Unpaid"))</f>
        <v/>
      </c>
      <c r="J96" s="16">
        <f>IFERROR(IF(I96="Unpaid",MAX(0,TODAY()-E96),IF(I96="Partial",MAX(0,TODAY()-E96),0)),0)</f>
        <v/>
      </c>
      <c r="K96" s="17">
        <f>IFERROR(IF(J96&gt;0,MIN(D96*0.05,500),0),0)</f>
        <v/>
      </c>
      <c r="L96" s="17">
        <f>IFERROR(D96+K96,0)</f>
        <v/>
      </c>
      <c r="M96" s="15" t="n"/>
      <c r="N96" s="15" t="n"/>
      <c r="O96" s="15" t="n"/>
    </row>
    <row r="97" ht="22" customHeight="1">
      <c r="B97" s="11" t="n"/>
      <c r="C97" s="11" t="n"/>
      <c r="D97" s="13" t="n"/>
      <c r="E97" s="14" t="n"/>
      <c r="F97" s="14" t="n"/>
      <c r="G97" s="13" t="n"/>
      <c r="H97" s="13">
        <f>IFERROR(D97-G97,0)</f>
        <v/>
      </c>
      <c r="I97" s="11">
        <f>IF(G97&gt;=D97,"Paid",IF(G97&gt;0,"Partial","Unpaid"))</f>
        <v/>
      </c>
      <c r="J97" s="12">
        <f>IFERROR(IF(I97="Unpaid",MAX(0,TODAY()-E97),IF(I97="Partial",MAX(0,TODAY()-E97),0)),0)</f>
        <v/>
      </c>
      <c r="K97" s="13">
        <f>IFERROR(IF(J97&gt;0,MIN(D97*0.05,500),0),0)</f>
        <v/>
      </c>
      <c r="L97" s="13">
        <f>IFERROR(D97+K97,0)</f>
        <v/>
      </c>
      <c r="M97" s="11" t="n"/>
      <c r="N97" s="11" t="n"/>
      <c r="O97" s="11" t="n"/>
    </row>
    <row r="98" ht="22" customHeight="1">
      <c r="B98" s="15" t="n"/>
      <c r="C98" s="15" t="n"/>
      <c r="D98" s="17" t="n"/>
      <c r="E98" s="18" t="n"/>
      <c r="F98" s="18" t="n"/>
      <c r="G98" s="17" t="n"/>
      <c r="H98" s="17">
        <f>IFERROR(D98-G98,0)</f>
        <v/>
      </c>
      <c r="I98" s="15">
        <f>IF(G98&gt;=D98,"Paid",IF(G98&gt;0,"Partial","Unpaid"))</f>
        <v/>
      </c>
      <c r="J98" s="16">
        <f>IFERROR(IF(I98="Unpaid",MAX(0,TODAY()-E98),IF(I98="Partial",MAX(0,TODAY()-E98),0)),0)</f>
        <v/>
      </c>
      <c r="K98" s="17">
        <f>IFERROR(IF(J98&gt;0,MIN(D98*0.05,500),0),0)</f>
        <v/>
      </c>
      <c r="L98" s="17">
        <f>IFERROR(D98+K98,0)</f>
        <v/>
      </c>
      <c r="M98" s="15" t="n"/>
      <c r="N98" s="15" t="n"/>
      <c r="O98" s="15" t="n"/>
    </row>
    <row r="99" ht="22" customHeight="1">
      <c r="B99" s="11" t="n"/>
      <c r="C99" s="11" t="n"/>
      <c r="D99" s="13" t="n"/>
      <c r="E99" s="14" t="n"/>
      <c r="F99" s="14" t="n"/>
      <c r="G99" s="13" t="n"/>
      <c r="H99" s="13">
        <f>IFERROR(D99-G99,0)</f>
        <v/>
      </c>
      <c r="I99" s="11">
        <f>IF(G99&gt;=D99,"Paid",IF(G99&gt;0,"Partial","Unpaid"))</f>
        <v/>
      </c>
      <c r="J99" s="12">
        <f>IFERROR(IF(I99="Unpaid",MAX(0,TODAY()-E99),IF(I99="Partial",MAX(0,TODAY()-E99),0)),0)</f>
        <v/>
      </c>
      <c r="K99" s="13">
        <f>IFERROR(IF(J99&gt;0,MIN(D99*0.05,500),0),0)</f>
        <v/>
      </c>
      <c r="L99" s="13">
        <f>IFERROR(D99+K99,0)</f>
        <v/>
      </c>
      <c r="M99" s="11" t="n"/>
      <c r="N99" s="11" t="n"/>
      <c r="O99" s="11" t="n"/>
    </row>
    <row r="100" ht="22" customHeight="1">
      <c r="B100" s="15" t="n"/>
      <c r="C100" s="15" t="n"/>
      <c r="D100" s="17" t="n"/>
      <c r="E100" s="18" t="n"/>
      <c r="F100" s="18" t="n"/>
      <c r="G100" s="17" t="n"/>
      <c r="H100" s="17">
        <f>IFERROR(D100-G100,0)</f>
        <v/>
      </c>
      <c r="I100" s="15">
        <f>IF(G100&gt;=D100,"Paid",IF(G100&gt;0,"Partial","Unpaid"))</f>
        <v/>
      </c>
      <c r="J100" s="16">
        <f>IFERROR(IF(I100="Unpaid",MAX(0,TODAY()-E100),IF(I100="Partial",MAX(0,TODAY()-E100),0)),0)</f>
        <v/>
      </c>
      <c r="K100" s="17">
        <f>IFERROR(IF(J100&gt;0,MIN(D100*0.05,500),0),0)</f>
        <v/>
      </c>
      <c r="L100" s="17">
        <f>IFERROR(D100+K100,0)</f>
        <v/>
      </c>
      <c r="M100" s="15" t="n"/>
      <c r="N100" s="15" t="n"/>
      <c r="O100" s="15" t="n"/>
    </row>
    <row r="101" ht="22" customHeight="1">
      <c r="B101" s="11" t="n"/>
      <c r="C101" s="11" t="n"/>
      <c r="D101" s="13" t="n"/>
      <c r="E101" s="14" t="n"/>
      <c r="F101" s="14" t="n"/>
      <c r="G101" s="13" t="n"/>
      <c r="H101" s="13">
        <f>IFERROR(D101-G101,0)</f>
        <v/>
      </c>
      <c r="I101" s="11">
        <f>IF(G101&gt;=D101,"Paid",IF(G101&gt;0,"Partial","Unpaid"))</f>
        <v/>
      </c>
      <c r="J101" s="12">
        <f>IFERROR(IF(I101="Unpaid",MAX(0,TODAY()-E101),IF(I101="Partial",MAX(0,TODAY()-E101),0)),0)</f>
        <v/>
      </c>
      <c r="K101" s="13">
        <f>IFERROR(IF(J101&gt;0,MIN(D101*0.05,500),0),0)</f>
        <v/>
      </c>
      <c r="L101" s="13">
        <f>IFERROR(D101+K101,0)</f>
        <v/>
      </c>
      <c r="M101" s="11" t="n"/>
      <c r="N101" s="11" t="n"/>
      <c r="O101" s="11" t="n"/>
    </row>
    <row r="102" ht="22" customHeight="1">
      <c r="B102" s="15" t="n"/>
      <c r="C102" s="15" t="n"/>
      <c r="D102" s="17" t="n"/>
      <c r="E102" s="18" t="n"/>
      <c r="F102" s="18" t="n"/>
      <c r="G102" s="17" t="n"/>
      <c r="H102" s="17">
        <f>IFERROR(D102-G102,0)</f>
        <v/>
      </c>
      <c r="I102" s="15">
        <f>IF(G102&gt;=D102,"Paid",IF(G102&gt;0,"Partial","Unpaid"))</f>
        <v/>
      </c>
      <c r="J102" s="16">
        <f>IFERROR(IF(I102="Unpaid",MAX(0,TODAY()-E102),IF(I102="Partial",MAX(0,TODAY()-E102),0)),0)</f>
        <v/>
      </c>
      <c r="K102" s="17">
        <f>IFERROR(IF(J102&gt;0,MIN(D102*0.05,500),0),0)</f>
        <v/>
      </c>
      <c r="L102" s="17">
        <f>IFERROR(D102+K102,0)</f>
        <v/>
      </c>
      <c r="M102" s="15" t="n"/>
      <c r="N102" s="15" t="n"/>
      <c r="O102" s="15" t="n"/>
    </row>
    <row r="103" ht="22" customHeight="1">
      <c r="B103" s="11" t="n"/>
      <c r="C103" s="11" t="n"/>
      <c r="D103" s="13" t="n"/>
      <c r="E103" s="14" t="n"/>
      <c r="F103" s="14" t="n"/>
      <c r="G103" s="13" t="n"/>
      <c r="H103" s="13">
        <f>IFERROR(D103-G103,0)</f>
        <v/>
      </c>
      <c r="I103" s="11">
        <f>IF(G103&gt;=D103,"Paid",IF(G103&gt;0,"Partial","Unpaid"))</f>
        <v/>
      </c>
      <c r="J103" s="12">
        <f>IFERROR(IF(I103="Unpaid",MAX(0,TODAY()-E103),IF(I103="Partial",MAX(0,TODAY()-E103),0)),0)</f>
        <v/>
      </c>
      <c r="K103" s="13">
        <f>IFERROR(IF(J103&gt;0,MIN(D103*0.05,500),0),0)</f>
        <v/>
      </c>
      <c r="L103" s="13">
        <f>IFERROR(D103+K103,0)</f>
        <v/>
      </c>
      <c r="M103" s="11" t="n"/>
      <c r="N103" s="11" t="n"/>
      <c r="O103" s="11" t="n"/>
    </row>
    <row r="104" ht="22" customHeight="1">
      <c r="B104" s="15" t="n"/>
      <c r="C104" s="15" t="n"/>
      <c r="D104" s="17" t="n"/>
      <c r="E104" s="18" t="n"/>
      <c r="F104" s="18" t="n"/>
      <c r="G104" s="17" t="n"/>
      <c r="H104" s="17">
        <f>IFERROR(D104-G104,0)</f>
        <v/>
      </c>
      <c r="I104" s="15">
        <f>IF(G104&gt;=D104,"Paid",IF(G104&gt;0,"Partial","Unpaid"))</f>
        <v/>
      </c>
      <c r="J104" s="16">
        <f>IFERROR(IF(I104="Unpaid",MAX(0,TODAY()-E104),IF(I104="Partial",MAX(0,TODAY()-E104),0)),0)</f>
        <v/>
      </c>
      <c r="K104" s="17">
        <f>IFERROR(IF(J104&gt;0,MIN(D104*0.05,500),0),0)</f>
        <v/>
      </c>
      <c r="L104" s="17">
        <f>IFERROR(D104+K104,0)</f>
        <v/>
      </c>
      <c r="M104" s="15" t="n"/>
      <c r="N104" s="15" t="n"/>
      <c r="O104" s="15" t="n"/>
    </row>
    <row r="105" ht="22" customHeight="1">
      <c r="B105" s="11" t="n"/>
      <c r="C105" s="11" t="n"/>
      <c r="D105" s="13" t="n"/>
      <c r="E105" s="14" t="n"/>
      <c r="F105" s="14" t="n"/>
      <c r="G105" s="13" t="n"/>
      <c r="H105" s="13">
        <f>IFERROR(D105-G105,0)</f>
        <v/>
      </c>
      <c r="I105" s="11">
        <f>IF(G105&gt;=D105,"Paid",IF(G105&gt;0,"Partial","Unpaid"))</f>
        <v/>
      </c>
      <c r="J105" s="12">
        <f>IFERROR(IF(I105="Unpaid",MAX(0,TODAY()-E105),IF(I105="Partial",MAX(0,TODAY()-E105),0)),0)</f>
        <v/>
      </c>
      <c r="K105" s="13">
        <f>IFERROR(IF(J105&gt;0,MIN(D105*0.05,500),0),0)</f>
        <v/>
      </c>
      <c r="L105" s="13">
        <f>IFERROR(D105+K105,0)</f>
        <v/>
      </c>
      <c r="M105" s="11" t="n"/>
      <c r="N105" s="11" t="n"/>
      <c r="O105" s="11" t="n"/>
    </row>
    <row r="106" ht="22" customHeight="1">
      <c r="B106" s="15" t="n"/>
      <c r="C106" s="15" t="n"/>
      <c r="D106" s="17" t="n"/>
      <c r="E106" s="18" t="n"/>
      <c r="F106" s="18" t="n"/>
      <c r="G106" s="17" t="n"/>
      <c r="H106" s="17">
        <f>IFERROR(D106-G106,0)</f>
        <v/>
      </c>
      <c r="I106" s="15">
        <f>IF(G106&gt;=D106,"Paid",IF(G106&gt;0,"Partial","Unpaid"))</f>
        <v/>
      </c>
      <c r="J106" s="16">
        <f>IFERROR(IF(I106="Unpaid",MAX(0,TODAY()-E106),IF(I106="Partial",MAX(0,TODAY()-E106),0)),0)</f>
        <v/>
      </c>
      <c r="K106" s="17">
        <f>IFERROR(IF(J106&gt;0,MIN(D106*0.05,500),0),0)</f>
        <v/>
      </c>
      <c r="L106" s="17">
        <f>IFERROR(D106+K106,0)</f>
        <v/>
      </c>
      <c r="M106" s="15" t="n"/>
      <c r="N106" s="15" t="n"/>
      <c r="O106" s="15" t="n"/>
    </row>
    <row r="107" ht="22" customHeight="1">
      <c r="B107" s="11" t="n"/>
      <c r="C107" s="11" t="n"/>
      <c r="D107" s="13" t="n"/>
      <c r="E107" s="14" t="n"/>
      <c r="F107" s="14" t="n"/>
      <c r="G107" s="13" t="n"/>
      <c r="H107" s="13">
        <f>IFERROR(D107-G107,0)</f>
        <v/>
      </c>
      <c r="I107" s="11">
        <f>IF(G107&gt;=D107,"Paid",IF(G107&gt;0,"Partial","Unpaid"))</f>
        <v/>
      </c>
      <c r="J107" s="12">
        <f>IFERROR(IF(I107="Unpaid",MAX(0,TODAY()-E107),IF(I107="Partial",MAX(0,TODAY()-E107),0)),0)</f>
        <v/>
      </c>
      <c r="K107" s="13">
        <f>IFERROR(IF(J107&gt;0,MIN(D107*0.05,500),0),0)</f>
        <v/>
      </c>
      <c r="L107" s="13">
        <f>IFERROR(D107+K107,0)</f>
        <v/>
      </c>
      <c r="M107" s="11" t="n"/>
      <c r="N107" s="11" t="n"/>
      <c r="O107" s="11" t="n"/>
    </row>
    <row r="108" ht="22" customHeight="1">
      <c r="B108" s="15" t="n"/>
      <c r="C108" s="15" t="n"/>
      <c r="D108" s="17" t="n"/>
      <c r="E108" s="18" t="n"/>
      <c r="F108" s="18" t="n"/>
      <c r="G108" s="17" t="n"/>
      <c r="H108" s="17">
        <f>IFERROR(D108-G108,0)</f>
        <v/>
      </c>
      <c r="I108" s="15">
        <f>IF(G108&gt;=D108,"Paid",IF(G108&gt;0,"Partial","Unpaid"))</f>
        <v/>
      </c>
      <c r="J108" s="16">
        <f>IFERROR(IF(I108="Unpaid",MAX(0,TODAY()-E108),IF(I108="Partial",MAX(0,TODAY()-E108),0)),0)</f>
        <v/>
      </c>
      <c r="K108" s="17">
        <f>IFERROR(IF(J108&gt;0,MIN(D108*0.05,500),0),0)</f>
        <v/>
      </c>
      <c r="L108" s="17">
        <f>IFERROR(D108+K108,0)</f>
        <v/>
      </c>
      <c r="M108" s="15" t="n"/>
      <c r="N108" s="15" t="n"/>
      <c r="O108" s="15" t="n"/>
    </row>
    <row r="109" ht="22" customHeight="1">
      <c r="B109" s="11" t="n"/>
      <c r="C109" s="11" t="n"/>
      <c r="D109" s="13" t="n"/>
      <c r="E109" s="14" t="n"/>
      <c r="F109" s="14" t="n"/>
      <c r="G109" s="13" t="n"/>
      <c r="H109" s="13">
        <f>IFERROR(D109-G109,0)</f>
        <v/>
      </c>
      <c r="I109" s="11">
        <f>IF(G109&gt;=D109,"Paid",IF(G109&gt;0,"Partial","Unpaid"))</f>
        <v/>
      </c>
      <c r="J109" s="12">
        <f>IFERROR(IF(I109="Unpaid",MAX(0,TODAY()-E109),IF(I109="Partial",MAX(0,TODAY()-E109),0)),0)</f>
        <v/>
      </c>
      <c r="K109" s="13">
        <f>IFERROR(IF(J109&gt;0,MIN(D109*0.05,500),0),0)</f>
        <v/>
      </c>
      <c r="L109" s="13">
        <f>IFERROR(D109+K109,0)</f>
        <v/>
      </c>
      <c r="M109" s="11" t="n"/>
      <c r="N109" s="11" t="n"/>
      <c r="O109" s="11" t="n"/>
    </row>
    <row r="110" ht="22" customHeight="1">
      <c r="B110" s="15" t="n"/>
      <c r="C110" s="15" t="n"/>
      <c r="D110" s="17" t="n"/>
      <c r="E110" s="18" t="n"/>
      <c r="F110" s="18" t="n"/>
      <c r="G110" s="17" t="n"/>
      <c r="H110" s="17">
        <f>IFERROR(D110-G110,0)</f>
        <v/>
      </c>
      <c r="I110" s="15">
        <f>IF(G110&gt;=D110,"Paid",IF(G110&gt;0,"Partial","Unpaid"))</f>
        <v/>
      </c>
      <c r="J110" s="16">
        <f>IFERROR(IF(I110="Unpaid",MAX(0,TODAY()-E110),IF(I110="Partial",MAX(0,TODAY()-E110),0)),0)</f>
        <v/>
      </c>
      <c r="K110" s="17">
        <f>IFERROR(IF(J110&gt;0,MIN(D110*0.05,500),0),0)</f>
        <v/>
      </c>
      <c r="L110" s="17">
        <f>IFERROR(D110+K110,0)</f>
        <v/>
      </c>
      <c r="M110" s="15" t="n"/>
      <c r="N110" s="15" t="n"/>
      <c r="O110" s="15" t="n"/>
    </row>
    <row r="111" ht="22" customHeight="1">
      <c r="B111" s="11" t="n"/>
      <c r="C111" s="11" t="n"/>
      <c r="D111" s="13" t="n"/>
      <c r="E111" s="14" t="n"/>
      <c r="F111" s="14" t="n"/>
      <c r="G111" s="13" t="n"/>
      <c r="H111" s="13">
        <f>IFERROR(D111-G111,0)</f>
        <v/>
      </c>
      <c r="I111" s="11">
        <f>IF(G111&gt;=D111,"Paid",IF(G111&gt;0,"Partial","Unpaid"))</f>
        <v/>
      </c>
      <c r="J111" s="12">
        <f>IFERROR(IF(I111="Unpaid",MAX(0,TODAY()-E111),IF(I111="Partial",MAX(0,TODAY()-E111),0)),0)</f>
        <v/>
      </c>
      <c r="K111" s="13">
        <f>IFERROR(IF(J111&gt;0,MIN(D111*0.05,500),0),0)</f>
        <v/>
      </c>
      <c r="L111" s="13">
        <f>IFERROR(D111+K111,0)</f>
        <v/>
      </c>
      <c r="M111" s="11" t="n"/>
      <c r="N111" s="11" t="n"/>
      <c r="O111" s="11" t="n"/>
    </row>
    <row r="112" ht="22" customHeight="1">
      <c r="B112" s="15" t="n"/>
      <c r="C112" s="15" t="n"/>
      <c r="D112" s="17" t="n"/>
      <c r="E112" s="18" t="n"/>
      <c r="F112" s="18" t="n"/>
      <c r="G112" s="17" t="n"/>
      <c r="H112" s="17">
        <f>IFERROR(D112-G112,0)</f>
        <v/>
      </c>
      <c r="I112" s="15">
        <f>IF(G112&gt;=D112,"Paid",IF(G112&gt;0,"Partial","Unpaid"))</f>
        <v/>
      </c>
      <c r="J112" s="16">
        <f>IFERROR(IF(I112="Unpaid",MAX(0,TODAY()-E112),IF(I112="Partial",MAX(0,TODAY()-E112),0)),0)</f>
        <v/>
      </c>
      <c r="K112" s="17">
        <f>IFERROR(IF(J112&gt;0,MIN(D112*0.05,500),0),0)</f>
        <v/>
      </c>
      <c r="L112" s="17">
        <f>IFERROR(D112+K112,0)</f>
        <v/>
      </c>
      <c r="M112" s="15" t="n"/>
      <c r="N112" s="15" t="n"/>
      <c r="O112" s="15" t="n"/>
    </row>
    <row r="113" ht="22" customHeight="1">
      <c r="B113" s="11" t="n"/>
      <c r="C113" s="11" t="n"/>
      <c r="D113" s="13" t="n"/>
      <c r="E113" s="14" t="n"/>
      <c r="F113" s="14" t="n"/>
      <c r="G113" s="13" t="n"/>
      <c r="H113" s="13">
        <f>IFERROR(D113-G113,0)</f>
        <v/>
      </c>
      <c r="I113" s="11">
        <f>IF(G113&gt;=D113,"Paid",IF(G113&gt;0,"Partial","Unpaid"))</f>
        <v/>
      </c>
      <c r="J113" s="12">
        <f>IFERROR(IF(I113="Unpaid",MAX(0,TODAY()-E113),IF(I113="Partial",MAX(0,TODAY()-E113),0)),0)</f>
        <v/>
      </c>
      <c r="K113" s="13">
        <f>IFERROR(IF(J113&gt;0,MIN(D113*0.05,500),0),0)</f>
        <v/>
      </c>
      <c r="L113" s="13">
        <f>IFERROR(D113+K113,0)</f>
        <v/>
      </c>
      <c r="M113" s="11" t="n"/>
      <c r="N113" s="11" t="n"/>
      <c r="O113" s="11" t="n"/>
    </row>
    <row r="114" ht="22" customHeight="1">
      <c r="B114" s="15" t="n"/>
      <c r="C114" s="15" t="n"/>
      <c r="D114" s="17" t="n"/>
      <c r="E114" s="18" t="n"/>
      <c r="F114" s="18" t="n"/>
      <c r="G114" s="17" t="n"/>
      <c r="H114" s="17">
        <f>IFERROR(D114-G114,0)</f>
        <v/>
      </c>
      <c r="I114" s="15">
        <f>IF(G114&gt;=D114,"Paid",IF(G114&gt;0,"Partial","Unpaid"))</f>
        <v/>
      </c>
      <c r="J114" s="16">
        <f>IFERROR(IF(I114="Unpaid",MAX(0,TODAY()-E114),IF(I114="Partial",MAX(0,TODAY()-E114),0)),0)</f>
        <v/>
      </c>
      <c r="K114" s="17">
        <f>IFERROR(IF(J114&gt;0,MIN(D114*0.05,500),0),0)</f>
        <v/>
      </c>
      <c r="L114" s="17">
        <f>IFERROR(D114+K114,0)</f>
        <v/>
      </c>
      <c r="M114" s="15" t="n"/>
      <c r="N114" s="15" t="n"/>
      <c r="O114" s="15" t="n"/>
    </row>
    <row r="115" ht="22" customHeight="1">
      <c r="B115" s="11" t="n"/>
      <c r="C115" s="11" t="n"/>
      <c r="D115" s="13" t="n"/>
      <c r="E115" s="14" t="n"/>
      <c r="F115" s="14" t="n"/>
      <c r="G115" s="13" t="n"/>
      <c r="H115" s="13">
        <f>IFERROR(D115-G115,0)</f>
        <v/>
      </c>
      <c r="I115" s="11">
        <f>IF(G115&gt;=D115,"Paid",IF(G115&gt;0,"Partial","Unpaid"))</f>
        <v/>
      </c>
      <c r="J115" s="12">
        <f>IFERROR(IF(I115="Unpaid",MAX(0,TODAY()-E115),IF(I115="Partial",MAX(0,TODAY()-E115),0)),0)</f>
        <v/>
      </c>
      <c r="K115" s="13">
        <f>IFERROR(IF(J115&gt;0,MIN(D115*0.05,500),0),0)</f>
        <v/>
      </c>
      <c r="L115" s="13">
        <f>IFERROR(D115+K115,0)</f>
        <v/>
      </c>
      <c r="M115" s="11" t="n"/>
      <c r="N115" s="11" t="n"/>
      <c r="O115" s="11" t="n"/>
    </row>
    <row r="116" ht="22" customHeight="1">
      <c r="B116" s="15" t="n"/>
      <c r="C116" s="15" t="n"/>
      <c r="D116" s="17" t="n"/>
      <c r="E116" s="18" t="n"/>
      <c r="F116" s="18" t="n"/>
      <c r="G116" s="17" t="n"/>
      <c r="H116" s="17">
        <f>IFERROR(D116-G116,0)</f>
        <v/>
      </c>
      <c r="I116" s="15">
        <f>IF(G116&gt;=D116,"Paid",IF(G116&gt;0,"Partial","Unpaid"))</f>
        <v/>
      </c>
      <c r="J116" s="16">
        <f>IFERROR(IF(I116="Unpaid",MAX(0,TODAY()-E116),IF(I116="Partial",MAX(0,TODAY()-E116),0)),0)</f>
        <v/>
      </c>
      <c r="K116" s="17">
        <f>IFERROR(IF(J116&gt;0,MIN(D116*0.05,500),0),0)</f>
        <v/>
      </c>
      <c r="L116" s="17">
        <f>IFERROR(D116+K116,0)</f>
        <v/>
      </c>
      <c r="M116" s="15" t="n"/>
      <c r="N116" s="15" t="n"/>
      <c r="O116" s="15" t="n"/>
    </row>
    <row r="117" ht="22" customHeight="1">
      <c r="B117" s="11" t="n"/>
      <c r="C117" s="11" t="n"/>
      <c r="D117" s="13" t="n"/>
      <c r="E117" s="14" t="n"/>
      <c r="F117" s="14" t="n"/>
      <c r="G117" s="13" t="n"/>
      <c r="H117" s="13">
        <f>IFERROR(D117-G117,0)</f>
        <v/>
      </c>
      <c r="I117" s="11">
        <f>IF(G117&gt;=D117,"Paid",IF(G117&gt;0,"Partial","Unpaid"))</f>
        <v/>
      </c>
      <c r="J117" s="12">
        <f>IFERROR(IF(I117="Unpaid",MAX(0,TODAY()-E117),IF(I117="Partial",MAX(0,TODAY()-E117),0)),0)</f>
        <v/>
      </c>
      <c r="K117" s="13">
        <f>IFERROR(IF(J117&gt;0,MIN(D117*0.05,500),0),0)</f>
        <v/>
      </c>
      <c r="L117" s="13">
        <f>IFERROR(D117+K117,0)</f>
        <v/>
      </c>
      <c r="M117" s="11" t="n"/>
      <c r="N117" s="11" t="n"/>
      <c r="O117" s="11" t="n"/>
    </row>
    <row r="118" ht="22" customHeight="1">
      <c r="B118" s="15" t="n"/>
      <c r="C118" s="15" t="n"/>
      <c r="D118" s="17" t="n"/>
      <c r="E118" s="18" t="n"/>
      <c r="F118" s="18" t="n"/>
      <c r="G118" s="17" t="n"/>
      <c r="H118" s="17">
        <f>IFERROR(D118-G118,0)</f>
        <v/>
      </c>
      <c r="I118" s="15">
        <f>IF(G118&gt;=D118,"Paid",IF(G118&gt;0,"Partial","Unpaid"))</f>
        <v/>
      </c>
      <c r="J118" s="16">
        <f>IFERROR(IF(I118="Unpaid",MAX(0,TODAY()-E118),IF(I118="Partial",MAX(0,TODAY()-E118),0)),0)</f>
        <v/>
      </c>
      <c r="K118" s="17">
        <f>IFERROR(IF(J118&gt;0,MIN(D118*0.05,500),0),0)</f>
        <v/>
      </c>
      <c r="L118" s="17">
        <f>IFERROR(D118+K118,0)</f>
        <v/>
      </c>
      <c r="M118" s="15" t="n"/>
      <c r="N118" s="15" t="n"/>
      <c r="O118" s="15" t="n"/>
    </row>
    <row r="119" ht="22" customHeight="1">
      <c r="B119" s="11" t="n"/>
      <c r="C119" s="11" t="n"/>
      <c r="D119" s="13" t="n"/>
      <c r="E119" s="14" t="n"/>
      <c r="F119" s="14" t="n"/>
      <c r="G119" s="13" t="n"/>
      <c r="H119" s="13">
        <f>IFERROR(D119-G119,0)</f>
        <v/>
      </c>
      <c r="I119" s="11">
        <f>IF(G119&gt;=D119,"Paid",IF(G119&gt;0,"Partial","Unpaid"))</f>
        <v/>
      </c>
      <c r="J119" s="12">
        <f>IFERROR(IF(I119="Unpaid",MAX(0,TODAY()-E119),IF(I119="Partial",MAX(0,TODAY()-E119),0)),0)</f>
        <v/>
      </c>
      <c r="K119" s="13">
        <f>IFERROR(IF(J119&gt;0,MIN(D119*0.05,500),0),0)</f>
        <v/>
      </c>
      <c r="L119" s="13">
        <f>IFERROR(D119+K119,0)</f>
        <v/>
      </c>
      <c r="M119" s="11" t="n"/>
      <c r="N119" s="11" t="n"/>
      <c r="O119" s="11" t="n"/>
    </row>
    <row r="120" ht="22" customHeight="1">
      <c r="B120" s="15" t="n"/>
      <c r="C120" s="15" t="n"/>
      <c r="D120" s="17" t="n"/>
      <c r="E120" s="18" t="n"/>
      <c r="F120" s="18" t="n"/>
      <c r="G120" s="17" t="n"/>
      <c r="H120" s="17">
        <f>IFERROR(D120-G120,0)</f>
        <v/>
      </c>
      <c r="I120" s="15">
        <f>IF(G120&gt;=D120,"Paid",IF(G120&gt;0,"Partial","Unpaid"))</f>
        <v/>
      </c>
      <c r="J120" s="16">
        <f>IFERROR(IF(I120="Unpaid",MAX(0,TODAY()-E120),IF(I120="Partial",MAX(0,TODAY()-E120),0)),0)</f>
        <v/>
      </c>
      <c r="K120" s="17">
        <f>IFERROR(IF(J120&gt;0,MIN(D120*0.05,500),0),0)</f>
        <v/>
      </c>
      <c r="L120" s="17">
        <f>IFERROR(D120+K120,0)</f>
        <v/>
      </c>
      <c r="M120" s="15" t="n"/>
      <c r="N120" s="15" t="n"/>
      <c r="O120" s="15" t="n"/>
    </row>
    <row r="121" ht="22" customHeight="1">
      <c r="B121" s="11" t="n"/>
      <c r="C121" s="11" t="n"/>
      <c r="D121" s="13" t="n"/>
      <c r="E121" s="14" t="n"/>
      <c r="F121" s="14" t="n"/>
      <c r="G121" s="13" t="n"/>
      <c r="H121" s="13">
        <f>IFERROR(D121-G121,0)</f>
        <v/>
      </c>
      <c r="I121" s="11">
        <f>IF(G121&gt;=D121,"Paid",IF(G121&gt;0,"Partial","Unpaid"))</f>
        <v/>
      </c>
      <c r="J121" s="12">
        <f>IFERROR(IF(I121="Unpaid",MAX(0,TODAY()-E121),IF(I121="Partial",MAX(0,TODAY()-E121),0)),0)</f>
        <v/>
      </c>
      <c r="K121" s="13">
        <f>IFERROR(IF(J121&gt;0,MIN(D121*0.05,500),0),0)</f>
        <v/>
      </c>
      <c r="L121" s="13">
        <f>IFERROR(D121+K121,0)</f>
        <v/>
      </c>
      <c r="M121" s="11" t="n"/>
      <c r="N121" s="11" t="n"/>
      <c r="O121" s="11" t="n"/>
    </row>
    <row r="122" ht="22" customHeight="1">
      <c r="B122" s="15" t="n"/>
      <c r="C122" s="15" t="n"/>
      <c r="D122" s="17" t="n"/>
      <c r="E122" s="18" t="n"/>
      <c r="F122" s="18" t="n"/>
      <c r="G122" s="17" t="n"/>
      <c r="H122" s="17">
        <f>IFERROR(D122-G122,0)</f>
        <v/>
      </c>
      <c r="I122" s="15">
        <f>IF(G122&gt;=D122,"Paid",IF(G122&gt;0,"Partial","Unpaid"))</f>
        <v/>
      </c>
      <c r="J122" s="16">
        <f>IFERROR(IF(I122="Unpaid",MAX(0,TODAY()-E122),IF(I122="Partial",MAX(0,TODAY()-E122),0)),0)</f>
        <v/>
      </c>
      <c r="K122" s="17">
        <f>IFERROR(IF(J122&gt;0,MIN(D122*0.05,500),0),0)</f>
        <v/>
      </c>
      <c r="L122" s="17">
        <f>IFERROR(D122+K122,0)</f>
        <v/>
      </c>
      <c r="M122" s="15" t="n"/>
      <c r="N122" s="15" t="n"/>
      <c r="O122" s="15" t="n"/>
    </row>
    <row r="123" ht="22" customHeight="1">
      <c r="B123" s="11" t="n"/>
      <c r="C123" s="11" t="n"/>
      <c r="D123" s="13" t="n"/>
      <c r="E123" s="14" t="n"/>
      <c r="F123" s="14" t="n"/>
      <c r="G123" s="13" t="n"/>
      <c r="H123" s="13">
        <f>IFERROR(D123-G123,0)</f>
        <v/>
      </c>
      <c r="I123" s="11">
        <f>IF(G123&gt;=D123,"Paid",IF(G123&gt;0,"Partial","Unpaid"))</f>
        <v/>
      </c>
      <c r="J123" s="12">
        <f>IFERROR(IF(I123="Unpaid",MAX(0,TODAY()-E123),IF(I123="Partial",MAX(0,TODAY()-E123),0)),0)</f>
        <v/>
      </c>
      <c r="K123" s="13">
        <f>IFERROR(IF(J123&gt;0,MIN(D123*0.05,500),0),0)</f>
        <v/>
      </c>
      <c r="L123" s="13">
        <f>IFERROR(D123+K123,0)</f>
        <v/>
      </c>
      <c r="M123" s="11" t="n"/>
      <c r="N123" s="11" t="n"/>
      <c r="O123" s="11" t="n"/>
    </row>
    <row r="124" ht="22" customHeight="1">
      <c r="B124" s="15" t="n"/>
      <c r="C124" s="15" t="n"/>
      <c r="D124" s="17" t="n"/>
      <c r="E124" s="18" t="n"/>
      <c r="F124" s="18" t="n"/>
      <c r="G124" s="17" t="n"/>
      <c r="H124" s="17">
        <f>IFERROR(D124-G124,0)</f>
        <v/>
      </c>
      <c r="I124" s="15">
        <f>IF(G124&gt;=D124,"Paid",IF(G124&gt;0,"Partial","Unpaid"))</f>
        <v/>
      </c>
      <c r="J124" s="16">
        <f>IFERROR(IF(I124="Unpaid",MAX(0,TODAY()-E124),IF(I124="Partial",MAX(0,TODAY()-E124),0)),0)</f>
        <v/>
      </c>
      <c r="K124" s="17">
        <f>IFERROR(IF(J124&gt;0,MIN(D124*0.05,500),0),0)</f>
        <v/>
      </c>
      <c r="L124" s="17">
        <f>IFERROR(D124+K124,0)</f>
        <v/>
      </c>
      <c r="M124" s="15" t="n"/>
      <c r="N124" s="15" t="n"/>
      <c r="O124" s="15" t="n"/>
    </row>
    <row r="125" ht="22" customHeight="1">
      <c r="B125" s="11" t="n"/>
      <c r="C125" s="11" t="n"/>
      <c r="D125" s="13" t="n"/>
      <c r="E125" s="14" t="n"/>
      <c r="F125" s="14" t="n"/>
      <c r="G125" s="13" t="n"/>
      <c r="H125" s="13">
        <f>IFERROR(D125-G125,0)</f>
        <v/>
      </c>
      <c r="I125" s="11">
        <f>IF(G125&gt;=D125,"Paid",IF(G125&gt;0,"Partial","Unpaid"))</f>
        <v/>
      </c>
      <c r="J125" s="12">
        <f>IFERROR(IF(I125="Unpaid",MAX(0,TODAY()-E125),IF(I125="Partial",MAX(0,TODAY()-E125),0)),0)</f>
        <v/>
      </c>
      <c r="K125" s="13">
        <f>IFERROR(IF(J125&gt;0,MIN(D125*0.05,500),0),0)</f>
        <v/>
      </c>
      <c r="L125" s="13">
        <f>IFERROR(D125+K125,0)</f>
        <v/>
      </c>
      <c r="M125" s="11" t="n"/>
      <c r="N125" s="11" t="n"/>
      <c r="O125" s="11" t="n"/>
    </row>
    <row r="126" ht="22" customHeight="1">
      <c r="B126" s="15" t="n"/>
      <c r="C126" s="15" t="n"/>
      <c r="D126" s="17" t="n"/>
      <c r="E126" s="18" t="n"/>
      <c r="F126" s="18" t="n"/>
      <c r="G126" s="17" t="n"/>
      <c r="H126" s="17">
        <f>IFERROR(D126-G126,0)</f>
        <v/>
      </c>
      <c r="I126" s="15">
        <f>IF(G126&gt;=D126,"Paid",IF(G126&gt;0,"Partial","Unpaid"))</f>
        <v/>
      </c>
      <c r="J126" s="16">
        <f>IFERROR(IF(I126="Unpaid",MAX(0,TODAY()-E126),IF(I126="Partial",MAX(0,TODAY()-E126),0)),0)</f>
        <v/>
      </c>
      <c r="K126" s="17">
        <f>IFERROR(IF(J126&gt;0,MIN(D126*0.05,500),0),0)</f>
        <v/>
      </c>
      <c r="L126" s="17">
        <f>IFERROR(D126+K126,0)</f>
        <v/>
      </c>
      <c r="M126" s="15" t="n"/>
      <c r="N126" s="15" t="n"/>
      <c r="O126" s="15" t="n"/>
    </row>
    <row r="127" ht="22" customHeight="1">
      <c r="B127" s="11" t="n"/>
      <c r="C127" s="11" t="n"/>
      <c r="D127" s="13" t="n"/>
      <c r="E127" s="14" t="n"/>
      <c r="F127" s="14" t="n"/>
      <c r="G127" s="13" t="n"/>
      <c r="H127" s="13">
        <f>IFERROR(D127-G127,0)</f>
        <v/>
      </c>
      <c r="I127" s="11">
        <f>IF(G127&gt;=D127,"Paid",IF(G127&gt;0,"Partial","Unpaid"))</f>
        <v/>
      </c>
      <c r="J127" s="12">
        <f>IFERROR(IF(I127="Unpaid",MAX(0,TODAY()-E127),IF(I127="Partial",MAX(0,TODAY()-E127),0)),0)</f>
        <v/>
      </c>
      <c r="K127" s="13">
        <f>IFERROR(IF(J127&gt;0,MIN(D127*0.05,500),0),0)</f>
        <v/>
      </c>
      <c r="L127" s="13">
        <f>IFERROR(D127+K127,0)</f>
        <v/>
      </c>
      <c r="M127" s="11" t="n"/>
      <c r="N127" s="11" t="n"/>
      <c r="O127" s="11" t="n"/>
    </row>
    <row r="128" ht="22" customHeight="1">
      <c r="B128" s="15" t="n"/>
      <c r="C128" s="15" t="n"/>
      <c r="D128" s="17" t="n"/>
      <c r="E128" s="18" t="n"/>
      <c r="F128" s="18" t="n"/>
      <c r="G128" s="17" t="n"/>
      <c r="H128" s="17">
        <f>IFERROR(D128-G128,0)</f>
        <v/>
      </c>
      <c r="I128" s="15">
        <f>IF(G128&gt;=D128,"Paid",IF(G128&gt;0,"Partial","Unpaid"))</f>
        <v/>
      </c>
      <c r="J128" s="16">
        <f>IFERROR(IF(I128="Unpaid",MAX(0,TODAY()-E128),IF(I128="Partial",MAX(0,TODAY()-E128),0)),0)</f>
        <v/>
      </c>
      <c r="K128" s="17">
        <f>IFERROR(IF(J128&gt;0,MIN(D128*0.05,500),0),0)</f>
        <v/>
      </c>
      <c r="L128" s="17">
        <f>IFERROR(D128+K128,0)</f>
        <v/>
      </c>
      <c r="M128" s="15" t="n"/>
      <c r="N128" s="15" t="n"/>
      <c r="O128" s="15" t="n"/>
    </row>
    <row r="129" ht="22" customHeight="1">
      <c r="B129" s="11" t="n"/>
      <c r="C129" s="11" t="n"/>
      <c r="D129" s="13" t="n"/>
      <c r="E129" s="14" t="n"/>
      <c r="F129" s="14" t="n"/>
      <c r="G129" s="13" t="n"/>
      <c r="H129" s="13">
        <f>IFERROR(D129-G129,0)</f>
        <v/>
      </c>
      <c r="I129" s="11">
        <f>IF(G129&gt;=D129,"Paid",IF(G129&gt;0,"Partial","Unpaid"))</f>
        <v/>
      </c>
      <c r="J129" s="12">
        <f>IFERROR(IF(I129="Unpaid",MAX(0,TODAY()-E129),IF(I129="Partial",MAX(0,TODAY()-E129),0)),0)</f>
        <v/>
      </c>
      <c r="K129" s="13">
        <f>IFERROR(IF(J129&gt;0,MIN(D129*0.05,500),0),0)</f>
        <v/>
      </c>
      <c r="L129" s="13">
        <f>IFERROR(D129+K129,0)</f>
        <v/>
      </c>
      <c r="M129" s="11" t="n"/>
      <c r="N129" s="11" t="n"/>
      <c r="O129" s="11" t="n"/>
    </row>
    <row r="130" ht="22" customHeight="1">
      <c r="B130" s="15" t="n"/>
      <c r="C130" s="15" t="n"/>
      <c r="D130" s="17" t="n"/>
      <c r="E130" s="18" t="n"/>
      <c r="F130" s="18" t="n"/>
      <c r="G130" s="17" t="n"/>
      <c r="H130" s="17">
        <f>IFERROR(D130-G130,0)</f>
        <v/>
      </c>
      <c r="I130" s="15">
        <f>IF(G130&gt;=D130,"Paid",IF(G130&gt;0,"Partial","Unpaid"))</f>
        <v/>
      </c>
      <c r="J130" s="16">
        <f>IFERROR(IF(I130="Unpaid",MAX(0,TODAY()-E130),IF(I130="Partial",MAX(0,TODAY()-E130),0)),0)</f>
        <v/>
      </c>
      <c r="K130" s="17">
        <f>IFERROR(IF(J130&gt;0,MIN(D130*0.05,500),0),0)</f>
        <v/>
      </c>
      <c r="L130" s="17">
        <f>IFERROR(D130+K130,0)</f>
        <v/>
      </c>
      <c r="M130" s="15" t="n"/>
      <c r="N130" s="15" t="n"/>
      <c r="O130" s="15" t="n"/>
    </row>
    <row r="131" ht="22" customHeight="1">
      <c r="B131" s="11" t="n"/>
      <c r="C131" s="11" t="n"/>
      <c r="D131" s="13" t="n"/>
      <c r="E131" s="14" t="n"/>
      <c r="F131" s="14" t="n"/>
      <c r="G131" s="13" t="n"/>
      <c r="H131" s="13">
        <f>IFERROR(D131-G131,0)</f>
        <v/>
      </c>
      <c r="I131" s="11">
        <f>IF(G131&gt;=D131,"Paid",IF(G131&gt;0,"Partial","Unpaid"))</f>
        <v/>
      </c>
      <c r="J131" s="12">
        <f>IFERROR(IF(I131="Unpaid",MAX(0,TODAY()-E131),IF(I131="Partial",MAX(0,TODAY()-E131),0)),0)</f>
        <v/>
      </c>
      <c r="K131" s="13">
        <f>IFERROR(IF(J131&gt;0,MIN(D131*0.05,500),0),0)</f>
        <v/>
      </c>
      <c r="L131" s="13">
        <f>IFERROR(D131+K131,0)</f>
        <v/>
      </c>
      <c r="M131" s="11" t="n"/>
      <c r="N131" s="11" t="n"/>
      <c r="O131" s="11" t="n"/>
    </row>
    <row r="132" ht="22" customHeight="1">
      <c r="B132" s="15" t="n"/>
      <c r="C132" s="15" t="n"/>
      <c r="D132" s="17" t="n"/>
      <c r="E132" s="18" t="n"/>
      <c r="F132" s="18" t="n"/>
      <c r="G132" s="17" t="n"/>
      <c r="H132" s="17">
        <f>IFERROR(D132-G132,0)</f>
        <v/>
      </c>
      <c r="I132" s="15">
        <f>IF(G132&gt;=D132,"Paid",IF(G132&gt;0,"Partial","Unpaid"))</f>
        <v/>
      </c>
      <c r="J132" s="16">
        <f>IFERROR(IF(I132="Unpaid",MAX(0,TODAY()-E132),IF(I132="Partial",MAX(0,TODAY()-E132),0)),0)</f>
        <v/>
      </c>
      <c r="K132" s="17">
        <f>IFERROR(IF(J132&gt;0,MIN(D132*0.05,500),0),0)</f>
        <v/>
      </c>
      <c r="L132" s="17">
        <f>IFERROR(D132+K132,0)</f>
        <v/>
      </c>
      <c r="M132" s="15" t="n"/>
      <c r="N132" s="15" t="n"/>
      <c r="O132" s="15" t="n"/>
    </row>
    <row r="133" ht="22" customHeight="1">
      <c r="B133" s="11" t="n"/>
      <c r="C133" s="11" t="n"/>
      <c r="D133" s="13" t="n"/>
      <c r="E133" s="14" t="n"/>
      <c r="F133" s="14" t="n"/>
      <c r="G133" s="13" t="n"/>
      <c r="H133" s="13">
        <f>IFERROR(D133-G133,0)</f>
        <v/>
      </c>
      <c r="I133" s="11">
        <f>IF(G133&gt;=D133,"Paid",IF(G133&gt;0,"Partial","Unpaid"))</f>
        <v/>
      </c>
      <c r="J133" s="12">
        <f>IFERROR(IF(I133="Unpaid",MAX(0,TODAY()-E133),IF(I133="Partial",MAX(0,TODAY()-E133),0)),0)</f>
        <v/>
      </c>
      <c r="K133" s="13">
        <f>IFERROR(IF(J133&gt;0,MIN(D133*0.05,500),0),0)</f>
        <v/>
      </c>
      <c r="L133" s="13">
        <f>IFERROR(D133+K133,0)</f>
        <v/>
      </c>
      <c r="M133" s="11" t="n"/>
      <c r="N133" s="11" t="n"/>
      <c r="O133" s="11" t="n"/>
    </row>
    <row r="134" ht="22" customHeight="1">
      <c r="B134" s="15" t="n"/>
      <c r="C134" s="15" t="n"/>
      <c r="D134" s="17" t="n"/>
      <c r="E134" s="18" t="n"/>
      <c r="F134" s="18" t="n"/>
      <c r="G134" s="17" t="n"/>
      <c r="H134" s="17">
        <f>IFERROR(D134-G134,0)</f>
        <v/>
      </c>
      <c r="I134" s="15">
        <f>IF(G134&gt;=D134,"Paid",IF(G134&gt;0,"Partial","Unpaid"))</f>
        <v/>
      </c>
      <c r="J134" s="16">
        <f>IFERROR(IF(I134="Unpaid",MAX(0,TODAY()-E134),IF(I134="Partial",MAX(0,TODAY()-E134),0)),0)</f>
        <v/>
      </c>
      <c r="K134" s="17">
        <f>IFERROR(IF(J134&gt;0,MIN(D134*0.05,500),0),0)</f>
        <v/>
      </c>
      <c r="L134" s="17">
        <f>IFERROR(D134+K134,0)</f>
        <v/>
      </c>
      <c r="M134" s="15" t="n"/>
      <c r="N134" s="15" t="n"/>
      <c r="O134" s="15" t="n"/>
    </row>
    <row r="135" ht="22" customHeight="1">
      <c r="B135" s="11" t="n"/>
      <c r="C135" s="11" t="n"/>
      <c r="D135" s="13" t="n"/>
      <c r="E135" s="14" t="n"/>
      <c r="F135" s="14" t="n"/>
      <c r="G135" s="13" t="n"/>
      <c r="H135" s="13">
        <f>IFERROR(D135-G135,0)</f>
        <v/>
      </c>
      <c r="I135" s="11">
        <f>IF(G135&gt;=D135,"Paid",IF(G135&gt;0,"Partial","Unpaid"))</f>
        <v/>
      </c>
      <c r="J135" s="12">
        <f>IFERROR(IF(I135="Unpaid",MAX(0,TODAY()-E135),IF(I135="Partial",MAX(0,TODAY()-E135),0)),0)</f>
        <v/>
      </c>
      <c r="K135" s="13">
        <f>IFERROR(IF(J135&gt;0,MIN(D135*0.05,500),0),0)</f>
        <v/>
      </c>
      <c r="L135" s="13">
        <f>IFERROR(D135+K135,0)</f>
        <v/>
      </c>
      <c r="M135" s="11" t="n"/>
      <c r="N135" s="11" t="n"/>
      <c r="O135" s="11" t="n"/>
    </row>
    <row r="136" ht="22" customHeight="1">
      <c r="B136" s="15" t="n"/>
      <c r="C136" s="15" t="n"/>
      <c r="D136" s="17" t="n"/>
      <c r="E136" s="18" t="n"/>
      <c r="F136" s="18" t="n"/>
      <c r="G136" s="17" t="n"/>
      <c r="H136" s="17">
        <f>IFERROR(D136-G136,0)</f>
        <v/>
      </c>
      <c r="I136" s="15">
        <f>IF(G136&gt;=D136,"Paid",IF(G136&gt;0,"Partial","Unpaid"))</f>
        <v/>
      </c>
      <c r="J136" s="16">
        <f>IFERROR(IF(I136="Unpaid",MAX(0,TODAY()-E136),IF(I136="Partial",MAX(0,TODAY()-E136),0)),0)</f>
        <v/>
      </c>
      <c r="K136" s="17">
        <f>IFERROR(IF(J136&gt;0,MIN(D136*0.05,500),0),0)</f>
        <v/>
      </c>
      <c r="L136" s="17">
        <f>IFERROR(D136+K136,0)</f>
        <v/>
      </c>
      <c r="M136" s="15" t="n"/>
      <c r="N136" s="15" t="n"/>
      <c r="O136" s="15" t="n"/>
    </row>
    <row r="137" ht="22" customHeight="1">
      <c r="B137" s="11" t="n"/>
      <c r="C137" s="11" t="n"/>
      <c r="D137" s="13" t="n"/>
      <c r="E137" s="14" t="n"/>
      <c r="F137" s="14" t="n"/>
      <c r="G137" s="13" t="n"/>
      <c r="H137" s="13">
        <f>IFERROR(D137-G137,0)</f>
        <v/>
      </c>
      <c r="I137" s="11">
        <f>IF(G137&gt;=D137,"Paid",IF(G137&gt;0,"Partial","Unpaid"))</f>
        <v/>
      </c>
      <c r="J137" s="12">
        <f>IFERROR(IF(I137="Unpaid",MAX(0,TODAY()-E137),IF(I137="Partial",MAX(0,TODAY()-E137),0)),0)</f>
        <v/>
      </c>
      <c r="K137" s="13">
        <f>IFERROR(IF(J137&gt;0,MIN(D137*0.05,500),0),0)</f>
        <v/>
      </c>
      <c r="L137" s="13">
        <f>IFERROR(D137+K137,0)</f>
        <v/>
      </c>
      <c r="M137" s="11" t="n"/>
      <c r="N137" s="11" t="n"/>
      <c r="O137" s="11" t="n"/>
    </row>
    <row r="138" ht="22" customHeight="1">
      <c r="B138" s="15" t="n"/>
      <c r="C138" s="15" t="n"/>
      <c r="D138" s="17" t="n"/>
      <c r="E138" s="18" t="n"/>
      <c r="F138" s="18" t="n"/>
      <c r="G138" s="17" t="n"/>
      <c r="H138" s="17">
        <f>IFERROR(D138-G138,0)</f>
        <v/>
      </c>
      <c r="I138" s="15">
        <f>IF(G138&gt;=D138,"Paid",IF(G138&gt;0,"Partial","Unpaid"))</f>
        <v/>
      </c>
      <c r="J138" s="16">
        <f>IFERROR(IF(I138="Unpaid",MAX(0,TODAY()-E138),IF(I138="Partial",MAX(0,TODAY()-E138),0)),0)</f>
        <v/>
      </c>
      <c r="K138" s="17">
        <f>IFERROR(IF(J138&gt;0,MIN(D138*0.05,500),0),0)</f>
        <v/>
      </c>
      <c r="L138" s="17">
        <f>IFERROR(D138+K138,0)</f>
        <v/>
      </c>
      <c r="M138" s="15" t="n"/>
      <c r="N138" s="15" t="n"/>
      <c r="O138" s="15" t="n"/>
    </row>
    <row r="139" ht="22" customHeight="1">
      <c r="B139" s="11" t="n"/>
      <c r="C139" s="11" t="n"/>
      <c r="D139" s="13" t="n"/>
      <c r="E139" s="14" t="n"/>
      <c r="F139" s="14" t="n"/>
      <c r="G139" s="13" t="n"/>
      <c r="H139" s="13">
        <f>IFERROR(D139-G139,0)</f>
        <v/>
      </c>
      <c r="I139" s="11">
        <f>IF(G139&gt;=D139,"Paid",IF(G139&gt;0,"Partial","Unpaid"))</f>
        <v/>
      </c>
      <c r="J139" s="12">
        <f>IFERROR(IF(I139="Unpaid",MAX(0,TODAY()-E139),IF(I139="Partial",MAX(0,TODAY()-E139),0)),0)</f>
        <v/>
      </c>
      <c r="K139" s="13">
        <f>IFERROR(IF(J139&gt;0,MIN(D139*0.05,500),0),0)</f>
        <v/>
      </c>
      <c r="L139" s="13">
        <f>IFERROR(D139+K139,0)</f>
        <v/>
      </c>
      <c r="M139" s="11" t="n"/>
      <c r="N139" s="11" t="n"/>
      <c r="O139" s="11" t="n"/>
    </row>
    <row r="140" ht="22" customHeight="1">
      <c r="B140" s="15" t="n"/>
      <c r="C140" s="15" t="n"/>
      <c r="D140" s="17" t="n"/>
      <c r="E140" s="18" t="n"/>
      <c r="F140" s="18" t="n"/>
      <c r="G140" s="17" t="n"/>
      <c r="H140" s="17">
        <f>IFERROR(D140-G140,0)</f>
        <v/>
      </c>
      <c r="I140" s="15">
        <f>IF(G140&gt;=D140,"Paid",IF(G140&gt;0,"Partial","Unpaid"))</f>
        <v/>
      </c>
      <c r="J140" s="16">
        <f>IFERROR(IF(I140="Unpaid",MAX(0,TODAY()-E140),IF(I140="Partial",MAX(0,TODAY()-E140),0)),0)</f>
        <v/>
      </c>
      <c r="K140" s="17">
        <f>IFERROR(IF(J140&gt;0,MIN(D140*0.05,500),0),0)</f>
        <v/>
      </c>
      <c r="L140" s="17">
        <f>IFERROR(D140+K140,0)</f>
        <v/>
      </c>
      <c r="M140" s="15" t="n"/>
      <c r="N140" s="15" t="n"/>
      <c r="O140" s="15" t="n"/>
    </row>
    <row r="141" ht="22" customHeight="1">
      <c r="B141" s="11" t="n"/>
      <c r="C141" s="11" t="n"/>
      <c r="D141" s="13" t="n"/>
      <c r="E141" s="14" t="n"/>
      <c r="F141" s="14" t="n"/>
      <c r="G141" s="13" t="n"/>
      <c r="H141" s="13">
        <f>IFERROR(D141-G141,0)</f>
        <v/>
      </c>
      <c r="I141" s="11">
        <f>IF(G141&gt;=D141,"Paid",IF(G141&gt;0,"Partial","Unpaid"))</f>
        <v/>
      </c>
      <c r="J141" s="12">
        <f>IFERROR(IF(I141="Unpaid",MAX(0,TODAY()-E141),IF(I141="Partial",MAX(0,TODAY()-E141),0)),0)</f>
        <v/>
      </c>
      <c r="K141" s="13">
        <f>IFERROR(IF(J141&gt;0,MIN(D141*0.05,500),0),0)</f>
        <v/>
      </c>
      <c r="L141" s="13">
        <f>IFERROR(D141+K141,0)</f>
        <v/>
      </c>
      <c r="M141" s="11" t="n"/>
      <c r="N141" s="11" t="n"/>
      <c r="O141" s="11" t="n"/>
    </row>
    <row r="142" ht="22" customHeight="1">
      <c r="B142" s="15" t="n"/>
      <c r="C142" s="15" t="n"/>
      <c r="D142" s="17" t="n"/>
      <c r="E142" s="18" t="n"/>
      <c r="F142" s="18" t="n"/>
      <c r="G142" s="17" t="n"/>
      <c r="H142" s="17">
        <f>IFERROR(D142-G142,0)</f>
        <v/>
      </c>
      <c r="I142" s="15">
        <f>IF(G142&gt;=D142,"Paid",IF(G142&gt;0,"Partial","Unpaid"))</f>
        <v/>
      </c>
      <c r="J142" s="16">
        <f>IFERROR(IF(I142="Unpaid",MAX(0,TODAY()-E142),IF(I142="Partial",MAX(0,TODAY()-E142),0)),0)</f>
        <v/>
      </c>
      <c r="K142" s="17">
        <f>IFERROR(IF(J142&gt;0,MIN(D142*0.05,500),0),0)</f>
        <v/>
      </c>
      <c r="L142" s="17">
        <f>IFERROR(D142+K142,0)</f>
        <v/>
      </c>
      <c r="M142" s="15" t="n"/>
      <c r="N142" s="15" t="n"/>
      <c r="O142" s="15" t="n"/>
    </row>
    <row r="143" ht="22" customHeight="1">
      <c r="B143" s="11" t="n"/>
      <c r="C143" s="11" t="n"/>
      <c r="D143" s="13" t="n"/>
      <c r="E143" s="14" t="n"/>
      <c r="F143" s="14" t="n"/>
      <c r="G143" s="13" t="n"/>
      <c r="H143" s="13">
        <f>IFERROR(D143-G143,0)</f>
        <v/>
      </c>
      <c r="I143" s="11">
        <f>IF(G143&gt;=D143,"Paid",IF(G143&gt;0,"Partial","Unpaid"))</f>
        <v/>
      </c>
      <c r="J143" s="12">
        <f>IFERROR(IF(I143="Unpaid",MAX(0,TODAY()-E143),IF(I143="Partial",MAX(0,TODAY()-E143),0)),0)</f>
        <v/>
      </c>
      <c r="K143" s="13">
        <f>IFERROR(IF(J143&gt;0,MIN(D143*0.05,500),0),0)</f>
        <v/>
      </c>
      <c r="L143" s="13">
        <f>IFERROR(D143+K143,0)</f>
        <v/>
      </c>
      <c r="M143" s="11" t="n"/>
      <c r="N143" s="11" t="n"/>
      <c r="O143" s="11" t="n"/>
    </row>
    <row r="144" ht="22" customHeight="1">
      <c r="B144" s="15" t="n"/>
      <c r="C144" s="15" t="n"/>
      <c r="D144" s="17" t="n"/>
      <c r="E144" s="18" t="n"/>
      <c r="F144" s="18" t="n"/>
      <c r="G144" s="17" t="n"/>
      <c r="H144" s="17">
        <f>IFERROR(D144-G144,0)</f>
        <v/>
      </c>
      <c r="I144" s="15">
        <f>IF(G144&gt;=D144,"Paid",IF(G144&gt;0,"Partial","Unpaid"))</f>
        <v/>
      </c>
      <c r="J144" s="16">
        <f>IFERROR(IF(I144="Unpaid",MAX(0,TODAY()-E144),IF(I144="Partial",MAX(0,TODAY()-E144),0)),0)</f>
        <v/>
      </c>
      <c r="K144" s="17">
        <f>IFERROR(IF(J144&gt;0,MIN(D144*0.05,500),0),0)</f>
        <v/>
      </c>
      <c r="L144" s="17">
        <f>IFERROR(D144+K144,0)</f>
        <v/>
      </c>
      <c r="M144" s="15" t="n"/>
      <c r="N144" s="15" t="n"/>
      <c r="O144" s="15" t="n"/>
    </row>
    <row r="145" ht="22" customHeight="1">
      <c r="B145" s="11" t="n"/>
      <c r="C145" s="11" t="n"/>
      <c r="D145" s="13" t="n"/>
      <c r="E145" s="14" t="n"/>
      <c r="F145" s="14" t="n"/>
      <c r="G145" s="13" t="n"/>
      <c r="H145" s="13">
        <f>IFERROR(D145-G145,0)</f>
        <v/>
      </c>
      <c r="I145" s="11">
        <f>IF(G145&gt;=D145,"Paid",IF(G145&gt;0,"Partial","Unpaid"))</f>
        <v/>
      </c>
      <c r="J145" s="12">
        <f>IFERROR(IF(I145="Unpaid",MAX(0,TODAY()-E145),IF(I145="Partial",MAX(0,TODAY()-E145),0)),0)</f>
        <v/>
      </c>
      <c r="K145" s="13">
        <f>IFERROR(IF(J145&gt;0,MIN(D145*0.05,500),0),0)</f>
        <v/>
      </c>
      <c r="L145" s="13">
        <f>IFERROR(D145+K145,0)</f>
        <v/>
      </c>
      <c r="M145" s="11" t="n"/>
      <c r="N145" s="11" t="n"/>
      <c r="O145" s="11" t="n"/>
    </row>
    <row r="146" ht="22" customHeight="1">
      <c r="B146" s="15" t="n"/>
      <c r="C146" s="15" t="n"/>
      <c r="D146" s="17" t="n"/>
      <c r="E146" s="18" t="n"/>
      <c r="F146" s="18" t="n"/>
      <c r="G146" s="17" t="n"/>
      <c r="H146" s="17">
        <f>IFERROR(D146-G146,0)</f>
        <v/>
      </c>
      <c r="I146" s="15">
        <f>IF(G146&gt;=D146,"Paid",IF(G146&gt;0,"Partial","Unpaid"))</f>
        <v/>
      </c>
      <c r="J146" s="16">
        <f>IFERROR(IF(I146="Unpaid",MAX(0,TODAY()-E146),IF(I146="Partial",MAX(0,TODAY()-E146),0)),0)</f>
        <v/>
      </c>
      <c r="K146" s="17">
        <f>IFERROR(IF(J146&gt;0,MIN(D146*0.05,500),0),0)</f>
        <v/>
      </c>
      <c r="L146" s="17">
        <f>IFERROR(D146+K146,0)</f>
        <v/>
      </c>
      <c r="M146" s="15" t="n"/>
      <c r="N146" s="15" t="n"/>
      <c r="O146" s="15" t="n"/>
    </row>
    <row r="147" ht="22" customHeight="1">
      <c r="B147" s="11" t="n"/>
      <c r="C147" s="11" t="n"/>
      <c r="D147" s="13" t="n"/>
      <c r="E147" s="14" t="n"/>
      <c r="F147" s="14" t="n"/>
      <c r="G147" s="13" t="n"/>
      <c r="H147" s="13">
        <f>IFERROR(D147-G147,0)</f>
        <v/>
      </c>
      <c r="I147" s="11">
        <f>IF(G147&gt;=D147,"Paid",IF(G147&gt;0,"Partial","Unpaid"))</f>
        <v/>
      </c>
      <c r="J147" s="12">
        <f>IFERROR(IF(I147="Unpaid",MAX(0,TODAY()-E147),IF(I147="Partial",MAX(0,TODAY()-E147),0)),0)</f>
        <v/>
      </c>
      <c r="K147" s="13">
        <f>IFERROR(IF(J147&gt;0,MIN(D147*0.05,500),0),0)</f>
        <v/>
      </c>
      <c r="L147" s="13">
        <f>IFERROR(D147+K147,0)</f>
        <v/>
      </c>
      <c r="M147" s="11" t="n"/>
      <c r="N147" s="11" t="n"/>
      <c r="O147" s="11" t="n"/>
    </row>
    <row r="148" ht="22" customHeight="1">
      <c r="B148" s="15" t="n"/>
      <c r="C148" s="15" t="n"/>
      <c r="D148" s="17" t="n"/>
      <c r="E148" s="18" t="n"/>
      <c r="F148" s="18" t="n"/>
      <c r="G148" s="17" t="n"/>
      <c r="H148" s="17">
        <f>IFERROR(D148-G148,0)</f>
        <v/>
      </c>
      <c r="I148" s="15">
        <f>IF(G148&gt;=D148,"Paid",IF(G148&gt;0,"Partial","Unpaid"))</f>
        <v/>
      </c>
      <c r="J148" s="16">
        <f>IFERROR(IF(I148="Unpaid",MAX(0,TODAY()-E148),IF(I148="Partial",MAX(0,TODAY()-E148),0)),0)</f>
        <v/>
      </c>
      <c r="K148" s="17">
        <f>IFERROR(IF(J148&gt;0,MIN(D148*0.05,500),0),0)</f>
        <v/>
      </c>
      <c r="L148" s="17">
        <f>IFERROR(D148+K148,0)</f>
        <v/>
      </c>
      <c r="M148" s="15" t="n"/>
      <c r="N148" s="15" t="n"/>
      <c r="O148" s="15" t="n"/>
    </row>
    <row r="149" ht="22" customHeight="1">
      <c r="B149" s="11" t="n"/>
      <c r="C149" s="11" t="n"/>
      <c r="D149" s="13" t="n"/>
      <c r="E149" s="14" t="n"/>
      <c r="F149" s="14" t="n"/>
      <c r="G149" s="13" t="n"/>
      <c r="H149" s="13">
        <f>IFERROR(D149-G149,0)</f>
        <v/>
      </c>
      <c r="I149" s="11">
        <f>IF(G149&gt;=D149,"Paid",IF(G149&gt;0,"Partial","Unpaid"))</f>
        <v/>
      </c>
      <c r="J149" s="12">
        <f>IFERROR(IF(I149="Unpaid",MAX(0,TODAY()-E149),IF(I149="Partial",MAX(0,TODAY()-E149),0)),0)</f>
        <v/>
      </c>
      <c r="K149" s="13">
        <f>IFERROR(IF(J149&gt;0,MIN(D149*0.05,500),0),0)</f>
        <v/>
      </c>
      <c r="L149" s="13">
        <f>IFERROR(D149+K149,0)</f>
        <v/>
      </c>
      <c r="M149" s="11" t="n"/>
      <c r="N149" s="11" t="n"/>
      <c r="O149" s="11" t="n"/>
    </row>
    <row r="150" ht="22" customHeight="1">
      <c r="B150" s="15" t="n"/>
      <c r="C150" s="15" t="n"/>
      <c r="D150" s="17" t="n"/>
      <c r="E150" s="18" t="n"/>
      <c r="F150" s="18" t="n"/>
      <c r="G150" s="17" t="n"/>
      <c r="H150" s="17">
        <f>IFERROR(D150-G150,0)</f>
        <v/>
      </c>
      <c r="I150" s="15">
        <f>IF(G150&gt;=D150,"Paid",IF(G150&gt;0,"Partial","Unpaid"))</f>
        <v/>
      </c>
      <c r="J150" s="16">
        <f>IFERROR(IF(I150="Unpaid",MAX(0,TODAY()-E150),IF(I150="Partial",MAX(0,TODAY()-E150),0)),0)</f>
        <v/>
      </c>
      <c r="K150" s="17">
        <f>IFERROR(IF(J150&gt;0,MIN(D150*0.05,500),0),0)</f>
        <v/>
      </c>
      <c r="L150" s="17">
        <f>IFERROR(D150+K150,0)</f>
        <v/>
      </c>
      <c r="M150" s="15" t="n"/>
      <c r="N150" s="15" t="n"/>
      <c r="O150" s="15" t="n"/>
    </row>
    <row r="151" ht="22" customHeight="1">
      <c r="B151" s="11" t="n"/>
      <c r="C151" s="11" t="n"/>
      <c r="D151" s="13" t="n"/>
      <c r="E151" s="14" t="n"/>
      <c r="F151" s="14" t="n"/>
      <c r="G151" s="13" t="n"/>
      <c r="H151" s="13">
        <f>IFERROR(D151-G151,0)</f>
        <v/>
      </c>
      <c r="I151" s="11">
        <f>IF(G151&gt;=D151,"Paid",IF(G151&gt;0,"Partial","Unpaid"))</f>
        <v/>
      </c>
      <c r="J151" s="12">
        <f>IFERROR(IF(I151="Unpaid",MAX(0,TODAY()-E151),IF(I151="Partial",MAX(0,TODAY()-E151),0)),0)</f>
        <v/>
      </c>
      <c r="K151" s="13">
        <f>IFERROR(IF(J151&gt;0,MIN(D151*0.05,500),0),0)</f>
        <v/>
      </c>
      <c r="L151" s="13">
        <f>IFERROR(D151+K151,0)</f>
        <v/>
      </c>
      <c r="M151" s="11" t="n"/>
      <c r="N151" s="11" t="n"/>
      <c r="O151" s="11" t="n"/>
    </row>
    <row r="152" ht="22" customHeight="1">
      <c r="B152" s="15" t="n"/>
      <c r="C152" s="15" t="n"/>
      <c r="D152" s="17" t="n"/>
      <c r="E152" s="18" t="n"/>
      <c r="F152" s="18" t="n"/>
      <c r="G152" s="17" t="n"/>
      <c r="H152" s="17">
        <f>IFERROR(D152-G152,0)</f>
        <v/>
      </c>
      <c r="I152" s="15">
        <f>IF(G152&gt;=D152,"Paid",IF(G152&gt;0,"Partial","Unpaid"))</f>
        <v/>
      </c>
      <c r="J152" s="16">
        <f>IFERROR(IF(I152="Unpaid",MAX(0,TODAY()-E152),IF(I152="Partial",MAX(0,TODAY()-E152),0)),0)</f>
        <v/>
      </c>
      <c r="K152" s="17">
        <f>IFERROR(IF(J152&gt;0,MIN(D152*0.05,500),0),0)</f>
        <v/>
      </c>
      <c r="L152" s="17">
        <f>IFERROR(D152+K152,0)</f>
        <v/>
      </c>
      <c r="M152" s="15" t="n"/>
      <c r="N152" s="15" t="n"/>
      <c r="O152" s="15" t="n"/>
    </row>
    <row r="153" ht="22" customHeight="1">
      <c r="B153" s="11" t="n"/>
      <c r="C153" s="11" t="n"/>
      <c r="D153" s="13" t="n"/>
      <c r="E153" s="14" t="n"/>
      <c r="F153" s="14" t="n"/>
      <c r="G153" s="13" t="n"/>
      <c r="H153" s="13">
        <f>IFERROR(D153-G153,0)</f>
        <v/>
      </c>
      <c r="I153" s="11">
        <f>IF(G153&gt;=D153,"Paid",IF(G153&gt;0,"Partial","Unpaid"))</f>
        <v/>
      </c>
      <c r="J153" s="12">
        <f>IFERROR(IF(I153="Unpaid",MAX(0,TODAY()-E153),IF(I153="Partial",MAX(0,TODAY()-E153),0)),0)</f>
        <v/>
      </c>
      <c r="K153" s="13">
        <f>IFERROR(IF(J153&gt;0,MIN(D153*0.05,500),0),0)</f>
        <v/>
      </c>
      <c r="L153" s="13">
        <f>IFERROR(D153+K153,0)</f>
        <v/>
      </c>
      <c r="M153" s="11" t="n"/>
      <c r="N153" s="11" t="n"/>
      <c r="O153" s="11" t="n"/>
    </row>
    <row r="154" ht="22" customHeight="1">
      <c r="B154" s="15" t="n"/>
      <c r="C154" s="15" t="n"/>
      <c r="D154" s="17" t="n"/>
      <c r="E154" s="18" t="n"/>
      <c r="F154" s="18" t="n"/>
      <c r="G154" s="17" t="n"/>
      <c r="H154" s="17">
        <f>IFERROR(D154-G154,0)</f>
        <v/>
      </c>
      <c r="I154" s="15">
        <f>IF(G154&gt;=D154,"Paid",IF(G154&gt;0,"Partial","Unpaid"))</f>
        <v/>
      </c>
      <c r="J154" s="16">
        <f>IFERROR(IF(I154="Unpaid",MAX(0,TODAY()-E154),IF(I154="Partial",MAX(0,TODAY()-E154),0)),0)</f>
        <v/>
      </c>
      <c r="K154" s="17">
        <f>IFERROR(IF(J154&gt;0,MIN(D154*0.05,500),0),0)</f>
        <v/>
      </c>
      <c r="L154" s="17">
        <f>IFERROR(D154+K154,0)</f>
        <v/>
      </c>
      <c r="M154" s="15" t="n"/>
      <c r="N154" s="15" t="n"/>
      <c r="O154" s="15" t="n"/>
    </row>
    <row r="157">
      <c r="B157" s="22" t="inlineStr">
        <is>
          <t>COLLECTION SUMMARY</t>
        </is>
      </c>
    </row>
    <row r="158">
      <c r="B158" s="23" t="inlineStr">
        <is>
          <t>Total Expected Rent</t>
        </is>
      </c>
      <c r="C158" s="3" t="n"/>
      <c r="D158" s="24">
        <f>IFERROR(SUM(D5:D154),0)</f>
        <v/>
      </c>
      <c r="E158" s="3" t="n"/>
    </row>
    <row r="159">
      <c r="B159" s="23" t="inlineStr">
        <is>
          <t>Total Collected</t>
        </is>
      </c>
      <c r="C159" s="3" t="n"/>
      <c r="D159" s="24">
        <f>IFERROR(SUM(G5:G154),0)</f>
        <v/>
      </c>
      <c r="E159" s="3" t="n"/>
    </row>
    <row r="160">
      <c r="B160" s="23" t="inlineStr">
        <is>
          <t>Total Outstanding</t>
        </is>
      </c>
      <c r="C160" s="3" t="n"/>
      <c r="D160" s="24">
        <f>IFERROR(SUM(H5:H154),0)</f>
        <v/>
      </c>
      <c r="E160" s="3" t="n"/>
    </row>
    <row r="161">
      <c r="B161" s="23" t="inlineStr">
        <is>
          <t>Collection Rate %</t>
        </is>
      </c>
      <c r="C161" s="3" t="n"/>
      <c r="D161" s="25">
        <f>IFERROR(SUM(G5:G154)/SUM(D5:D154),0)</f>
        <v/>
      </c>
      <c r="E161" s="3" t="n"/>
    </row>
    <row r="162">
      <c r="B162" s="23" t="inlineStr">
        <is>
          <t># Paid</t>
        </is>
      </c>
      <c r="C162" s="3" t="n"/>
      <c r="D162" s="26">
        <f>IFERROR(COUNTIF(I5:I154,"Paid"),0)</f>
        <v/>
      </c>
      <c r="E162" s="3" t="n"/>
    </row>
    <row r="163">
      <c r="B163" s="23" t="inlineStr">
        <is>
          <t># Partial</t>
        </is>
      </c>
      <c r="C163" s="3" t="n"/>
      <c r="D163" s="26">
        <f>IFERROR(COUNTIF(I5:I154,"Partial"),0)</f>
        <v/>
      </c>
      <c r="E163" s="3" t="n"/>
    </row>
    <row r="164">
      <c r="B164" s="23" t="inlineStr">
        <is>
          <t># Unpaid</t>
        </is>
      </c>
      <c r="C164" s="3" t="n"/>
      <c r="D164" s="26">
        <f>IFERROR(COUNTIF(I5:I154,"Unpaid"),0)</f>
        <v/>
      </c>
      <c r="E164" s="3" t="n"/>
    </row>
  </sheetData>
  <mergeCells count="2">
    <mergeCell ref="B157:E157"/>
    <mergeCell ref="B2:N2"/>
  </mergeCells>
  <conditionalFormatting sqref="I5:I154">
    <cfRule type="cellIs" priority="1" operator="equal" dxfId="0">
      <formula>"Paid"</formula>
    </cfRule>
    <cfRule type="cellIs" priority="2" operator="equal" dxfId="2">
      <formula>"Partial"</formula>
    </cfRule>
    <cfRule type="cellIs" priority="3" operator="equal" dxfId="1">
      <formula>"Unpaid"</formula>
    </cfRule>
  </conditionalFormatting>
  <dataValidations count="1">
    <dataValidation sqref="L5:L154" showDropDown="0" showInputMessage="0" showErrorMessage="0" allowBlank="1" promptTitle="Payment Method" prompt="Select Payment Method" type="list">
      <formula1>"Cash,Bank Transfer,Cheque,Online"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L5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2" customWidth="1" min="3" max="3"/>
    <col width="16" customWidth="1" min="4" max="4"/>
    <col width="16" customWidth="1" min="5" max="5"/>
    <col width="14" customWidth="1" min="6" max="6"/>
    <col width="12" customWidth="1" min="7" max="7"/>
    <col width="14" customWidth="1" min="8" max="8"/>
    <col width="16" customWidth="1" min="9" max="9"/>
    <col width="12" customWidth="1" min="10" max="10"/>
    <col width="14" customWidth="1" min="11" max="11"/>
    <col width="24" customWidth="1" min="12" max="12"/>
  </cols>
  <sheetData>
    <row r="1" ht="15" customHeight="1"/>
    <row r="2" ht="32" customHeight="1">
      <c r="B2" s="1" t="inlineStr">
        <is>
          <t>Payment Alerts — Tenants Who Haven't Paid by the 5th</t>
        </is>
      </c>
    </row>
    <row r="3" ht="8" customHeight="1">
      <c r="B3" s="27" t="inlineStr">
        <is>
          <t>⚠ Fill this sheet by the 5th of each month. Contact all tenants listed here immediately.</t>
        </is>
      </c>
    </row>
    <row r="4" ht="28" customHeight="1">
      <c r="B4" s="28" t="inlineStr">
        <is>
          <t>Unit ID</t>
        </is>
      </c>
      <c r="C4" s="28" t="inlineStr">
        <is>
          <t>Tenant Name</t>
        </is>
      </c>
      <c r="D4" s="28" t="inlineStr">
        <is>
          <t>Phone</t>
        </is>
      </c>
      <c r="E4" s="28" t="inlineStr">
        <is>
          <t>Monthly Rent</t>
        </is>
      </c>
      <c r="F4" s="28" t="inlineStr">
        <is>
          <t>Due Date</t>
        </is>
      </c>
      <c r="G4" s="28" t="inlineStr">
        <is>
          <t>Days Late</t>
        </is>
      </c>
      <c r="H4" s="28" t="inlineStr">
        <is>
          <t>Late Fee</t>
        </is>
      </c>
      <c r="I4" s="28" t="inlineStr">
        <is>
          <t>Total Due</t>
        </is>
      </c>
      <c r="J4" s="28" t="inlineStr">
        <is>
          <t>SMS Sent?</t>
        </is>
      </c>
      <c r="K4" s="28" t="inlineStr">
        <is>
          <t>Follow-up Date</t>
        </is>
      </c>
      <c r="L4" s="28" t="inlineStr">
        <is>
          <t>Notes</t>
        </is>
      </c>
    </row>
    <row r="5" ht="22" customHeight="1">
      <c r="B5" s="11" t="n"/>
      <c r="C5" s="11" t="n"/>
      <c r="D5" s="11" t="n"/>
      <c r="E5" s="13" t="n"/>
      <c r="F5" s="14" t="n"/>
      <c r="G5" s="12" t="n"/>
      <c r="H5" s="11">
        <f>IFERROR(IF(G5&gt;0,MIN(E5*0.05,500),0),0)</f>
        <v/>
      </c>
      <c r="I5" s="13">
        <f>IFERROR(E5+H5,0)</f>
        <v/>
      </c>
      <c r="J5" s="11" t="n"/>
      <c r="K5" s="14" t="n"/>
      <c r="L5" s="11" t="n"/>
    </row>
    <row r="6" ht="22" customHeight="1">
      <c r="B6" s="15" t="n"/>
      <c r="C6" s="15" t="n"/>
      <c r="D6" s="15" t="n"/>
      <c r="E6" s="17" t="n"/>
      <c r="F6" s="18" t="n"/>
      <c r="G6" s="16" t="n"/>
      <c r="H6" s="15">
        <f>IFERROR(IF(G6&gt;0,MIN(E6*0.05,500),0),0)</f>
        <v/>
      </c>
      <c r="I6" s="17">
        <f>IFERROR(E6+H6,0)</f>
        <v/>
      </c>
      <c r="J6" s="15" t="n"/>
      <c r="K6" s="18" t="n"/>
      <c r="L6" s="15" t="n"/>
    </row>
    <row r="7" ht="22" customHeight="1">
      <c r="B7" s="11" t="n"/>
      <c r="C7" s="11" t="n"/>
      <c r="D7" s="11" t="n"/>
      <c r="E7" s="13" t="n"/>
      <c r="F7" s="14" t="n"/>
      <c r="G7" s="12" t="n"/>
      <c r="H7" s="11">
        <f>IFERROR(IF(G7&gt;0,MIN(E7*0.05,500),0),0)</f>
        <v/>
      </c>
      <c r="I7" s="13">
        <f>IFERROR(E7+H7,0)</f>
        <v/>
      </c>
      <c r="J7" s="11" t="n"/>
      <c r="K7" s="14" t="n"/>
      <c r="L7" s="11" t="n"/>
    </row>
    <row r="8" ht="22" customHeight="1">
      <c r="B8" s="15" t="n"/>
      <c r="C8" s="15" t="n"/>
      <c r="D8" s="15" t="n"/>
      <c r="E8" s="17" t="n"/>
      <c r="F8" s="18" t="n"/>
      <c r="G8" s="16" t="n"/>
      <c r="H8" s="15">
        <f>IFERROR(IF(G8&gt;0,MIN(E8*0.05,500),0),0)</f>
        <v/>
      </c>
      <c r="I8" s="17">
        <f>IFERROR(E8+H8,0)</f>
        <v/>
      </c>
      <c r="J8" s="15" t="n"/>
      <c r="K8" s="18" t="n"/>
      <c r="L8" s="15" t="n"/>
    </row>
    <row r="9" ht="22" customHeight="1">
      <c r="B9" s="11" t="n"/>
      <c r="C9" s="11" t="n"/>
      <c r="D9" s="11" t="n"/>
      <c r="E9" s="13" t="n"/>
      <c r="F9" s="14" t="n"/>
      <c r="G9" s="12" t="n"/>
      <c r="H9" s="11">
        <f>IFERROR(IF(G9&gt;0,MIN(E9*0.05,500),0),0)</f>
        <v/>
      </c>
      <c r="I9" s="13">
        <f>IFERROR(E9+H9,0)</f>
        <v/>
      </c>
      <c r="J9" s="11" t="n"/>
      <c r="K9" s="14" t="n"/>
      <c r="L9" s="11" t="n"/>
    </row>
    <row r="10" ht="22" customHeight="1">
      <c r="B10" s="15" t="n"/>
      <c r="C10" s="15" t="n"/>
      <c r="D10" s="15" t="n"/>
      <c r="E10" s="17" t="n"/>
      <c r="F10" s="18" t="n"/>
      <c r="G10" s="16" t="n"/>
      <c r="H10" s="15">
        <f>IFERROR(IF(G10&gt;0,MIN(E10*0.05,500),0),0)</f>
        <v/>
      </c>
      <c r="I10" s="17">
        <f>IFERROR(E10+H10,0)</f>
        <v/>
      </c>
      <c r="J10" s="15" t="n"/>
      <c r="K10" s="18" t="n"/>
      <c r="L10" s="15" t="n"/>
    </row>
    <row r="11" ht="22" customHeight="1">
      <c r="B11" s="11" t="n"/>
      <c r="C11" s="11" t="n"/>
      <c r="D11" s="11" t="n"/>
      <c r="E11" s="13" t="n"/>
      <c r="F11" s="14" t="n"/>
      <c r="G11" s="12" t="n"/>
      <c r="H11" s="11">
        <f>IFERROR(IF(G11&gt;0,MIN(E11*0.05,500),0),0)</f>
        <v/>
      </c>
      <c r="I11" s="13">
        <f>IFERROR(E11+H11,0)</f>
        <v/>
      </c>
      <c r="J11" s="11" t="n"/>
      <c r="K11" s="14" t="n"/>
      <c r="L11" s="11" t="n"/>
    </row>
    <row r="12" ht="22" customHeight="1">
      <c r="B12" s="15" t="n"/>
      <c r="C12" s="15" t="n"/>
      <c r="D12" s="15" t="n"/>
      <c r="E12" s="17" t="n"/>
      <c r="F12" s="18" t="n"/>
      <c r="G12" s="16" t="n"/>
      <c r="H12" s="15">
        <f>IFERROR(IF(G12&gt;0,MIN(E12*0.05,500),0),0)</f>
        <v/>
      </c>
      <c r="I12" s="17">
        <f>IFERROR(E12+H12,0)</f>
        <v/>
      </c>
      <c r="J12" s="15" t="n"/>
      <c r="K12" s="18" t="n"/>
      <c r="L12" s="15" t="n"/>
    </row>
    <row r="13" ht="22" customHeight="1">
      <c r="B13" s="11" t="n"/>
      <c r="C13" s="11" t="n"/>
      <c r="D13" s="11" t="n"/>
      <c r="E13" s="13" t="n"/>
      <c r="F13" s="14" t="n"/>
      <c r="G13" s="12" t="n"/>
      <c r="H13" s="11">
        <f>IFERROR(IF(G13&gt;0,MIN(E13*0.05,500),0),0)</f>
        <v/>
      </c>
      <c r="I13" s="13">
        <f>IFERROR(E13+H13,0)</f>
        <v/>
      </c>
      <c r="J13" s="11" t="n"/>
      <c r="K13" s="14" t="n"/>
      <c r="L13" s="11" t="n"/>
    </row>
    <row r="14" ht="22" customHeight="1">
      <c r="B14" s="15" t="n"/>
      <c r="C14" s="15" t="n"/>
      <c r="D14" s="15" t="n"/>
      <c r="E14" s="17" t="n"/>
      <c r="F14" s="18" t="n"/>
      <c r="G14" s="16" t="n"/>
      <c r="H14" s="15">
        <f>IFERROR(IF(G14&gt;0,MIN(E14*0.05,500),0),0)</f>
        <v/>
      </c>
      <c r="I14" s="17">
        <f>IFERROR(E14+H14,0)</f>
        <v/>
      </c>
      <c r="J14" s="15" t="n"/>
      <c r="K14" s="18" t="n"/>
      <c r="L14" s="15" t="n"/>
    </row>
    <row r="15" ht="22" customHeight="1">
      <c r="B15" s="11" t="n"/>
      <c r="C15" s="11" t="n"/>
      <c r="D15" s="11" t="n"/>
      <c r="E15" s="13" t="n"/>
      <c r="F15" s="14" t="n"/>
      <c r="G15" s="12" t="n"/>
      <c r="H15" s="11">
        <f>IFERROR(IF(G15&gt;0,MIN(E15*0.05,500),0),0)</f>
        <v/>
      </c>
      <c r="I15" s="13">
        <f>IFERROR(E15+H15,0)</f>
        <v/>
      </c>
      <c r="J15" s="11" t="n"/>
      <c r="K15" s="14" t="n"/>
      <c r="L15" s="11" t="n"/>
    </row>
    <row r="16" ht="22" customHeight="1">
      <c r="B16" s="15" t="n"/>
      <c r="C16" s="15" t="n"/>
      <c r="D16" s="15" t="n"/>
      <c r="E16" s="17" t="n"/>
      <c r="F16" s="18" t="n"/>
      <c r="G16" s="16" t="n"/>
      <c r="H16" s="15">
        <f>IFERROR(IF(G16&gt;0,MIN(E16*0.05,500),0),0)</f>
        <v/>
      </c>
      <c r="I16" s="17">
        <f>IFERROR(E16+H16,0)</f>
        <v/>
      </c>
      <c r="J16" s="15" t="n"/>
      <c r="K16" s="18" t="n"/>
      <c r="L16" s="15" t="n"/>
    </row>
    <row r="17" ht="22" customHeight="1">
      <c r="B17" s="11" t="n"/>
      <c r="C17" s="11" t="n"/>
      <c r="D17" s="11" t="n"/>
      <c r="E17" s="13" t="n"/>
      <c r="F17" s="14" t="n"/>
      <c r="G17" s="12" t="n"/>
      <c r="H17" s="11">
        <f>IFERROR(IF(G17&gt;0,MIN(E17*0.05,500),0),0)</f>
        <v/>
      </c>
      <c r="I17" s="13">
        <f>IFERROR(E17+H17,0)</f>
        <v/>
      </c>
      <c r="J17" s="11" t="n"/>
      <c r="K17" s="14" t="n"/>
      <c r="L17" s="11" t="n"/>
    </row>
    <row r="18" ht="22" customHeight="1">
      <c r="B18" s="15" t="n"/>
      <c r="C18" s="15" t="n"/>
      <c r="D18" s="15" t="n"/>
      <c r="E18" s="17" t="n"/>
      <c r="F18" s="18" t="n"/>
      <c r="G18" s="16" t="n"/>
      <c r="H18" s="15">
        <f>IFERROR(IF(G18&gt;0,MIN(E18*0.05,500),0),0)</f>
        <v/>
      </c>
      <c r="I18" s="17">
        <f>IFERROR(E18+H18,0)</f>
        <v/>
      </c>
      <c r="J18" s="15" t="n"/>
      <c r="K18" s="18" t="n"/>
      <c r="L18" s="15" t="n"/>
    </row>
    <row r="19" ht="22" customHeight="1">
      <c r="B19" s="11" t="n"/>
      <c r="C19" s="11" t="n"/>
      <c r="D19" s="11" t="n"/>
      <c r="E19" s="13" t="n"/>
      <c r="F19" s="14" t="n"/>
      <c r="G19" s="12" t="n"/>
      <c r="H19" s="11">
        <f>IFERROR(IF(G19&gt;0,MIN(E19*0.05,500),0),0)</f>
        <v/>
      </c>
      <c r="I19" s="13">
        <f>IFERROR(E19+H19,0)</f>
        <v/>
      </c>
      <c r="J19" s="11" t="n"/>
      <c r="K19" s="14" t="n"/>
      <c r="L19" s="11" t="n"/>
    </row>
    <row r="20" ht="22" customHeight="1">
      <c r="B20" s="15" t="n"/>
      <c r="C20" s="15" t="n"/>
      <c r="D20" s="15" t="n"/>
      <c r="E20" s="17" t="n"/>
      <c r="F20" s="18" t="n"/>
      <c r="G20" s="16" t="n"/>
      <c r="H20" s="15">
        <f>IFERROR(IF(G20&gt;0,MIN(E20*0.05,500),0),0)</f>
        <v/>
      </c>
      <c r="I20" s="17">
        <f>IFERROR(E20+H20,0)</f>
        <v/>
      </c>
      <c r="J20" s="15" t="n"/>
      <c r="K20" s="18" t="n"/>
      <c r="L20" s="15" t="n"/>
    </row>
    <row r="21" ht="22" customHeight="1">
      <c r="B21" s="11" t="n"/>
      <c r="C21" s="11" t="n"/>
      <c r="D21" s="11" t="n"/>
      <c r="E21" s="13" t="n"/>
      <c r="F21" s="14" t="n"/>
      <c r="G21" s="12" t="n"/>
      <c r="H21" s="11">
        <f>IFERROR(IF(G21&gt;0,MIN(E21*0.05,500),0),0)</f>
        <v/>
      </c>
      <c r="I21" s="13">
        <f>IFERROR(E21+H21,0)</f>
        <v/>
      </c>
      <c r="J21" s="11" t="n"/>
      <c r="K21" s="14" t="n"/>
      <c r="L21" s="11" t="n"/>
    </row>
    <row r="22" ht="22" customHeight="1">
      <c r="B22" s="15" t="n"/>
      <c r="C22" s="15" t="n"/>
      <c r="D22" s="15" t="n"/>
      <c r="E22" s="17" t="n"/>
      <c r="F22" s="18" t="n"/>
      <c r="G22" s="16" t="n"/>
      <c r="H22" s="15">
        <f>IFERROR(IF(G22&gt;0,MIN(E22*0.05,500),0),0)</f>
        <v/>
      </c>
      <c r="I22" s="17">
        <f>IFERROR(E22+H22,0)</f>
        <v/>
      </c>
      <c r="J22" s="15" t="n"/>
      <c r="K22" s="18" t="n"/>
      <c r="L22" s="15" t="n"/>
    </row>
    <row r="23" ht="22" customHeight="1">
      <c r="B23" s="11" t="n"/>
      <c r="C23" s="11" t="n"/>
      <c r="D23" s="11" t="n"/>
      <c r="E23" s="13" t="n"/>
      <c r="F23" s="14" t="n"/>
      <c r="G23" s="12" t="n"/>
      <c r="H23" s="11">
        <f>IFERROR(IF(G23&gt;0,MIN(E23*0.05,500),0),0)</f>
        <v/>
      </c>
      <c r="I23" s="13">
        <f>IFERROR(E23+H23,0)</f>
        <v/>
      </c>
      <c r="J23" s="11" t="n"/>
      <c r="K23" s="14" t="n"/>
      <c r="L23" s="11" t="n"/>
    </row>
    <row r="24" ht="22" customHeight="1">
      <c r="B24" s="15" t="n"/>
      <c r="C24" s="15" t="n"/>
      <c r="D24" s="15" t="n"/>
      <c r="E24" s="17" t="n"/>
      <c r="F24" s="18" t="n"/>
      <c r="G24" s="16" t="n"/>
      <c r="H24" s="15">
        <f>IFERROR(IF(G24&gt;0,MIN(E24*0.05,500),0),0)</f>
        <v/>
      </c>
      <c r="I24" s="17">
        <f>IFERROR(E24+H24,0)</f>
        <v/>
      </c>
      <c r="J24" s="15" t="n"/>
      <c r="K24" s="18" t="n"/>
      <c r="L24" s="15" t="n"/>
    </row>
    <row r="25" ht="22" customHeight="1">
      <c r="B25" s="11" t="n"/>
      <c r="C25" s="11" t="n"/>
      <c r="D25" s="11" t="n"/>
      <c r="E25" s="13" t="n"/>
      <c r="F25" s="14" t="n"/>
      <c r="G25" s="12" t="n"/>
      <c r="H25" s="11">
        <f>IFERROR(IF(G25&gt;0,MIN(E25*0.05,500),0),0)</f>
        <v/>
      </c>
      <c r="I25" s="13">
        <f>IFERROR(E25+H25,0)</f>
        <v/>
      </c>
      <c r="J25" s="11" t="n"/>
      <c r="K25" s="14" t="n"/>
      <c r="L25" s="11" t="n"/>
    </row>
    <row r="26" ht="22" customHeight="1">
      <c r="B26" s="15" t="n"/>
      <c r="C26" s="15" t="n"/>
      <c r="D26" s="15" t="n"/>
      <c r="E26" s="17" t="n"/>
      <c r="F26" s="18" t="n"/>
      <c r="G26" s="16" t="n"/>
      <c r="H26" s="15">
        <f>IFERROR(IF(G26&gt;0,MIN(E26*0.05,500),0),0)</f>
        <v/>
      </c>
      <c r="I26" s="17">
        <f>IFERROR(E26+H26,0)</f>
        <v/>
      </c>
      <c r="J26" s="15" t="n"/>
      <c r="K26" s="18" t="n"/>
      <c r="L26" s="15" t="n"/>
    </row>
    <row r="27" ht="22" customHeight="1">
      <c r="B27" s="11" t="n"/>
      <c r="C27" s="11" t="n"/>
      <c r="D27" s="11" t="n"/>
      <c r="E27" s="13" t="n"/>
      <c r="F27" s="14" t="n"/>
      <c r="G27" s="12" t="n"/>
      <c r="H27" s="11">
        <f>IFERROR(IF(G27&gt;0,MIN(E27*0.05,500),0),0)</f>
        <v/>
      </c>
      <c r="I27" s="13">
        <f>IFERROR(E27+H27,0)</f>
        <v/>
      </c>
      <c r="J27" s="11" t="n"/>
      <c r="K27" s="14" t="n"/>
      <c r="L27" s="11" t="n"/>
    </row>
    <row r="28" ht="22" customHeight="1">
      <c r="B28" s="15" t="n"/>
      <c r="C28" s="15" t="n"/>
      <c r="D28" s="15" t="n"/>
      <c r="E28" s="17" t="n"/>
      <c r="F28" s="18" t="n"/>
      <c r="G28" s="16" t="n"/>
      <c r="H28" s="15">
        <f>IFERROR(IF(G28&gt;0,MIN(E28*0.05,500),0),0)</f>
        <v/>
      </c>
      <c r="I28" s="17">
        <f>IFERROR(E28+H28,0)</f>
        <v/>
      </c>
      <c r="J28" s="15" t="n"/>
      <c r="K28" s="18" t="n"/>
      <c r="L28" s="15" t="n"/>
    </row>
    <row r="29" ht="22" customHeight="1">
      <c r="B29" s="11" t="n"/>
      <c r="C29" s="11" t="n"/>
      <c r="D29" s="11" t="n"/>
      <c r="E29" s="13" t="n"/>
      <c r="F29" s="14" t="n"/>
      <c r="G29" s="12" t="n"/>
      <c r="H29" s="11">
        <f>IFERROR(IF(G29&gt;0,MIN(E29*0.05,500),0),0)</f>
        <v/>
      </c>
      <c r="I29" s="13">
        <f>IFERROR(E29+H29,0)</f>
        <v/>
      </c>
      <c r="J29" s="11" t="n"/>
      <c r="K29" s="14" t="n"/>
      <c r="L29" s="11" t="n"/>
    </row>
    <row r="30" ht="22" customHeight="1">
      <c r="B30" s="15" t="n"/>
      <c r="C30" s="15" t="n"/>
      <c r="D30" s="15" t="n"/>
      <c r="E30" s="17" t="n"/>
      <c r="F30" s="18" t="n"/>
      <c r="G30" s="16" t="n"/>
      <c r="H30" s="15">
        <f>IFERROR(IF(G30&gt;0,MIN(E30*0.05,500),0),0)</f>
        <v/>
      </c>
      <c r="I30" s="17">
        <f>IFERROR(E30+H30,0)</f>
        <v/>
      </c>
      <c r="J30" s="15" t="n"/>
      <c r="K30" s="18" t="n"/>
      <c r="L30" s="15" t="n"/>
    </row>
    <row r="31" ht="22" customHeight="1">
      <c r="B31" s="11" t="n"/>
      <c r="C31" s="11" t="n"/>
      <c r="D31" s="11" t="n"/>
      <c r="E31" s="13" t="n"/>
      <c r="F31" s="14" t="n"/>
      <c r="G31" s="12" t="n"/>
      <c r="H31" s="11">
        <f>IFERROR(IF(G31&gt;0,MIN(E31*0.05,500),0),0)</f>
        <v/>
      </c>
      <c r="I31" s="13">
        <f>IFERROR(E31+H31,0)</f>
        <v/>
      </c>
      <c r="J31" s="11" t="n"/>
      <c r="K31" s="14" t="n"/>
      <c r="L31" s="11" t="n"/>
    </row>
    <row r="32" ht="22" customHeight="1">
      <c r="B32" s="15" t="n"/>
      <c r="C32" s="15" t="n"/>
      <c r="D32" s="15" t="n"/>
      <c r="E32" s="17" t="n"/>
      <c r="F32" s="18" t="n"/>
      <c r="G32" s="16" t="n"/>
      <c r="H32" s="15">
        <f>IFERROR(IF(G32&gt;0,MIN(E32*0.05,500),0),0)</f>
        <v/>
      </c>
      <c r="I32" s="17">
        <f>IFERROR(E32+H32,0)</f>
        <v/>
      </c>
      <c r="J32" s="15" t="n"/>
      <c r="K32" s="18" t="n"/>
      <c r="L32" s="15" t="n"/>
    </row>
    <row r="33" ht="22" customHeight="1">
      <c r="B33" s="11" t="n"/>
      <c r="C33" s="11" t="n"/>
      <c r="D33" s="11" t="n"/>
      <c r="E33" s="13" t="n"/>
      <c r="F33" s="14" t="n"/>
      <c r="G33" s="12" t="n"/>
      <c r="H33" s="11">
        <f>IFERROR(IF(G33&gt;0,MIN(E33*0.05,500),0),0)</f>
        <v/>
      </c>
      <c r="I33" s="13">
        <f>IFERROR(E33+H33,0)</f>
        <v/>
      </c>
      <c r="J33" s="11" t="n"/>
      <c r="K33" s="14" t="n"/>
      <c r="L33" s="11" t="n"/>
    </row>
    <row r="34" ht="22" customHeight="1">
      <c r="B34" s="15" t="n"/>
      <c r="C34" s="15" t="n"/>
      <c r="D34" s="15" t="n"/>
      <c r="E34" s="17" t="n"/>
      <c r="F34" s="18" t="n"/>
      <c r="G34" s="16" t="n"/>
      <c r="H34" s="15">
        <f>IFERROR(IF(G34&gt;0,MIN(E34*0.05,500),0),0)</f>
        <v/>
      </c>
      <c r="I34" s="17">
        <f>IFERROR(E34+H34,0)</f>
        <v/>
      </c>
      <c r="J34" s="15" t="n"/>
      <c r="K34" s="18" t="n"/>
      <c r="L34" s="15" t="n"/>
    </row>
    <row r="35" ht="22" customHeight="1">
      <c r="B35" s="11" t="n"/>
      <c r="C35" s="11" t="n"/>
      <c r="D35" s="11" t="n"/>
      <c r="E35" s="13" t="n"/>
      <c r="F35" s="14" t="n"/>
      <c r="G35" s="12" t="n"/>
      <c r="H35" s="11">
        <f>IFERROR(IF(G35&gt;0,MIN(E35*0.05,500),0),0)</f>
        <v/>
      </c>
      <c r="I35" s="13">
        <f>IFERROR(E35+H35,0)</f>
        <v/>
      </c>
      <c r="J35" s="11" t="n"/>
      <c r="K35" s="14" t="n"/>
      <c r="L35" s="11" t="n"/>
    </row>
    <row r="36" ht="22" customHeight="1">
      <c r="B36" s="15" t="n"/>
      <c r="C36" s="15" t="n"/>
      <c r="D36" s="15" t="n"/>
      <c r="E36" s="17" t="n"/>
      <c r="F36" s="18" t="n"/>
      <c r="G36" s="16" t="n"/>
      <c r="H36" s="15">
        <f>IFERROR(IF(G36&gt;0,MIN(E36*0.05,500),0),0)</f>
        <v/>
      </c>
      <c r="I36" s="17">
        <f>IFERROR(E36+H36,0)</f>
        <v/>
      </c>
      <c r="J36" s="15" t="n"/>
      <c r="K36" s="18" t="n"/>
      <c r="L36" s="15" t="n"/>
    </row>
    <row r="37" ht="22" customHeight="1">
      <c r="B37" s="11" t="n"/>
      <c r="C37" s="11" t="n"/>
      <c r="D37" s="11" t="n"/>
      <c r="E37" s="13" t="n"/>
      <c r="F37" s="14" t="n"/>
      <c r="G37" s="12" t="n"/>
      <c r="H37" s="11">
        <f>IFERROR(IF(G37&gt;0,MIN(E37*0.05,500),0),0)</f>
        <v/>
      </c>
      <c r="I37" s="13">
        <f>IFERROR(E37+H37,0)</f>
        <v/>
      </c>
      <c r="J37" s="11" t="n"/>
      <c r="K37" s="14" t="n"/>
      <c r="L37" s="11" t="n"/>
    </row>
    <row r="38" ht="22" customHeight="1">
      <c r="B38" s="15" t="n"/>
      <c r="C38" s="15" t="n"/>
      <c r="D38" s="15" t="n"/>
      <c r="E38" s="17" t="n"/>
      <c r="F38" s="18" t="n"/>
      <c r="G38" s="16" t="n"/>
      <c r="H38" s="15">
        <f>IFERROR(IF(G38&gt;0,MIN(E38*0.05,500),0),0)</f>
        <v/>
      </c>
      <c r="I38" s="17">
        <f>IFERROR(E38+H38,0)</f>
        <v/>
      </c>
      <c r="J38" s="15" t="n"/>
      <c r="K38" s="18" t="n"/>
      <c r="L38" s="15" t="n"/>
    </row>
    <row r="39" ht="22" customHeight="1">
      <c r="B39" s="11" t="n"/>
      <c r="C39" s="11" t="n"/>
      <c r="D39" s="11" t="n"/>
      <c r="E39" s="13" t="n"/>
      <c r="F39" s="14" t="n"/>
      <c r="G39" s="12" t="n"/>
      <c r="H39" s="11">
        <f>IFERROR(IF(G39&gt;0,MIN(E39*0.05,500),0),0)</f>
        <v/>
      </c>
      <c r="I39" s="13">
        <f>IFERROR(E39+H39,0)</f>
        <v/>
      </c>
      <c r="J39" s="11" t="n"/>
      <c r="K39" s="14" t="n"/>
      <c r="L39" s="11" t="n"/>
    </row>
    <row r="40" ht="22" customHeight="1">
      <c r="B40" s="15" t="n"/>
      <c r="C40" s="15" t="n"/>
      <c r="D40" s="15" t="n"/>
      <c r="E40" s="17" t="n"/>
      <c r="F40" s="18" t="n"/>
      <c r="G40" s="16" t="n"/>
      <c r="H40" s="15">
        <f>IFERROR(IF(G40&gt;0,MIN(E40*0.05,500),0),0)</f>
        <v/>
      </c>
      <c r="I40" s="17">
        <f>IFERROR(E40+H40,0)</f>
        <v/>
      </c>
      <c r="J40" s="15" t="n"/>
      <c r="K40" s="18" t="n"/>
      <c r="L40" s="15" t="n"/>
    </row>
    <row r="41" ht="22" customHeight="1">
      <c r="B41" s="11" t="n"/>
      <c r="C41" s="11" t="n"/>
      <c r="D41" s="11" t="n"/>
      <c r="E41" s="13" t="n"/>
      <c r="F41" s="14" t="n"/>
      <c r="G41" s="12" t="n"/>
      <c r="H41" s="11">
        <f>IFERROR(IF(G41&gt;0,MIN(E41*0.05,500),0),0)</f>
        <v/>
      </c>
      <c r="I41" s="13">
        <f>IFERROR(E41+H41,0)</f>
        <v/>
      </c>
      <c r="J41" s="11" t="n"/>
      <c r="K41" s="14" t="n"/>
      <c r="L41" s="11" t="n"/>
    </row>
    <row r="42" ht="22" customHeight="1">
      <c r="B42" s="15" t="n"/>
      <c r="C42" s="15" t="n"/>
      <c r="D42" s="15" t="n"/>
      <c r="E42" s="17" t="n"/>
      <c r="F42" s="18" t="n"/>
      <c r="G42" s="16" t="n"/>
      <c r="H42" s="15">
        <f>IFERROR(IF(G42&gt;0,MIN(E42*0.05,500),0),0)</f>
        <v/>
      </c>
      <c r="I42" s="17">
        <f>IFERROR(E42+H42,0)</f>
        <v/>
      </c>
      <c r="J42" s="15" t="n"/>
      <c r="K42" s="18" t="n"/>
      <c r="L42" s="15" t="n"/>
    </row>
    <row r="43" ht="22" customHeight="1">
      <c r="B43" s="11" t="n"/>
      <c r="C43" s="11" t="n"/>
      <c r="D43" s="11" t="n"/>
      <c r="E43" s="13" t="n"/>
      <c r="F43" s="14" t="n"/>
      <c r="G43" s="12" t="n"/>
      <c r="H43" s="11">
        <f>IFERROR(IF(G43&gt;0,MIN(E43*0.05,500),0),0)</f>
        <v/>
      </c>
      <c r="I43" s="13">
        <f>IFERROR(E43+H43,0)</f>
        <v/>
      </c>
      <c r="J43" s="11" t="n"/>
      <c r="K43" s="14" t="n"/>
      <c r="L43" s="11" t="n"/>
    </row>
    <row r="44" ht="22" customHeight="1">
      <c r="B44" s="15" t="n"/>
      <c r="C44" s="15" t="n"/>
      <c r="D44" s="15" t="n"/>
      <c r="E44" s="17" t="n"/>
      <c r="F44" s="18" t="n"/>
      <c r="G44" s="16" t="n"/>
      <c r="H44" s="15">
        <f>IFERROR(IF(G44&gt;0,MIN(E44*0.05,500),0),0)</f>
        <v/>
      </c>
      <c r="I44" s="17">
        <f>IFERROR(E44+H44,0)</f>
        <v/>
      </c>
      <c r="J44" s="15" t="n"/>
      <c r="K44" s="18" t="n"/>
      <c r="L44" s="15" t="n"/>
    </row>
    <row r="45" ht="22" customHeight="1">
      <c r="B45" s="11" t="n"/>
      <c r="C45" s="11" t="n"/>
      <c r="D45" s="11" t="n"/>
      <c r="E45" s="13" t="n"/>
      <c r="F45" s="14" t="n"/>
      <c r="G45" s="12" t="n"/>
      <c r="H45" s="11">
        <f>IFERROR(IF(G45&gt;0,MIN(E45*0.05,500),0),0)</f>
        <v/>
      </c>
      <c r="I45" s="13">
        <f>IFERROR(E45+H45,0)</f>
        <v/>
      </c>
      <c r="J45" s="11" t="n"/>
      <c r="K45" s="14" t="n"/>
      <c r="L45" s="11" t="n"/>
    </row>
    <row r="46" ht="22" customHeight="1">
      <c r="B46" s="15" t="n"/>
      <c r="C46" s="15" t="n"/>
      <c r="D46" s="15" t="n"/>
      <c r="E46" s="17" t="n"/>
      <c r="F46" s="18" t="n"/>
      <c r="G46" s="16" t="n"/>
      <c r="H46" s="15">
        <f>IFERROR(IF(G46&gt;0,MIN(E46*0.05,500),0),0)</f>
        <v/>
      </c>
      <c r="I46" s="17">
        <f>IFERROR(E46+H46,0)</f>
        <v/>
      </c>
      <c r="J46" s="15" t="n"/>
      <c r="K46" s="18" t="n"/>
      <c r="L46" s="15" t="n"/>
    </row>
    <row r="47" ht="22" customHeight="1">
      <c r="B47" s="11" t="n"/>
      <c r="C47" s="11" t="n"/>
      <c r="D47" s="11" t="n"/>
      <c r="E47" s="13" t="n"/>
      <c r="F47" s="14" t="n"/>
      <c r="G47" s="12" t="n"/>
      <c r="H47" s="11">
        <f>IFERROR(IF(G47&gt;0,MIN(E47*0.05,500),0),0)</f>
        <v/>
      </c>
      <c r="I47" s="13">
        <f>IFERROR(E47+H47,0)</f>
        <v/>
      </c>
      <c r="J47" s="11" t="n"/>
      <c r="K47" s="14" t="n"/>
      <c r="L47" s="11" t="n"/>
    </row>
    <row r="48" ht="22" customHeight="1">
      <c r="B48" s="15" t="n"/>
      <c r="C48" s="15" t="n"/>
      <c r="D48" s="15" t="n"/>
      <c r="E48" s="17" t="n"/>
      <c r="F48" s="18" t="n"/>
      <c r="G48" s="16" t="n"/>
      <c r="H48" s="15">
        <f>IFERROR(IF(G48&gt;0,MIN(E48*0.05,500),0),0)</f>
        <v/>
      </c>
      <c r="I48" s="17">
        <f>IFERROR(E48+H48,0)</f>
        <v/>
      </c>
      <c r="J48" s="15" t="n"/>
      <c r="K48" s="18" t="n"/>
      <c r="L48" s="15" t="n"/>
    </row>
    <row r="49" ht="22" customHeight="1">
      <c r="B49" s="11" t="n"/>
      <c r="C49" s="11" t="n"/>
      <c r="D49" s="11" t="n"/>
      <c r="E49" s="13" t="n"/>
      <c r="F49" s="14" t="n"/>
      <c r="G49" s="12" t="n"/>
      <c r="H49" s="11">
        <f>IFERROR(IF(G49&gt;0,MIN(E49*0.05,500),0),0)</f>
        <v/>
      </c>
      <c r="I49" s="13">
        <f>IFERROR(E49+H49,0)</f>
        <v/>
      </c>
      <c r="J49" s="11" t="n"/>
      <c r="K49" s="14" t="n"/>
      <c r="L49" s="11" t="n"/>
    </row>
    <row r="50" ht="22" customHeight="1">
      <c r="B50" s="15" t="n"/>
      <c r="C50" s="15" t="n"/>
      <c r="D50" s="15" t="n"/>
      <c r="E50" s="17" t="n"/>
      <c r="F50" s="18" t="n"/>
      <c r="G50" s="16" t="n"/>
      <c r="H50" s="15">
        <f>IFERROR(IF(G50&gt;0,MIN(E50*0.05,500),0),0)</f>
        <v/>
      </c>
      <c r="I50" s="17">
        <f>IFERROR(E50+H50,0)</f>
        <v/>
      </c>
      <c r="J50" s="15" t="n"/>
      <c r="K50" s="18" t="n"/>
      <c r="L50" s="15" t="n"/>
    </row>
    <row r="51" ht="22" customHeight="1">
      <c r="B51" s="11" t="n"/>
      <c r="C51" s="11" t="n"/>
      <c r="D51" s="11" t="n"/>
      <c r="E51" s="13" t="n"/>
      <c r="F51" s="14" t="n"/>
      <c r="G51" s="12" t="n"/>
      <c r="H51" s="11">
        <f>IFERROR(IF(G51&gt;0,MIN(E51*0.05,500),0),0)</f>
        <v/>
      </c>
      <c r="I51" s="13">
        <f>IFERROR(E51+H51,0)</f>
        <v/>
      </c>
      <c r="J51" s="11" t="n"/>
      <c r="K51" s="14" t="n"/>
      <c r="L51" s="11" t="n"/>
    </row>
    <row r="52" ht="22" customHeight="1">
      <c r="B52" s="15" t="n"/>
      <c r="C52" s="15" t="n"/>
      <c r="D52" s="15" t="n"/>
      <c r="E52" s="17" t="n"/>
      <c r="F52" s="18" t="n"/>
      <c r="G52" s="16" t="n"/>
      <c r="H52" s="15">
        <f>IFERROR(IF(G52&gt;0,MIN(E52*0.05,500),0),0)</f>
        <v/>
      </c>
      <c r="I52" s="17">
        <f>IFERROR(E52+H52,0)</f>
        <v/>
      </c>
      <c r="J52" s="15" t="n"/>
      <c r="K52" s="18" t="n"/>
      <c r="L52" s="15" t="n"/>
    </row>
    <row r="53" ht="22" customHeight="1">
      <c r="B53" s="11" t="n"/>
      <c r="C53" s="11" t="n"/>
      <c r="D53" s="11" t="n"/>
      <c r="E53" s="13" t="n"/>
      <c r="F53" s="14" t="n"/>
      <c r="G53" s="12" t="n"/>
      <c r="H53" s="11">
        <f>IFERROR(IF(G53&gt;0,MIN(E53*0.05,500),0),0)</f>
        <v/>
      </c>
      <c r="I53" s="13">
        <f>IFERROR(E53+H53,0)</f>
        <v/>
      </c>
      <c r="J53" s="11" t="n"/>
      <c r="K53" s="14" t="n"/>
      <c r="L53" s="11" t="n"/>
    </row>
    <row r="54" ht="22" customHeight="1">
      <c r="B54" s="15" t="n"/>
      <c r="C54" s="15" t="n"/>
      <c r="D54" s="15" t="n"/>
      <c r="E54" s="17" t="n"/>
      <c r="F54" s="18" t="n"/>
      <c r="G54" s="16" t="n"/>
      <c r="H54" s="15">
        <f>IFERROR(IF(G54&gt;0,MIN(E54*0.05,500),0),0)</f>
        <v/>
      </c>
      <c r="I54" s="17">
        <f>IFERROR(E54+H54,0)</f>
        <v/>
      </c>
      <c r="J54" s="15" t="n"/>
      <c r="K54" s="18" t="n"/>
      <c r="L54" s="15" t="n"/>
    </row>
  </sheetData>
  <mergeCells count="2">
    <mergeCell ref="B2:L2"/>
    <mergeCell ref="B3:L3"/>
  </mergeCells>
  <conditionalFormatting sqref="G5:G54">
    <cfRule type="cellIs" priority="1" operator="greaterThan" dxfId="1">
      <formula>30</formula>
    </cfRule>
    <cfRule type="cellIs" priority="2" operator="greaterThan" dxfId="2">
      <formula>15</formula>
    </cfRule>
  </conditionalFormatting>
  <dataValidations count="1">
    <dataValidation sqref="J5:J5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M20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2" customWidth="1" min="4" max="4"/>
    <col width="16" customWidth="1" min="5" max="5"/>
    <col width="28" customWidth="1" min="6" max="6"/>
    <col width="20" customWidth="1" min="7" max="7"/>
    <col width="16" customWidth="1" min="8" max="8"/>
    <col width="16" customWidth="1" min="9" max="9"/>
    <col width="14" customWidth="1" min="10" max="10"/>
    <col width="12" customWidth="1" min="11" max="11"/>
    <col width="16" customWidth="1" min="12" max="12"/>
    <col width="24" customWidth="1" min="13" max="13"/>
  </cols>
  <sheetData>
    <row r="1" ht="15" customHeight="1"/>
    <row r="2" ht="32" customHeight="1">
      <c r="B2" s="1" t="inlineStr">
        <is>
          <t>Maintenance Log &amp; Cost Tracker</t>
        </is>
      </c>
    </row>
    <row r="3" ht="8" customHeight="1"/>
    <row r="4" ht="28" customHeight="1">
      <c r="B4" s="10" t="inlineStr">
        <is>
          <t>Request ID</t>
        </is>
      </c>
      <c r="C4" s="10" t="inlineStr">
        <is>
          <t>Date</t>
        </is>
      </c>
      <c r="D4" s="10" t="inlineStr">
        <is>
          <t>Unit ID</t>
        </is>
      </c>
      <c r="E4" s="10" t="inlineStr">
        <is>
          <t>Category</t>
        </is>
      </c>
      <c r="F4" s="10" t="inlineStr">
        <is>
          <t>Description</t>
        </is>
      </c>
      <c r="G4" s="10" t="inlineStr">
        <is>
          <t>Vendor/Technician</t>
        </is>
      </c>
      <c r="H4" s="10" t="inlineStr">
        <is>
          <t>Estimated Cost</t>
        </is>
      </c>
      <c r="I4" s="10" t="inlineStr">
        <is>
          <t>Actual Cost</t>
        </is>
      </c>
      <c r="J4" s="10" t="inlineStr">
        <is>
          <t>Status</t>
        </is>
      </c>
      <c r="K4" s="10" t="inlineStr">
        <is>
          <t>Priority</t>
        </is>
      </c>
      <c r="L4" s="10" t="inlineStr">
        <is>
          <t>Completion Date</t>
        </is>
      </c>
      <c r="M4" s="10" t="inlineStr">
        <is>
          <t>Notes</t>
        </is>
      </c>
    </row>
    <row r="5" ht="22" customHeight="1">
      <c r="B5" s="11" t="n"/>
      <c r="C5" s="14" t="n"/>
      <c r="D5" s="11" t="n"/>
      <c r="E5" s="11" t="n"/>
      <c r="F5" s="11" t="n"/>
      <c r="G5" s="11" t="n"/>
      <c r="H5" s="13" t="n"/>
      <c r="I5" s="13" t="n"/>
      <c r="J5" s="11" t="n"/>
      <c r="K5" s="11" t="n"/>
      <c r="L5" s="11" t="n"/>
      <c r="M5" s="14" t="n"/>
    </row>
    <row r="6" ht="22" customHeight="1">
      <c r="B6" s="15" t="n"/>
      <c r="C6" s="18" t="n"/>
      <c r="D6" s="15" t="n"/>
      <c r="E6" s="15" t="n"/>
      <c r="F6" s="15" t="n"/>
      <c r="G6" s="15" t="n"/>
      <c r="H6" s="17" t="n"/>
      <c r="I6" s="17" t="n"/>
      <c r="J6" s="15" t="n"/>
      <c r="K6" s="15" t="n"/>
      <c r="L6" s="15" t="n"/>
      <c r="M6" s="18" t="n"/>
    </row>
    <row r="7" ht="22" customHeight="1">
      <c r="B7" s="11" t="n"/>
      <c r="C7" s="14" t="n"/>
      <c r="D7" s="11" t="n"/>
      <c r="E7" s="11" t="n"/>
      <c r="F7" s="11" t="n"/>
      <c r="G7" s="11" t="n"/>
      <c r="H7" s="13" t="n"/>
      <c r="I7" s="13" t="n"/>
      <c r="J7" s="11" t="n"/>
      <c r="K7" s="11" t="n"/>
      <c r="L7" s="11" t="n"/>
      <c r="M7" s="14" t="n"/>
    </row>
    <row r="8" ht="22" customHeight="1">
      <c r="B8" s="15" t="n"/>
      <c r="C8" s="18" t="n"/>
      <c r="D8" s="15" t="n"/>
      <c r="E8" s="15" t="n"/>
      <c r="F8" s="15" t="n"/>
      <c r="G8" s="15" t="n"/>
      <c r="H8" s="17" t="n"/>
      <c r="I8" s="17" t="n"/>
      <c r="J8" s="15" t="n"/>
      <c r="K8" s="15" t="n"/>
      <c r="L8" s="15" t="n"/>
      <c r="M8" s="18" t="n"/>
    </row>
    <row r="9" ht="22" customHeight="1">
      <c r="B9" s="11" t="n"/>
      <c r="C9" s="14" t="n"/>
      <c r="D9" s="11" t="n"/>
      <c r="E9" s="11" t="n"/>
      <c r="F9" s="11" t="n"/>
      <c r="G9" s="11" t="n"/>
      <c r="H9" s="13" t="n"/>
      <c r="I9" s="13" t="n"/>
      <c r="J9" s="11" t="n"/>
      <c r="K9" s="11" t="n"/>
      <c r="L9" s="11" t="n"/>
      <c r="M9" s="14" t="n"/>
    </row>
    <row r="10" ht="22" customHeight="1">
      <c r="B10" s="15" t="n"/>
      <c r="C10" s="18" t="n"/>
      <c r="D10" s="15" t="n"/>
      <c r="E10" s="15" t="n"/>
      <c r="F10" s="15" t="n"/>
      <c r="G10" s="15" t="n"/>
      <c r="H10" s="17" t="n"/>
      <c r="I10" s="17" t="n"/>
      <c r="J10" s="15" t="n"/>
      <c r="K10" s="15" t="n"/>
      <c r="L10" s="15" t="n"/>
      <c r="M10" s="18" t="n"/>
    </row>
    <row r="11" ht="22" customHeight="1">
      <c r="B11" s="11" t="n"/>
      <c r="C11" s="14" t="n"/>
      <c r="D11" s="11" t="n"/>
      <c r="E11" s="11" t="n"/>
      <c r="F11" s="11" t="n"/>
      <c r="G11" s="11" t="n"/>
      <c r="H11" s="13" t="n"/>
      <c r="I11" s="13" t="n"/>
      <c r="J11" s="11" t="n"/>
      <c r="K11" s="11" t="n"/>
      <c r="L11" s="11" t="n"/>
      <c r="M11" s="14" t="n"/>
    </row>
    <row r="12" ht="22" customHeight="1">
      <c r="B12" s="15" t="n"/>
      <c r="C12" s="18" t="n"/>
      <c r="D12" s="15" t="n"/>
      <c r="E12" s="15" t="n"/>
      <c r="F12" s="15" t="n"/>
      <c r="G12" s="15" t="n"/>
      <c r="H12" s="17" t="n"/>
      <c r="I12" s="17" t="n"/>
      <c r="J12" s="15" t="n"/>
      <c r="K12" s="15" t="n"/>
      <c r="L12" s="15" t="n"/>
      <c r="M12" s="18" t="n"/>
    </row>
    <row r="13" ht="22" customHeight="1">
      <c r="B13" s="11" t="n"/>
      <c r="C13" s="14" t="n"/>
      <c r="D13" s="11" t="n"/>
      <c r="E13" s="11" t="n"/>
      <c r="F13" s="11" t="n"/>
      <c r="G13" s="11" t="n"/>
      <c r="H13" s="13" t="n"/>
      <c r="I13" s="13" t="n"/>
      <c r="J13" s="11" t="n"/>
      <c r="K13" s="11" t="n"/>
      <c r="L13" s="11" t="n"/>
      <c r="M13" s="14" t="n"/>
    </row>
    <row r="14" ht="22" customHeight="1">
      <c r="B14" s="15" t="n"/>
      <c r="C14" s="18" t="n"/>
      <c r="D14" s="15" t="n"/>
      <c r="E14" s="15" t="n"/>
      <c r="F14" s="15" t="n"/>
      <c r="G14" s="15" t="n"/>
      <c r="H14" s="17" t="n"/>
      <c r="I14" s="17" t="n"/>
      <c r="J14" s="15" t="n"/>
      <c r="K14" s="15" t="n"/>
      <c r="L14" s="15" t="n"/>
      <c r="M14" s="18" t="n"/>
    </row>
    <row r="15" ht="22" customHeight="1">
      <c r="B15" s="11" t="n"/>
      <c r="C15" s="14" t="n"/>
      <c r="D15" s="11" t="n"/>
      <c r="E15" s="11" t="n"/>
      <c r="F15" s="11" t="n"/>
      <c r="G15" s="11" t="n"/>
      <c r="H15" s="13" t="n"/>
      <c r="I15" s="13" t="n"/>
      <c r="J15" s="11" t="n"/>
      <c r="K15" s="11" t="n"/>
      <c r="L15" s="11" t="n"/>
      <c r="M15" s="14" t="n"/>
    </row>
    <row r="16" ht="22" customHeight="1">
      <c r="B16" s="15" t="n"/>
      <c r="C16" s="18" t="n"/>
      <c r="D16" s="15" t="n"/>
      <c r="E16" s="15" t="n"/>
      <c r="F16" s="15" t="n"/>
      <c r="G16" s="15" t="n"/>
      <c r="H16" s="17" t="n"/>
      <c r="I16" s="17" t="n"/>
      <c r="J16" s="15" t="n"/>
      <c r="K16" s="15" t="n"/>
      <c r="L16" s="15" t="n"/>
      <c r="M16" s="18" t="n"/>
    </row>
    <row r="17" ht="22" customHeight="1">
      <c r="B17" s="11" t="n"/>
      <c r="C17" s="14" t="n"/>
      <c r="D17" s="11" t="n"/>
      <c r="E17" s="11" t="n"/>
      <c r="F17" s="11" t="n"/>
      <c r="G17" s="11" t="n"/>
      <c r="H17" s="13" t="n"/>
      <c r="I17" s="13" t="n"/>
      <c r="J17" s="11" t="n"/>
      <c r="K17" s="11" t="n"/>
      <c r="L17" s="11" t="n"/>
      <c r="M17" s="14" t="n"/>
    </row>
    <row r="18" ht="22" customHeight="1">
      <c r="B18" s="15" t="n"/>
      <c r="C18" s="18" t="n"/>
      <c r="D18" s="15" t="n"/>
      <c r="E18" s="15" t="n"/>
      <c r="F18" s="15" t="n"/>
      <c r="G18" s="15" t="n"/>
      <c r="H18" s="17" t="n"/>
      <c r="I18" s="17" t="n"/>
      <c r="J18" s="15" t="n"/>
      <c r="K18" s="15" t="n"/>
      <c r="L18" s="15" t="n"/>
      <c r="M18" s="18" t="n"/>
    </row>
    <row r="19" ht="22" customHeight="1">
      <c r="B19" s="11" t="n"/>
      <c r="C19" s="14" t="n"/>
      <c r="D19" s="11" t="n"/>
      <c r="E19" s="11" t="n"/>
      <c r="F19" s="11" t="n"/>
      <c r="G19" s="11" t="n"/>
      <c r="H19" s="13" t="n"/>
      <c r="I19" s="13" t="n"/>
      <c r="J19" s="11" t="n"/>
      <c r="K19" s="11" t="n"/>
      <c r="L19" s="11" t="n"/>
      <c r="M19" s="14" t="n"/>
    </row>
    <row r="20" ht="22" customHeight="1">
      <c r="B20" s="15" t="n"/>
      <c r="C20" s="18" t="n"/>
      <c r="D20" s="15" t="n"/>
      <c r="E20" s="15" t="n"/>
      <c r="F20" s="15" t="n"/>
      <c r="G20" s="15" t="n"/>
      <c r="H20" s="17" t="n"/>
      <c r="I20" s="17" t="n"/>
      <c r="J20" s="15" t="n"/>
      <c r="K20" s="15" t="n"/>
      <c r="L20" s="15" t="n"/>
      <c r="M20" s="18" t="n"/>
    </row>
    <row r="21" ht="22" customHeight="1">
      <c r="B21" s="11" t="n"/>
      <c r="C21" s="14" t="n"/>
      <c r="D21" s="11" t="n"/>
      <c r="E21" s="11" t="n"/>
      <c r="F21" s="11" t="n"/>
      <c r="G21" s="11" t="n"/>
      <c r="H21" s="13" t="n"/>
      <c r="I21" s="13" t="n"/>
      <c r="J21" s="11" t="n"/>
      <c r="K21" s="11" t="n"/>
      <c r="L21" s="11" t="n"/>
      <c r="M21" s="14" t="n"/>
    </row>
    <row r="22" ht="22" customHeight="1">
      <c r="B22" s="15" t="n"/>
      <c r="C22" s="18" t="n"/>
      <c r="D22" s="15" t="n"/>
      <c r="E22" s="15" t="n"/>
      <c r="F22" s="15" t="n"/>
      <c r="G22" s="15" t="n"/>
      <c r="H22" s="17" t="n"/>
      <c r="I22" s="17" t="n"/>
      <c r="J22" s="15" t="n"/>
      <c r="K22" s="15" t="n"/>
      <c r="L22" s="15" t="n"/>
      <c r="M22" s="18" t="n"/>
    </row>
    <row r="23" ht="22" customHeight="1">
      <c r="B23" s="11" t="n"/>
      <c r="C23" s="14" t="n"/>
      <c r="D23" s="11" t="n"/>
      <c r="E23" s="11" t="n"/>
      <c r="F23" s="11" t="n"/>
      <c r="G23" s="11" t="n"/>
      <c r="H23" s="13" t="n"/>
      <c r="I23" s="13" t="n"/>
      <c r="J23" s="11" t="n"/>
      <c r="K23" s="11" t="n"/>
      <c r="L23" s="11" t="n"/>
      <c r="M23" s="14" t="n"/>
    </row>
    <row r="24" ht="22" customHeight="1">
      <c r="B24" s="15" t="n"/>
      <c r="C24" s="18" t="n"/>
      <c r="D24" s="15" t="n"/>
      <c r="E24" s="15" t="n"/>
      <c r="F24" s="15" t="n"/>
      <c r="G24" s="15" t="n"/>
      <c r="H24" s="17" t="n"/>
      <c r="I24" s="17" t="n"/>
      <c r="J24" s="15" t="n"/>
      <c r="K24" s="15" t="n"/>
      <c r="L24" s="15" t="n"/>
      <c r="M24" s="18" t="n"/>
    </row>
    <row r="25" ht="22" customHeight="1">
      <c r="B25" s="11" t="n"/>
      <c r="C25" s="14" t="n"/>
      <c r="D25" s="11" t="n"/>
      <c r="E25" s="11" t="n"/>
      <c r="F25" s="11" t="n"/>
      <c r="G25" s="11" t="n"/>
      <c r="H25" s="13" t="n"/>
      <c r="I25" s="13" t="n"/>
      <c r="J25" s="11" t="n"/>
      <c r="K25" s="11" t="n"/>
      <c r="L25" s="11" t="n"/>
      <c r="M25" s="14" t="n"/>
    </row>
    <row r="26" ht="22" customHeight="1">
      <c r="B26" s="15" t="n"/>
      <c r="C26" s="18" t="n"/>
      <c r="D26" s="15" t="n"/>
      <c r="E26" s="15" t="n"/>
      <c r="F26" s="15" t="n"/>
      <c r="G26" s="15" t="n"/>
      <c r="H26" s="17" t="n"/>
      <c r="I26" s="17" t="n"/>
      <c r="J26" s="15" t="n"/>
      <c r="K26" s="15" t="n"/>
      <c r="L26" s="15" t="n"/>
      <c r="M26" s="18" t="n"/>
    </row>
    <row r="27" ht="22" customHeight="1">
      <c r="B27" s="11" t="n"/>
      <c r="C27" s="14" t="n"/>
      <c r="D27" s="11" t="n"/>
      <c r="E27" s="11" t="n"/>
      <c r="F27" s="11" t="n"/>
      <c r="G27" s="11" t="n"/>
      <c r="H27" s="13" t="n"/>
      <c r="I27" s="13" t="n"/>
      <c r="J27" s="11" t="n"/>
      <c r="K27" s="11" t="n"/>
      <c r="L27" s="11" t="n"/>
      <c r="M27" s="14" t="n"/>
    </row>
    <row r="28" ht="22" customHeight="1">
      <c r="B28" s="15" t="n"/>
      <c r="C28" s="18" t="n"/>
      <c r="D28" s="15" t="n"/>
      <c r="E28" s="15" t="n"/>
      <c r="F28" s="15" t="n"/>
      <c r="G28" s="15" t="n"/>
      <c r="H28" s="17" t="n"/>
      <c r="I28" s="17" t="n"/>
      <c r="J28" s="15" t="n"/>
      <c r="K28" s="15" t="n"/>
      <c r="L28" s="15" t="n"/>
      <c r="M28" s="18" t="n"/>
    </row>
    <row r="29" ht="22" customHeight="1">
      <c r="B29" s="11" t="n"/>
      <c r="C29" s="14" t="n"/>
      <c r="D29" s="11" t="n"/>
      <c r="E29" s="11" t="n"/>
      <c r="F29" s="11" t="n"/>
      <c r="G29" s="11" t="n"/>
      <c r="H29" s="13" t="n"/>
      <c r="I29" s="13" t="n"/>
      <c r="J29" s="11" t="n"/>
      <c r="K29" s="11" t="n"/>
      <c r="L29" s="11" t="n"/>
      <c r="M29" s="14" t="n"/>
    </row>
    <row r="30" ht="22" customHeight="1">
      <c r="B30" s="15" t="n"/>
      <c r="C30" s="18" t="n"/>
      <c r="D30" s="15" t="n"/>
      <c r="E30" s="15" t="n"/>
      <c r="F30" s="15" t="n"/>
      <c r="G30" s="15" t="n"/>
      <c r="H30" s="17" t="n"/>
      <c r="I30" s="17" t="n"/>
      <c r="J30" s="15" t="n"/>
      <c r="K30" s="15" t="n"/>
      <c r="L30" s="15" t="n"/>
      <c r="M30" s="18" t="n"/>
    </row>
    <row r="31" ht="22" customHeight="1">
      <c r="B31" s="11" t="n"/>
      <c r="C31" s="14" t="n"/>
      <c r="D31" s="11" t="n"/>
      <c r="E31" s="11" t="n"/>
      <c r="F31" s="11" t="n"/>
      <c r="G31" s="11" t="n"/>
      <c r="H31" s="13" t="n"/>
      <c r="I31" s="13" t="n"/>
      <c r="J31" s="11" t="n"/>
      <c r="K31" s="11" t="n"/>
      <c r="L31" s="11" t="n"/>
      <c r="M31" s="14" t="n"/>
    </row>
    <row r="32" ht="22" customHeight="1">
      <c r="B32" s="15" t="n"/>
      <c r="C32" s="18" t="n"/>
      <c r="D32" s="15" t="n"/>
      <c r="E32" s="15" t="n"/>
      <c r="F32" s="15" t="n"/>
      <c r="G32" s="15" t="n"/>
      <c r="H32" s="17" t="n"/>
      <c r="I32" s="17" t="n"/>
      <c r="J32" s="15" t="n"/>
      <c r="K32" s="15" t="n"/>
      <c r="L32" s="15" t="n"/>
      <c r="M32" s="18" t="n"/>
    </row>
    <row r="33" ht="22" customHeight="1">
      <c r="B33" s="11" t="n"/>
      <c r="C33" s="14" t="n"/>
      <c r="D33" s="11" t="n"/>
      <c r="E33" s="11" t="n"/>
      <c r="F33" s="11" t="n"/>
      <c r="G33" s="11" t="n"/>
      <c r="H33" s="13" t="n"/>
      <c r="I33" s="13" t="n"/>
      <c r="J33" s="11" t="n"/>
      <c r="K33" s="11" t="n"/>
      <c r="L33" s="11" t="n"/>
      <c r="M33" s="14" t="n"/>
    </row>
    <row r="34" ht="22" customHeight="1">
      <c r="B34" s="15" t="n"/>
      <c r="C34" s="18" t="n"/>
      <c r="D34" s="15" t="n"/>
      <c r="E34" s="15" t="n"/>
      <c r="F34" s="15" t="n"/>
      <c r="G34" s="15" t="n"/>
      <c r="H34" s="17" t="n"/>
      <c r="I34" s="17" t="n"/>
      <c r="J34" s="15" t="n"/>
      <c r="K34" s="15" t="n"/>
      <c r="L34" s="15" t="n"/>
      <c r="M34" s="18" t="n"/>
    </row>
    <row r="35" ht="22" customHeight="1">
      <c r="B35" s="11" t="n"/>
      <c r="C35" s="14" t="n"/>
      <c r="D35" s="11" t="n"/>
      <c r="E35" s="11" t="n"/>
      <c r="F35" s="11" t="n"/>
      <c r="G35" s="11" t="n"/>
      <c r="H35" s="13" t="n"/>
      <c r="I35" s="13" t="n"/>
      <c r="J35" s="11" t="n"/>
      <c r="K35" s="11" t="n"/>
      <c r="L35" s="11" t="n"/>
      <c r="M35" s="14" t="n"/>
    </row>
    <row r="36" ht="22" customHeight="1">
      <c r="B36" s="15" t="n"/>
      <c r="C36" s="18" t="n"/>
      <c r="D36" s="15" t="n"/>
      <c r="E36" s="15" t="n"/>
      <c r="F36" s="15" t="n"/>
      <c r="G36" s="15" t="n"/>
      <c r="H36" s="17" t="n"/>
      <c r="I36" s="17" t="n"/>
      <c r="J36" s="15" t="n"/>
      <c r="K36" s="15" t="n"/>
      <c r="L36" s="15" t="n"/>
      <c r="M36" s="18" t="n"/>
    </row>
    <row r="37" ht="22" customHeight="1">
      <c r="B37" s="11" t="n"/>
      <c r="C37" s="14" t="n"/>
      <c r="D37" s="11" t="n"/>
      <c r="E37" s="11" t="n"/>
      <c r="F37" s="11" t="n"/>
      <c r="G37" s="11" t="n"/>
      <c r="H37" s="13" t="n"/>
      <c r="I37" s="13" t="n"/>
      <c r="J37" s="11" t="n"/>
      <c r="K37" s="11" t="n"/>
      <c r="L37" s="11" t="n"/>
      <c r="M37" s="14" t="n"/>
    </row>
    <row r="38" ht="22" customHeight="1">
      <c r="B38" s="15" t="n"/>
      <c r="C38" s="18" t="n"/>
      <c r="D38" s="15" t="n"/>
      <c r="E38" s="15" t="n"/>
      <c r="F38" s="15" t="n"/>
      <c r="G38" s="15" t="n"/>
      <c r="H38" s="17" t="n"/>
      <c r="I38" s="17" t="n"/>
      <c r="J38" s="15" t="n"/>
      <c r="K38" s="15" t="n"/>
      <c r="L38" s="15" t="n"/>
      <c r="M38" s="18" t="n"/>
    </row>
    <row r="39" ht="22" customHeight="1">
      <c r="B39" s="11" t="n"/>
      <c r="C39" s="14" t="n"/>
      <c r="D39" s="11" t="n"/>
      <c r="E39" s="11" t="n"/>
      <c r="F39" s="11" t="n"/>
      <c r="G39" s="11" t="n"/>
      <c r="H39" s="13" t="n"/>
      <c r="I39" s="13" t="n"/>
      <c r="J39" s="11" t="n"/>
      <c r="K39" s="11" t="n"/>
      <c r="L39" s="11" t="n"/>
      <c r="M39" s="14" t="n"/>
    </row>
    <row r="40" ht="22" customHeight="1">
      <c r="B40" s="15" t="n"/>
      <c r="C40" s="18" t="n"/>
      <c r="D40" s="15" t="n"/>
      <c r="E40" s="15" t="n"/>
      <c r="F40" s="15" t="n"/>
      <c r="G40" s="15" t="n"/>
      <c r="H40" s="17" t="n"/>
      <c r="I40" s="17" t="n"/>
      <c r="J40" s="15" t="n"/>
      <c r="K40" s="15" t="n"/>
      <c r="L40" s="15" t="n"/>
      <c r="M40" s="18" t="n"/>
    </row>
    <row r="41" ht="22" customHeight="1">
      <c r="B41" s="11" t="n"/>
      <c r="C41" s="14" t="n"/>
      <c r="D41" s="11" t="n"/>
      <c r="E41" s="11" t="n"/>
      <c r="F41" s="11" t="n"/>
      <c r="G41" s="11" t="n"/>
      <c r="H41" s="13" t="n"/>
      <c r="I41" s="13" t="n"/>
      <c r="J41" s="11" t="n"/>
      <c r="K41" s="11" t="n"/>
      <c r="L41" s="11" t="n"/>
      <c r="M41" s="14" t="n"/>
    </row>
    <row r="42" ht="22" customHeight="1">
      <c r="B42" s="15" t="n"/>
      <c r="C42" s="18" t="n"/>
      <c r="D42" s="15" t="n"/>
      <c r="E42" s="15" t="n"/>
      <c r="F42" s="15" t="n"/>
      <c r="G42" s="15" t="n"/>
      <c r="H42" s="17" t="n"/>
      <c r="I42" s="17" t="n"/>
      <c r="J42" s="15" t="n"/>
      <c r="K42" s="15" t="n"/>
      <c r="L42" s="15" t="n"/>
      <c r="M42" s="18" t="n"/>
    </row>
    <row r="43" ht="22" customHeight="1">
      <c r="B43" s="11" t="n"/>
      <c r="C43" s="14" t="n"/>
      <c r="D43" s="11" t="n"/>
      <c r="E43" s="11" t="n"/>
      <c r="F43" s="11" t="n"/>
      <c r="G43" s="11" t="n"/>
      <c r="H43" s="13" t="n"/>
      <c r="I43" s="13" t="n"/>
      <c r="J43" s="11" t="n"/>
      <c r="K43" s="11" t="n"/>
      <c r="L43" s="11" t="n"/>
      <c r="M43" s="14" t="n"/>
    </row>
    <row r="44" ht="22" customHeight="1">
      <c r="B44" s="15" t="n"/>
      <c r="C44" s="18" t="n"/>
      <c r="D44" s="15" t="n"/>
      <c r="E44" s="15" t="n"/>
      <c r="F44" s="15" t="n"/>
      <c r="G44" s="15" t="n"/>
      <c r="H44" s="17" t="n"/>
      <c r="I44" s="17" t="n"/>
      <c r="J44" s="15" t="n"/>
      <c r="K44" s="15" t="n"/>
      <c r="L44" s="15" t="n"/>
      <c r="M44" s="18" t="n"/>
    </row>
    <row r="45" ht="22" customHeight="1">
      <c r="B45" s="11" t="n"/>
      <c r="C45" s="14" t="n"/>
      <c r="D45" s="11" t="n"/>
      <c r="E45" s="11" t="n"/>
      <c r="F45" s="11" t="n"/>
      <c r="G45" s="11" t="n"/>
      <c r="H45" s="13" t="n"/>
      <c r="I45" s="13" t="n"/>
      <c r="J45" s="11" t="n"/>
      <c r="K45" s="11" t="n"/>
      <c r="L45" s="11" t="n"/>
      <c r="M45" s="14" t="n"/>
    </row>
    <row r="46" ht="22" customHeight="1">
      <c r="B46" s="15" t="n"/>
      <c r="C46" s="18" t="n"/>
      <c r="D46" s="15" t="n"/>
      <c r="E46" s="15" t="n"/>
      <c r="F46" s="15" t="n"/>
      <c r="G46" s="15" t="n"/>
      <c r="H46" s="17" t="n"/>
      <c r="I46" s="17" t="n"/>
      <c r="J46" s="15" t="n"/>
      <c r="K46" s="15" t="n"/>
      <c r="L46" s="15" t="n"/>
      <c r="M46" s="18" t="n"/>
    </row>
    <row r="47" ht="22" customHeight="1">
      <c r="B47" s="11" t="n"/>
      <c r="C47" s="14" t="n"/>
      <c r="D47" s="11" t="n"/>
      <c r="E47" s="11" t="n"/>
      <c r="F47" s="11" t="n"/>
      <c r="G47" s="11" t="n"/>
      <c r="H47" s="13" t="n"/>
      <c r="I47" s="13" t="n"/>
      <c r="J47" s="11" t="n"/>
      <c r="K47" s="11" t="n"/>
      <c r="L47" s="11" t="n"/>
      <c r="M47" s="14" t="n"/>
    </row>
    <row r="48" ht="22" customHeight="1">
      <c r="B48" s="15" t="n"/>
      <c r="C48" s="18" t="n"/>
      <c r="D48" s="15" t="n"/>
      <c r="E48" s="15" t="n"/>
      <c r="F48" s="15" t="n"/>
      <c r="G48" s="15" t="n"/>
      <c r="H48" s="17" t="n"/>
      <c r="I48" s="17" t="n"/>
      <c r="J48" s="15" t="n"/>
      <c r="K48" s="15" t="n"/>
      <c r="L48" s="15" t="n"/>
      <c r="M48" s="18" t="n"/>
    </row>
    <row r="49" ht="22" customHeight="1">
      <c r="B49" s="11" t="n"/>
      <c r="C49" s="14" t="n"/>
      <c r="D49" s="11" t="n"/>
      <c r="E49" s="11" t="n"/>
      <c r="F49" s="11" t="n"/>
      <c r="G49" s="11" t="n"/>
      <c r="H49" s="13" t="n"/>
      <c r="I49" s="13" t="n"/>
      <c r="J49" s="11" t="n"/>
      <c r="K49" s="11" t="n"/>
      <c r="L49" s="11" t="n"/>
      <c r="M49" s="14" t="n"/>
    </row>
    <row r="50" ht="22" customHeight="1">
      <c r="B50" s="15" t="n"/>
      <c r="C50" s="18" t="n"/>
      <c r="D50" s="15" t="n"/>
      <c r="E50" s="15" t="n"/>
      <c r="F50" s="15" t="n"/>
      <c r="G50" s="15" t="n"/>
      <c r="H50" s="17" t="n"/>
      <c r="I50" s="17" t="n"/>
      <c r="J50" s="15" t="n"/>
      <c r="K50" s="15" t="n"/>
      <c r="L50" s="15" t="n"/>
      <c r="M50" s="18" t="n"/>
    </row>
    <row r="51" ht="22" customHeight="1">
      <c r="B51" s="11" t="n"/>
      <c r="C51" s="14" t="n"/>
      <c r="D51" s="11" t="n"/>
      <c r="E51" s="11" t="n"/>
      <c r="F51" s="11" t="n"/>
      <c r="G51" s="11" t="n"/>
      <c r="H51" s="13" t="n"/>
      <c r="I51" s="13" t="n"/>
      <c r="J51" s="11" t="n"/>
      <c r="K51" s="11" t="n"/>
      <c r="L51" s="11" t="n"/>
      <c r="M51" s="14" t="n"/>
    </row>
    <row r="52" ht="22" customHeight="1">
      <c r="B52" s="15" t="n"/>
      <c r="C52" s="18" t="n"/>
      <c r="D52" s="15" t="n"/>
      <c r="E52" s="15" t="n"/>
      <c r="F52" s="15" t="n"/>
      <c r="G52" s="15" t="n"/>
      <c r="H52" s="17" t="n"/>
      <c r="I52" s="17" t="n"/>
      <c r="J52" s="15" t="n"/>
      <c r="K52" s="15" t="n"/>
      <c r="L52" s="15" t="n"/>
      <c r="M52" s="18" t="n"/>
    </row>
    <row r="53" ht="22" customHeight="1">
      <c r="B53" s="11" t="n"/>
      <c r="C53" s="14" t="n"/>
      <c r="D53" s="11" t="n"/>
      <c r="E53" s="11" t="n"/>
      <c r="F53" s="11" t="n"/>
      <c r="G53" s="11" t="n"/>
      <c r="H53" s="13" t="n"/>
      <c r="I53" s="13" t="n"/>
      <c r="J53" s="11" t="n"/>
      <c r="K53" s="11" t="n"/>
      <c r="L53" s="11" t="n"/>
      <c r="M53" s="14" t="n"/>
    </row>
    <row r="54" ht="22" customHeight="1">
      <c r="B54" s="15" t="n"/>
      <c r="C54" s="18" t="n"/>
      <c r="D54" s="15" t="n"/>
      <c r="E54" s="15" t="n"/>
      <c r="F54" s="15" t="n"/>
      <c r="G54" s="15" t="n"/>
      <c r="H54" s="17" t="n"/>
      <c r="I54" s="17" t="n"/>
      <c r="J54" s="15" t="n"/>
      <c r="K54" s="15" t="n"/>
      <c r="L54" s="15" t="n"/>
      <c r="M54" s="18" t="n"/>
    </row>
    <row r="55" ht="22" customHeight="1">
      <c r="B55" s="11" t="n"/>
      <c r="C55" s="14" t="n"/>
      <c r="D55" s="11" t="n"/>
      <c r="E55" s="11" t="n"/>
      <c r="F55" s="11" t="n"/>
      <c r="G55" s="11" t="n"/>
      <c r="H55" s="13" t="n"/>
      <c r="I55" s="13" t="n"/>
      <c r="J55" s="11" t="n"/>
      <c r="K55" s="11" t="n"/>
      <c r="L55" s="11" t="n"/>
      <c r="M55" s="14" t="n"/>
    </row>
    <row r="56" ht="22" customHeight="1">
      <c r="B56" s="15" t="n"/>
      <c r="C56" s="18" t="n"/>
      <c r="D56" s="15" t="n"/>
      <c r="E56" s="15" t="n"/>
      <c r="F56" s="15" t="n"/>
      <c r="G56" s="15" t="n"/>
      <c r="H56" s="17" t="n"/>
      <c r="I56" s="17" t="n"/>
      <c r="J56" s="15" t="n"/>
      <c r="K56" s="15" t="n"/>
      <c r="L56" s="15" t="n"/>
      <c r="M56" s="18" t="n"/>
    </row>
    <row r="57" ht="22" customHeight="1">
      <c r="B57" s="11" t="n"/>
      <c r="C57" s="14" t="n"/>
      <c r="D57" s="11" t="n"/>
      <c r="E57" s="11" t="n"/>
      <c r="F57" s="11" t="n"/>
      <c r="G57" s="11" t="n"/>
      <c r="H57" s="13" t="n"/>
      <c r="I57" s="13" t="n"/>
      <c r="J57" s="11" t="n"/>
      <c r="K57" s="11" t="n"/>
      <c r="L57" s="11" t="n"/>
      <c r="M57" s="14" t="n"/>
    </row>
    <row r="58" ht="22" customHeight="1">
      <c r="B58" s="15" t="n"/>
      <c r="C58" s="18" t="n"/>
      <c r="D58" s="15" t="n"/>
      <c r="E58" s="15" t="n"/>
      <c r="F58" s="15" t="n"/>
      <c r="G58" s="15" t="n"/>
      <c r="H58" s="17" t="n"/>
      <c r="I58" s="17" t="n"/>
      <c r="J58" s="15" t="n"/>
      <c r="K58" s="15" t="n"/>
      <c r="L58" s="15" t="n"/>
      <c r="M58" s="18" t="n"/>
    </row>
    <row r="59" ht="22" customHeight="1">
      <c r="B59" s="11" t="n"/>
      <c r="C59" s="14" t="n"/>
      <c r="D59" s="11" t="n"/>
      <c r="E59" s="11" t="n"/>
      <c r="F59" s="11" t="n"/>
      <c r="G59" s="11" t="n"/>
      <c r="H59" s="13" t="n"/>
      <c r="I59" s="13" t="n"/>
      <c r="J59" s="11" t="n"/>
      <c r="K59" s="11" t="n"/>
      <c r="L59" s="11" t="n"/>
      <c r="M59" s="14" t="n"/>
    </row>
    <row r="60" ht="22" customHeight="1">
      <c r="B60" s="15" t="n"/>
      <c r="C60" s="18" t="n"/>
      <c r="D60" s="15" t="n"/>
      <c r="E60" s="15" t="n"/>
      <c r="F60" s="15" t="n"/>
      <c r="G60" s="15" t="n"/>
      <c r="H60" s="17" t="n"/>
      <c r="I60" s="17" t="n"/>
      <c r="J60" s="15" t="n"/>
      <c r="K60" s="15" t="n"/>
      <c r="L60" s="15" t="n"/>
      <c r="M60" s="18" t="n"/>
    </row>
    <row r="61" ht="22" customHeight="1">
      <c r="B61" s="11" t="n"/>
      <c r="C61" s="14" t="n"/>
      <c r="D61" s="11" t="n"/>
      <c r="E61" s="11" t="n"/>
      <c r="F61" s="11" t="n"/>
      <c r="G61" s="11" t="n"/>
      <c r="H61" s="13" t="n"/>
      <c r="I61" s="13" t="n"/>
      <c r="J61" s="11" t="n"/>
      <c r="K61" s="11" t="n"/>
      <c r="L61" s="11" t="n"/>
      <c r="M61" s="14" t="n"/>
    </row>
    <row r="62" ht="22" customHeight="1">
      <c r="B62" s="15" t="n"/>
      <c r="C62" s="18" t="n"/>
      <c r="D62" s="15" t="n"/>
      <c r="E62" s="15" t="n"/>
      <c r="F62" s="15" t="n"/>
      <c r="G62" s="15" t="n"/>
      <c r="H62" s="17" t="n"/>
      <c r="I62" s="17" t="n"/>
      <c r="J62" s="15" t="n"/>
      <c r="K62" s="15" t="n"/>
      <c r="L62" s="15" t="n"/>
      <c r="M62" s="18" t="n"/>
    </row>
    <row r="63" ht="22" customHeight="1">
      <c r="B63" s="11" t="n"/>
      <c r="C63" s="14" t="n"/>
      <c r="D63" s="11" t="n"/>
      <c r="E63" s="11" t="n"/>
      <c r="F63" s="11" t="n"/>
      <c r="G63" s="11" t="n"/>
      <c r="H63" s="13" t="n"/>
      <c r="I63" s="13" t="n"/>
      <c r="J63" s="11" t="n"/>
      <c r="K63" s="11" t="n"/>
      <c r="L63" s="11" t="n"/>
      <c r="M63" s="14" t="n"/>
    </row>
    <row r="64" ht="22" customHeight="1">
      <c r="B64" s="15" t="n"/>
      <c r="C64" s="18" t="n"/>
      <c r="D64" s="15" t="n"/>
      <c r="E64" s="15" t="n"/>
      <c r="F64" s="15" t="n"/>
      <c r="G64" s="15" t="n"/>
      <c r="H64" s="17" t="n"/>
      <c r="I64" s="17" t="n"/>
      <c r="J64" s="15" t="n"/>
      <c r="K64" s="15" t="n"/>
      <c r="L64" s="15" t="n"/>
      <c r="M64" s="18" t="n"/>
    </row>
    <row r="65" ht="22" customHeight="1">
      <c r="B65" s="11" t="n"/>
      <c r="C65" s="14" t="n"/>
      <c r="D65" s="11" t="n"/>
      <c r="E65" s="11" t="n"/>
      <c r="F65" s="11" t="n"/>
      <c r="G65" s="11" t="n"/>
      <c r="H65" s="13" t="n"/>
      <c r="I65" s="13" t="n"/>
      <c r="J65" s="11" t="n"/>
      <c r="K65" s="11" t="n"/>
      <c r="L65" s="11" t="n"/>
      <c r="M65" s="14" t="n"/>
    </row>
    <row r="66" ht="22" customHeight="1">
      <c r="B66" s="15" t="n"/>
      <c r="C66" s="18" t="n"/>
      <c r="D66" s="15" t="n"/>
      <c r="E66" s="15" t="n"/>
      <c r="F66" s="15" t="n"/>
      <c r="G66" s="15" t="n"/>
      <c r="H66" s="17" t="n"/>
      <c r="I66" s="17" t="n"/>
      <c r="J66" s="15" t="n"/>
      <c r="K66" s="15" t="n"/>
      <c r="L66" s="15" t="n"/>
      <c r="M66" s="18" t="n"/>
    </row>
    <row r="67" ht="22" customHeight="1">
      <c r="B67" s="11" t="n"/>
      <c r="C67" s="14" t="n"/>
      <c r="D67" s="11" t="n"/>
      <c r="E67" s="11" t="n"/>
      <c r="F67" s="11" t="n"/>
      <c r="G67" s="11" t="n"/>
      <c r="H67" s="13" t="n"/>
      <c r="I67" s="13" t="n"/>
      <c r="J67" s="11" t="n"/>
      <c r="K67" s="11" t="n"/>
      <c r="L67" s="11" t="n"/>
      <c r="M67" s="14" t="n"/>
    </row>
    <row r="68" ht="22" customHeight="1">
      <c r="B68" s="15" t="n"/>
      <c r="C68" s="18" t="n"/>
      <c r="D68" s="15" t="n"/>
      <c r="E68" s="15" t="n"/>
      <c r="F68" s="15" t="n"/>
      <c r="G68" s="15" t="n"/>
      <c r="H68" s="17" t="n"/>
      <c r="I68" s="17" t="n"/>
      <c r="J68" s="15" t="n"/>
      <c r="K68" s="15" t="n"/>
      <c r="L68" s="15" t="n"/>
      <c r="M68" s="18" t="n"/>
    </row>
    <row r="69" ht="22" customHeight="1">
      <c r="B69" s="11" t="n"/>
      <c r="C69" s="14" t="n"/>
      <c r="D69" s="11" t="n"/>
      <c r="E69" s="11" t="n"/>
      <c r="F69" s="11" t="n"/>
      <c r="G69" s="11" t="n"/>
      <c r="H69" s="13" t="n"/>
      <c r="I69" s="13" t="n"/>
      <c r="J69" s="11" t="n"/>
      <c r="K69" s="11" t="n"/>
      <c r="L69" s="11" t="n"/>
      <c r="M69" s="14" t="n"/>
    </row>
    <row r="70" ht="22" customHeight="1">
      <c r="B70" s="15" t="n"/>
      <c r="C70" s="18" t="n"/>
      <c r="D70" s="15" t="n"/>
      <c r="E70" s="15" t="n"/>
      <c r="F70" s="15" t="n"/>
      <c r="G70" s="15" t="n"/>
      <c r="H70" s="17" t="n"/>
      <c r="I70" s="17" t="n"/>
      <c r="J70" s="15" t="n"/>
      <c r="K70" s="15" t="n"/>
      <c r="L70" s="15" t="n"/>
      <c r="M70" s="18" t="n"/>
    </row>
    <row r="71" ht="22" customHeight="1">
      <c r="B71" s="11" t="n"/>
      <c r="C71" s="14" t="n"/>
      <c r="D71" s="11" t="n"/>
      <c r="E71" s="11" t="n"/>
      <c r="F71" s="11" t="n"/>
      <c r="G71" s="11" t="n"/>
      <c r="H71" s="13" t="n"/>
      <c r="I71" s="13" t="n"/>
      <c r="J71" s="11" t="n"/>
      <c r="K71" s="11" t="n"/>
      <c r="L71" s="11" t="n"/>
      <c r="M71" s="14" t="n"/>
    </row>
    <row r="72" ht="22" customHeight="1">
      <c r="B72" s="15" t="n"/>
      <c r="C72" s="18" t="n"/>
      <c r="D72" s="15" t="n"/>
      <c r="E72" s="15" t="n"/>
      <c r="F72" s="15" t="n"/>
      <c r="G72" s="15" t="n"/>
      <c r="H72" s="17" t="n"/>
      <c r="I72" s="17" t="n"/>
      <c r="J72" s="15" t="n"/>
      <c r="K72" s="15" t="n"/>
      <c r="L72" s="15" t="n"/>
      <c r="M72" s="18" t="n"/>
    </row>
    <row r="73" ht="22" customHeight="1">
      <c r="B73" s="11" t="n"/>
      <c r="C73" s="14" t="n"/>
      <c r="D73" s="11" t="n"/>
      <c r="E73" s="11" t="n"/>
      <c r="F73" s="11" t="n"/>
      <c r="G73" s="11" t="n"/>
      <c r="H73" s="13" t="n"/>
      <c r="I73" s="13" t="n"/>
      <c r="J73" s="11" t="n"/>
      <c r="K73" s="11" t="n"/>
      <c r="L73" s="11" t="n"/>
      <c r="M73" s="14" t="n"/>
    </row>
    <row r="74" ht="22" customHeight="1">
      <c r="B74" s="15" t="n"/>
      <c r="C74" s="18" t="n"/>
      <c r="D74" s="15" t="n"/>
      <c r="E74" s="15" t="n"/>
      <c r="F74" s="15" t="n"/>
      <c r="G74" s="15" t="n"/>
      <c r="H74" s="17" t="n"/>
      <c r="I74" s="17" t="n"/>
      <c r="J74" s="15" t="n"/>
      <c r="K74" s="15" t="n"/>
      <c r="L74" s="15" t="n"/>
      <c r="M74" s="18" t="n"/>
    </row>
    <row r="75" ht="22" customHeight="1">
      <c r="B75" s="11" t="n"/>
      <c r="C75" s="14" t="n"/>
      <c r="D75" s="11" t="n"/>
      <c r="E75" s="11" t="n"/>
      <c r="F75" s="11" t="n"/>
      <c r="G75" s="11" t="n"/>
      <c r="H75" s="13" t="n"/>
      <c r="I75" s="13" t="n"/>
      <c r="J75" s="11" t="n"/>
      <c r="K75" s="11" t="n"/>
      <c r="L75" s="11" t="n"/>
      <c r="M75" s="14" t="n"/>
    </row>
    <row r="76" ht="22" customHeight="1">
      <c r="B76" s="15" t="n"/>
      <c r="C76" s="18" t="n"/>
      <c r="D76" s="15" t="n"/>
      <c r="E76" s="15" t="n"/>
      <c r="F76" s="15" t="n"/>
      <c r="G76" s="15" t="n"/>
      <c r="H76" s="17" t="n"/>
      <c r="I76" s="17" t="n"/>
      <c r="J76" s="15" t="n"/>
      <c r="K76" s="15" t="n"/>
      <c r="L76" s="15" t="n"/>
      <c r="M76" s="18" t="n"/>
    </row>
    <row r="77" ht="22" customHeight="1">
      <c r="B77" s="11" t="n"/>
      <c r="C77" s="14" t="n"/>
      <c r="D77" s="11" t="n"/>
      <c r="E77" s="11" t="n"/>
      <c r="F77" s="11" t="n"/>
      <c r="G77" s="11" t="n"/>
      <c r="H77" s="13" t="n"/>
      <c r="I77" s="13" t="n"/>
      <c r="J77" s="11" t="n"/>
      <c r="K77" s="11" t="n"/>
      <c r="L77" s="11" t="n"/>
      <c r="M77" s="14" t="n"/>
    </row>
    <row r="78" ht="22" customHeight="1">
      <c r="B78" s="15" t="n"/>
      <c r="C78" s="18" t="n"/>
      <c r="D78" s="15" t="n"/>
      <c r="E78" s="15" t="n"/>
      <c r="F78" s="15" t="n"/>
      <c r="G78" s="15" t="n"/>
      <c r="H78" s="17" t="n"/>
      <c r="I78" s="17" t="n"/>
      <c r="J78" s="15" t="n"/>
      <c r="K78" s="15" t="n"/>
      <c r="L78" s="15" t="n"/>
      <c r="M78" s="18" t="n"/>
    </row>
    <row r="79" ht="22" customHeight="1">
      <c r="B79" s="11" t="n"/>
      <c r="C79" s="14" t="n"/>
      <c r="D79" s="11" t="n"/>
      <c r="E79" s="11" t="n"/>
      <c r="F79" s="11" t="n"/>
      <c r="G79" s="11" t="n"/>
      <c r="H79" s="13" t="n"/>
      <c r="I79" s="13" t="n"/>
      <c r="J79" s="11" t="n"/>
      <c r="K79" s="11" t="n"/>
      <c r="L79" s="11" t="n"/>
      <c r="M79" s="14" t="n"/>
    </row>
    <row r="80" ht="22" customHeight="1">
      <c r="B80" s="15" t="n"/>
      <c r="C80" s="18" t="n"/>
      <c r="D80" s="15" t="n"/>
      <c r="E80" s="15" t="n"/>
      <c r="F80" s="15" t="n"/>
      <c r="G80" s="15" t="n"/>
      <c r="H80" s="17" t="n"/>
      <c r="I80" s="17" t="n"/>
      <c r="J80" s="15" t="n"/>
      <c r="K80" s="15" t="n"/>
      <c r="L80" s="15" t="n"/>
      <c r="M80" s="18" t="n"/>
    </row>
    <row r="81" ht="22" customHeight="1">
      <c r="B81" s="11" t="n"/>
      <c r="C81" s="14" t="n"/>
      <c r="D81" s="11" t="n"/>
      <c r="E81" s="11" t="n"/>
      <c r="F81" s="11" t="n"/>
      <c r="G81" s="11" t="n"/>
      <c r="H81" s="13" t="n"/>
      <c r="I81" s="13" t="n"/>
      <c r="J81" s="11" t="n"/>
      <c r="K81" s="11" t="n"/>
      <c r="L81" s="11" t="n"/>
      <c r="M81" s="14" t="n"/>
    </row>
    <row r="82" ht="22" customHeight="1">
      <c r="B82" s="15" t="n"/>
      <c r="C82" s="18" t="n"/>
      <c r="D82" s="15" t="n"/>
      <c r="E82" s="15" t="n"/>
      <c r="F82" s="15" t="n"/>
      <c r="G82" s="15" t="n"/>
      <c r="H82" s="17" t="n"/>
      <c r="I82" s="17" t="n"/>
      <c r="J82" s="15" t="n"/>
      <c r="K82" s="15" t="n"/>
      <c r="L82" s="15" t="n"/>
      <c r="M82" s="18" t="n"/>
    </row>
    <row r="83" ht="22" customHeight="1">
      <c r="B83" s="11" t="n"/>
      <c r="C83" s="14" t="n"/>
      <c r="D83" s="11" t="n"/>
      <c r="E83" s="11" t="n"/>
      <c r="F83" s="11" t="n"/>
      <c r="G83" s="11" t="n"/>
      <c r="H83" s="13" t="n"/>
      <c r="I83" s="13" t="n"/>
      <c r="J83" s="11" t="n"/>
      <c r="K83" s="11" t="n"/>
      <c r="L83" s="11" t="n"/>
      <c r="M83" s="14" t="n"/>
    </row>
    <row r="84" ht="22" customHeight="1">
      <c r="B84" s="15" t="n"/>
      <c r="C84" s="18" t="n"/>
      <c r="D84" s="15" t="n"/>
      <c r="E84" s="15" t="n"/>
      <c r="F84" s="15" t="n"/>
      <c r="G84" s="15" t="n"/>
      <c r="H84" s="17" t="n"/>
      <c r="I84" s="17" t="n"/>
      <c r="J84" s="15" t="n"/>
      <c r="K84" s="15" t="n"/>
      <c r="L84" s="15" t="n"/>
      <c r="M84" s="18" t="n"/>
    </row>
    <row r="85" ht="22" customHeight="1">
      <c r="B85" s="11" t="n"/>
      <c r="C85" s="14" t="n"/>
      <c r="D85" s="11" t="n"/>
      <c r="E85" s="11" t="n"/>
      <c r="F85" s="11" t="n"/>
      <c r="G85" s="11" t="n"/>
      <c r="H85" s="13" t="n"/>
      <c r="I85" s="13" t="n"/>
      <c r="J85" s="11" t="n"/>
      <c r="K85" s="11" t="n"/>
      <c r="L85" s="11" t="n"/>
      <c r="M85" s="14" t="n"/>
    </row>
    <row r="86" ht="22" customHeight="1">
      <c r="B86" s="15" t="n"/>
      <c r="C86" s="18" t="n"/>
      <c r="D86" s="15" t="n"/>
      <c r="E86" s="15" t="n"/>
      <c r="F86" s="15" t="n"/>
      <c r="G86" s="15" t="n"/>
      <c r="H86" s="17" t="n"/>
      <c r="I86" s="17" t="n"/>
      <c r="J86" s="15" t="n"/>
      <c r="K86" s="15" t="n"/>
      <c r="L86" s="15" t="n"/>
      <c r="M86" s="18" t="n"/>
    </row>
    <row r="87" ht="22" customHeight="1">
      <c r="B87" s="11" t="n"/>
      <c r="C87" s="14" t="n"/>
      <c r="D87" s="11" t="n"/>
      <c r="E87" s="11" t="n"/>
      <c r="F87" s="11" t="n"/>
      <c r="G87" s="11" t="n"/>
      <c r="H87" s="13" t="n"/>
      <c r="I87" s="13" t="n"/>
      <c r="J87" s="11" t="n"/>
      <c r="K87" s="11" t="n"/>
      <c r="L87" s="11" t="n"/>
      <c r="M87" s="14" t="n"/>
    </row>
    <row r="88" ht="22" customHeight="1">
      <c r="B88" s="15" t="n"/>
      <c r="C88" s="18" t="n"/>
      <c r="D88" s="15" t="n"/>
      <c r="E88" s="15" t="n"/>
      <c r="F88" s="15" t="n"/>
      <c r="G88" s="15" t="n"/>
      <c r="H88" s="17" t="n"/>
      <c r="I88" s="17" t="n"/>
      <c r="J88" s="15" t="n"/>
      <c r="K88" s="15" t="n"/>
      <c r="L88" s="15" t="n"/>
      <c r="M88" s="18" t="n"/>
    </row>
    <row r="89" ht="22" customHeight="1">
      <c r="B89" s="11" t="n"/>
      <c r="C89" s="14" t="n"/>
      <c r="D89" s="11" t="n"/>
      <c r="E89" s="11" t="n"/>
      <c r="F89" s="11" t="n"/>
      <c r="G89" s="11" t="n"/>
      <c r="H89" s="13" t="n"/>
      <c r="I89" s="13" t="n"/>
      <c r="J89" s="11" t="n"/>
      <c r="K89" s="11" t="n"/>
      <c r="L89" s="11" t="n"/>
      <c r="M89" s="14" t="n"/>
    </row>
    <row r="90" ht="22" customHeight="1">
      <c r="B90" s="15" t="n"/>
      <c r="C90" s="18" t="n"/>
      <c r="D90" s="15" t="n"/>
      <c r="E90" s="15" t="n"/>
      <c r="F90" s="15" t="n"/>
      <c r="G90" s="15" t="n"/>
      <c r="H90" s="17" t="n"/>
      <c r="I90" s="17" t="n"/>
      <c r="J90" s="15" t="n"/>
      <c r="K90" s="15" t="n"/>
      <c r="L90" s="15" t="n"/>
      <c r="M90" s="18" t="n"/>
    </row>
    <row r="91" ht="22" customHeight="1">
      <c r="B91" s="11" t="n"/>
      <c r="C91" s="14" t="n"/>
      <c r="D91" s="11" t="n"/>
      <c r="E91" s="11" t="n"/>
      <c r="F91" s="11" t="n"/>
      <c r="G91" s="11" t="n"/>
      <c r="H91" s="13" t="n"/>
      <c r="I91" s="13" t="n"/>
      <c r="J91" s="11" t="n"/>
      <c r="K91" s="11" t="n"/>
      <c r="L91" s="11" t="n"/>
      <c r="M91" s="14" t="n"/>
    </row>
    <row r="92" ht="22" customHeight="1">
      <c r="B92" s="15" t="n"/>
      <c r="C92" s="18" t="n"/>
      <c r="D92" s="15" t="n"/>
      <c r="E92" s="15" t="n"/>
      <c r="F92" s="15" t="n"/>
      <c r="G92" s="15" t="n"/>
      <c r="H92" s="17" t="n"/>
      <c r="I92" s="17" t="n"/>
      <c r="J92" s="15" t="n"/>
      <c r="K92" s="15" t="n"/>
      <c r="L92" s="15" t="n"/>
      <c r="M92" s="18" t="n"/>
    </row>
    <row r="93" ht="22" customHeight="1">
      <c r="B93" s="11" t="n"/>
      <c r="C93" s="14" t="n"/>
      <c r="D93" s="11" t="n"/>
      <c r="E93" s="11" t="n"/>
      <c r="F93" s="11" t="n"/>
      <c r="G93" s="11" t="n"/>
      <c r="H93" s="13" t="n"/>
      <c r="I93" s="13" t="n"/>
      <c r="J93" s="11" t="n"/>
      <c r="K93" s="11" t="n"/>
      <c r="L93" s="11" t="n"/>
      <c r="M93" s="14" t="n"/>
    </row>
    <row r="94" ht="22" customHeight="1">
      <c r="B94" s="15" t="n"/>
      <c r="C94" s="18" t="n"/>
      <c r="D94" s="15" t="n"/>
      <c r="E94" s="15" t="n"/>
      <c r="F94" s="15" t="n"/>
      <c r="G94" s="15" t="n"/>
      <c r="H94" s="17" t="n"/>
      <c r="I94" s="17" t="n"/>
      <c r="J94" s="15" t="n"/>
      <c r="K94" s="15" t="n"/>
      <c r="L94" s="15" t="n"/>
      <c r="M94" s="18" t="n"/>
    </row>
    <row r="95" ht="22" customHeight="1">
      <c r="B95" s="11" t="n"/>
      <c r="C95" s="14" t="n"/>
      <c r="D95" s="11" t="n"/>
      <c r="E95" s="11" t="n"/>
      <c r="F95" s="11" t="n"/>
      <c r="G95" s="11" t="n"/>
      <c r="H95" s="13" t="n"/>
      <c r="I95" s="13" t="n"/>
      <c r="J95" s="11" t="n"/>
      <c r="K95" s="11" t="n"/>
      <c r="L95" s="11" t="n"/>
      <c r="M95" s="14" t="n"/>
    </row>
    <row r="96" ht="22" customHeight="1">
      <c r="B96" s="15" t="n"/>
      <c r="C96" s="18" t="n"/>
      <c r="D96" s="15" t="n"/>
      <c r="E96" s="15" t="n"/>
      <c r="F96" s="15" t="n"/>
      <c r="G96" s="15" t="n"/>
      <c r="H96" s="17" t="n"/>
      <c r="I96" s="17" t="n"/>
      <c r="J96" s="15" t="n"/>
      <c r="K96" s="15" t="n"/>
      <c r="L96" s="15" t="n"/>
      <c r="M96" s="18" t="n"/>
    </row>
    <row r="97" ht="22" customHeight="1">
      <c r="B97" s="11" t="n"/>
      <c r="C97" s="14" t="n"/>
      <c r="D97" s="11" t="n"/>
      <c r="E97" s="11" t="n"/>
      <c r="F97" s="11" t="n"/>
      <c r="G97" s="11" t="n"/>
      <c r="H97" s="13" t="n"/>
      <c r="I97" s="13" t="n"/>
      <c r="J97" s="11" t="n"/>
      <c r="K97" s="11" t="n"/>
      <c r="L97" s="11" t="n"/>
      <c r="M97" s="14" t="n"/>
    </row>
    <row r="98" ht="22" customHeight="1">
      <c r="B98" s="15" t="n"/>
      <c r="C98" s="18" t="n"/>
      <c r="D98" s="15" t="n"/>
      <c r="E98" s="15" t="n"/>
      <c r="F98" s="15" t="n"/>
      <c r="G98" s="15" t="n"/>
      <c r="H98" s="17" t="n"/>
      <c r="I98" s="17" t="n"/>
      <c r="J98" s="15" t="n"/>
      <c r="K98" s="15" t="n"/>
      <c r="L98" s="15" t="n"/>
      <c r="M98" s="18" t="n"/>
    </row>
    <row r="99" ht="22" customHeight="1">
      <c r="B99" s="11" t="n"/>
      <c r="C99" s="14" t="n"/>
      <c r="D99" s="11" t="n"/>
      <c r="E99" s="11" t="n"/>
      <c r="F99" s="11" t="n"/>
      <c r="G99" s="11" t="n"/>
      <c r="H99" s="13" t="n"/>
      <c r="I99" s="13" t="n"/>
      <c r="J99" s="11" t="n"/>
      <c r="K99" s="11" t="n"/>
      <c r="L99" s="11" t="n"/>
      <c r="M99" s="14" t="n"/>
    </row>
    <row r="100" ht="22" customHeight="1">
      <c r="B100" s="15" t="n"/>
      <c r="C100" s="18" t="n"/>
      <c r="D100" s="15" t="n"/>
      <c r="E100" s="15" t="n"/>
      <c r="F100" s="15" t="n"/>
      <c r="G100" s="15" t="n"/>
      <c r="H100" s="17" t="n"/>
      <c r="I100" s="17" t="n"/>
      <c r="J100" s="15" t="n"/>
      <c r="K100" s="15" t="n"/>
      <c r="L100" s="15" t="n"/>
      <c r="M100" s="18" t="n"/>
    </row>
    <row r="101" ht="22" customHeight="1">
      <c r="B101" s="11" t="n"/>
      <c r="C101" s="14" t="n"/>
      <c r="D101" s="11" t="n"/>
      <c r="E101" s="11" t="n"/>
      <c r="F101" s="11" t="n"/>
      <c r="G101" s="11" t="n"/>
      <c r="H101" s="13" t="n"/>
      <c r="I101" s="13" t="n"/>
      <c r="J101" s="11" t="n"/>
      <c r="K101" s="11" t="n"/>
      <c r="L101" s="11" t="n"/>
      <c r="M101" s="14" t="n"/>
    </row>
    <row r="102" ht="22" customHeight="1">
      <c r="B102" s="15" t="n"/>
      <c r="C102" s="18" t="n"/>
      <c r="D102" s="15" t="n"/>
      <c r="E102" s="15" t="n"/>
      <c r="F102" s="15" t="n"/>
      <c r="G102" s="15" t="n"/>
      <c r="H102" s="17" t="n"/>
      <c r="I102" s="17" t="n"/>
      <c r="J102" s="15" t="n"/>
      <c r="K102" s="15" t="n"/>
      <c r="L102" s="15" t="n"/>
      <c r="M102" s="18" t="n"/>
    </row>
    <row r="103" ht="22" customHeight="1">
      <c r="B103" s="11" t="n"/>
      <c r="C103" s="14" t="n"/>
      <c r="D103" s="11" t="n"/>
      <c r="E103" s="11" t="n"/>
      <c r="F103" s="11" t="n"/>
      <c r="G103" s="11" t="n"/>
      <c r="H103" s="13" t="n"/>
      <c r="I103" s="13" t="n"/>
      <c r="J103" s="11" t="n"/>
      <c r="K103" s="11" t="n"/>
      <c r="L103" s="11" t="n"/>
      <c r="M103" s="14" t="n"/>
    </row>
    <row r="104" ht="22" customHeight="1">
      <c r="B104" s="15" t="n"/>
      <c r="C104" s="18" t="n"/>
      <c r="D104" s="15" t="n"/>
      <c r="E104" s="15" t="n"/>
      <c r="F104" s="15" t="n"/>
      <c r="G104" s="15" t="n"/>
      <c r="H104" s="17" t="n"/>
      <c r="I104" s="17" t="n"/>
      <c r="J104" s="15" t="n"/>
      <c r="K104" s="15" t="n"/>
      <c r="L104" s="15" t="n"/>
      <c r="M104" s="18" t="n"/>
    </row>
    <row r="105" ht="22" customHeight="1">
      <c r="B105" s="11" t="n"/>
      <c r="C105" s="14" t="n"/>
      <c r="D105" s="11" t="n"/>
      <c r="E105" s="11" t="n"/>
      <c r="F105" s="11" t="n"/>
      <c r="G105" s="11" t="n"/>
      <c r="H105" s="13" t="n"/>
      <c r="I105" s="13" t="n"/>
      <c r="J105" s="11" t="n"/>
      <c r="K105" s="11" t="n"/>
      <c r="L105" s="11" t="n"/>
      <c r="M105" s="14" t="n"/>
    </row>
    <row r="106" ht="22" customHeight="1">
      <c r="B106" s="15" t="n"/>
      <c r="C106" s="18" t="n"/>
      <c r="D106" s="15" t="n"/>
      <c r="E106" s="15" t="n"/>
      <c r="F106" s="15" t="n"/>
      <c r="G106" s="15" t="n"/>
      <c r="H106" s="17" t="n"/>
      <c r="I106" s="17" t="n"/>
      <c r="J106" s="15" t="n"/>
      <c r="K106" s="15" t="n"/>
      <c r="L106" s="15" t="n"/>
      <c r="M106" s="18" t="n"/>
    </row>
    <row r="107" ht="22" customHeight="1">
      <c r="B107" s="11" t="n"/>
      <c r="C107" s="14" t="n"/>
      <c r="D107" s="11" t="n"/>
      <c r="E107" s="11" t="n"/>
      <c r="F107" s="11" t="n"/>
      <c r="G107" s="11" t="n"/>
      <c r="H107" s="13" t="n"/>
      <c r="I107" s="13" t="n"/>
      <c r="J107" s="11" t="n"/>
      <c r="K107" s="11" t="n"/>
      <c r="L107" s="11" t="n"/>
      <c r="M107" s="14" t="n"/>
    </row>
    <row r="108" ht="22" customHeight="1">
      <c r="B108" s="15" t="n"/>
      <c r="C108" s="18" t="n"/>
      <c r="D108" s="15" t="n"/>
      <c r="E108" s="15" t="n"/>
      <c r="F108" s="15" t="n"/>
      <c r="G108" s="15" t="n"/>
      <c r="H108" s="17" t="n"/>
      <c r="I108" s="17" t="n"/>
      <c r="J108" s="15" t="n"/>
      <c r="K108" s="15" t="n"/>
      <c r="L108" s="15" t="n"/>
      <c r="M108" s="18" t="n"/>
    </row>
    <row r="109" ht="22" customHeight="1">
      <c r="B109" s="11" t="n"/>
      <c r="C109" s="14" t="n"/>
      <c r="D109" s="11" t="n"/>
      <c r="E109" s="11" t="n"/>
      <c r="F109" s="11" t="n"/>
      <c r="G109" s="11" t="n"/>
      <c r="H109" s="13" t="n"/>
      <c r="I109" s="13" t="n"/>
      <c r="J109" s="11" t="n"/>
      <c r="K109" s="11" t="n"/>
      <c r="L109" s="11" t="n"/>
      <c r="M109" s="14" t="n"/>
    </row>
    <row r="110" ht="22" customHeight="1">
      <c r="B110" s="15" t="n"/>
      <c r="C110" s="18" t="n"/>
      <c r="D110" s="15" t="n"/>
      <c r="E110" s="15" t="n"/>
      <c r="F110" s="15" t="n"/>
      <c r="G110" s="15" t="n"/>
      <c r="H110" s="17" t="n"/>
      <c r="I110" s="17" t="n"/>
      <c r="J110" s="15" t="n"/>
      <c r="K110" s="15" t="n"/>
      <c r="L110" s="15" t="n"/>
      <c r="M110" s="18" t="n"/>
    </row>
    <row r="111" ht="22" customHeight="1">
      <c r="B111" s="11" t="n"/>
      <c r="C111" s="14" t="n"/>
      <c r="D111" s="11" t="n"/>
      <c r="E111" s="11" t="n"/>
      <c r="F111" s="11" t="n"/>
      <c r="G111" s="11" t="n"/>
      <c r="H111" s="13" t="n"/>
      <c r="I111" s="13" t="n"/>
      <c r="J111" s="11" t="n"/>
      <c r="K111" s="11" t="n"/>
      <c r="L111" s="11" t="n"/>
      <c r="M111" s="14" t="n"/>
    </row>
    <row r="112" ht="22" customHeight="1">
      <c r="B112" s="15" t="n"/>
      <c r="C112" s="18" t="n"/>
      <c r="D112" s="15" t="n"/>
      <c r="E112" s="15" t="n"/>
      <c r="F112" s="15" t="n"/>
      <c r="G112" s="15" t="n"/>
      <c r="H112" s="17" t="n"/>
      <c r="I112" s="17" t="n"/>
      <c r="J112" s="15" t="n"/>
      <c r="K112" s="15" t="n"/>
      <c r="L112" s="15" t="n"/>
      <c r="M112" s="18" t="n"/>
    </row>
    <row r="113" ht="22" customHeight="1">
      <c r="B113" s="11" t="n"/>
      <c r="C113" s="14" t="n"/>
      <c r="D113" s="11" t="n"/>
      <c r="E113" s="11" t="n"/>
      <c r="F113" s="11" t="n"/>
      <c r="G113" s="11" t="n"/>
      <c r="H113" s="13" t="n"/>
      <c r="I113" s="13" t="n"/>
      <c r="J113" s="11" t="n"/>
      <c r="K113" s="11" t="n"/>
      <c r="L113" s="11" t="n"/>
      <c r="M113" s="14" t="n"/>
    </row>
    <row r="114" ht="22" customHeight="1">
      <c r="B114" s="15" t="n"/>
      <c r="C114" s="18" t="n"/>
      <c r="D114" s="15" t="n"/>
      <c r="E114" s="15" t="n"/>
      <c r="F114" s="15" t="n"/>
      <c r="G114" s="15" t="n"/>
      <c r="H114" s="17" t="n"/>
      <c r="I114" s="17" t="n"/>
      <c r="J114" s="15" t="n"/>
      <c r="K114" s="15" t="n"/>
      <c r="L114" s="15" t="n"/>
      <c r="M114" s="18" t="n"/>
    </row>
    <row r="115" ht="22" customHeight="1">
      <c r="B115" s="11" t="n"/>
      <c r="C115" s="14" t="n"/>
      <c r="D115" s="11" t="n"/>
      <c r="E115" s="11" t="n"/>
      <c r="F115" s="11" t="n"/>
      <c r="G115" s="11" t="n"/>
      <c r="H115" s="13" t="n"/>
      <c r="I115" s="13" t="n"/>
      <c r="J115" s="11" t="n"/>
      <c r="K115" s="11" t="n"/>
      <c r="L115" s="11" t="n"/>
      <c r="M115" s="14" t="n"/>
    </row>
    <row r="116" ht="22" customHeight="1">
      <c r="B116" s="15" t="n"/>
      <c r="C116" s="18" t="n"/>
      <c r="D116" s="15" t="n"/>
      <c r="E116" s="15" t="n"/>
      <c r="F116" s="15" t="n"/>
      <c r="G116" s="15" t="n"/>
      <c r="H116" s="17" t="n"/>
      <c r="I116" s="17" t="n"/>
      <c r="J116" s="15" t="n"/>
      <c r="K116" s="15" t="n"/>
      <c r="L116" s="15" t="n"/>
      <c r="M116" s="18" t="n"/>
    </row>
    <row r="117" ht="22" customHeight="1">
      <c r="B117" s="11" t="n"/>
      <c r="C117" s="14" t="n"/>
      <c r="D117" s="11" t="n"/>
      <c r="E117" s="11" t="n"/>
      <c r="F117" s="11" t="n"/>
      <c r="G117" s="11" t="n"/>
      <c r="H117" s="13" t="n"/>
      <c r="I117" s="13" t="n"/>
      <c r="J117" s="11" t="n"/>
      <c r="K117" s="11" t="n"/>
      <c r="L117" s="11" t="n"/>
      <c r="M117" s="14" t="n"/>
    </row>
    <row r="118" ht="22" customHeight="1">
      <c r="B118" s="15" t="n"/>
      <c r="C118" s="18" t="n"/>
      <c r="D118" s="15" t="n"/>
      <c r="E118" s="15" t="n"/>
      <c r="F118" s="15" t="n"/>
      <c r="G118" s="15" t="n"/>
      <c r="H118" s="17" t="n"/>
      <c r="I118" s="17" t="n"/>
      <c r="J118" s="15" t="n"/>
      <c r="K118" s="15" t="n"/>
      <c r="L118" s="15" t="n"/>
      <c r="M118" s="18" t="n"/>
    </row>
    <row r="119" ht="22" customHeight="1">
      <c r="B119" s="11" t="n"/>
      <c r="C119" s="14" t="n"/>
      <c r="D119" s="11" t="n"/>
      <c r="E119" s="11" t="n"/>
      <c r="F119" s="11" t="n"/>
      <c r="G119" s="11" t="n"/>
      <c r="H119" s="13" t="n"/>
      <c r="I119" s="13" t="n"/>
      <c r="J119" s="11" t="n"/>
      <c r="K119" s="11" t="n"/>
      <c r="L119" s="11" t="n"/>
      <c r="M119" s="14" t="n"/>
    </row>
    <row r="120" ht="22" customHeight="1">
      <c r="B120" s="15" t="n"/>
      <c r="C120" s="18" t="n"/>
      <c r="D120" s="15" t="n"/>
      <c r="E120" s="15" t="n"/>
      <c r="F120" s="15" t="n"/>
      <c r="G120" s="15" t="n"/>
      <c r="H120" s="17" t="n"/>
      <c r="I120" s="17" t="n"/>
      <c r="J120" s="15" t="n"/>
      <c r="K120" s="15" t="n"/>
      <c r="L120" s="15" t="n"/>
      <c r="M120" s="18" t="n"/>
    </row>
    <row r="121" ht="22" customHeight="1">
      <c r="B121" s="11" t="n"/>
      <c r="C121" s="14" t="n"/>
      <c r="D121" s="11" t="n"/>
      <c r="E121" s="11" t="n"/>
      <c r="F121" s="11" t="n"/>
      <c r="G121" s="11" t="n"/>
      <c r="H121" s="13" t="n"/>
      <c r="I121" s="13" t="n"/>
      <c r="J121" s="11" t="n"/>
      <c r="K121" s="11" t="n"/>
      <c r="L121" s="11" t="n"/>
      <c r="M121" s="14" t="n"/>
    </row>
    <row r="122" ht="22" customHeight="1">
      <c r="B122" s="15" t="n"/>
      <c r="C122" s="18" t="n"/>
      <c r="D122" s="15" t="n"/>
      <c r="E122" s="15" t="n"/>
      <c r="F122" s="15" t="n"/>
      <c r="G122" s="15" t="n"/>
      <c r="H122" s="17" t="n"/>
      <c r="I122" s="17" t="n"/>
      <c r="J122" s="15" t="n"/>
      <c r="K122" s="15" t="n"/>
      <c r="L122" s="15" t="n"/>
      <c r="M122" s="18" t="n"/>
    </row>
    <row r="123" ht="22" customHeight="1">
      <c r="B123" s="11" t="n"/>
      <c r="C123" s="14" t="n"/>
      <c r="D123" s="11" t="n"/>
      <c r="E123" s="11" t="n"/>
      <c r="F123" s="11" t="n"/>
      <c r="G123" s="11" t="n"/>
      <c r="H123" s="13" t="n"/>
      <c r="I123" s="13" t="n"/>
      <c r="J123" s="11" t="n"/>
      <c r="K123" s="11" t="n"/>
      <c r="L123" s="11" t="n"/>
      <c r="M123" s="14" t="n"/>
    </row>
    <row r="124" ht="22" customHeight="1">
      <c r="B124" s="15" t="n"/>
      <c r="C124" s="18" t="n"/>
      <c r="D124" s="15" t="n"/>
      <c r="E124" s="15" t="n"/>
      <c r="F124" s="15" t="n"/>
      <c r="G124" s="15" t="n"/>
      <c r="H124" s="17" t="n"/>
      <c r="I124" s="17" t="n"/>
      <c r="J124" s="15" t="n"/>
      <c r="K124" s="15" t="n"/>
      <c r="L124" s="15" t="n"/>
      <c r="M124" s="18" t="n"/>
    </row>
    <row r="125" ht="22" customHeight="1">
      <c r="B125" s="11" t="n"/>
      <c r="C125" s="14" t="n"/>
      <c r="D125" s="11" t="n"/>
      <c r="E125" s="11" t="n"/>
      <c r="F125" s="11" t="n"/>
      <c r="G125" s="11" t="n"/>
      <c r="H125" s="13" t="n"/>
      <c r="I125" s="13" t="n"/>
      <c r="J125" s="11" t="n"/>
      <c r="K125" s="11" t="n"/>
      <c r="L125" s="11" t="n"/>
      <c r="M125" s="14" t="n"/>
    </row>
    <row r="126" ht="22" customHeight="1">
      <c r="B126" s="15" t="n"/>
      <c r="C126" s="18" t="n"/>
      <c r="D126" s="15" t="n"/>
      <c r="E126" s="15" t="n"/>
      <c r="F126" s="15" t="n"/>
      <c r="G126" s="15" t="n"/>
      <c r="H126" s="17" t="n"/>
      <c r="I126" s="17" t="n"/>
      <c r="J126" s="15" t="n"/>
      <c r="K126" s="15" t="n"/>
      <c r="L126" s="15" t="n"/>
      <c r="M126" s="18" t="n"/>
    </row>
    <row r="127" ht="22" customHeight="1">
      <c r="B127" s="11" t="n"/>
      <c r="C127" s="14" t="n"/>
      <c r="D127" s="11" t="n"/>
      <c r="E127" s="11" t="n"/>
      <c r="F127" s="11" t="n"/>
      <c r="G127" s="11" t="n"/>
      <c r="H127" s="13" t="n"/>
      <c r="I127" s="13" t="n"/>
      <c r="J127" s="11" t="n"/>
      <c r="K127" s="11" t="n"/>
      <c r="L127" s="11" t="n"/>
      <c r="M127" s="14" t="n"/>
    </row>
    <row r="128" ht="22" customHeight="1">
      <c r="B128" s="15" t="n"/>
      <c r="C128" s="18" t="n"/>
      <c r="D128" s="15" t="n"/>
      <c r="E128" s="15" t="n"/>
      <c r="F128" s="15" t="n"/>
      <c r="G128" s="15" t="n"/>
      <c r="H128" s="17" t="n"/>
      <c r="I128" s="17" t="n"/>
      <c r="J128" s="15" t="n"/>
      <c r="K128" s="15" t="n"/>
      <c r="L128" s="15" t="n"/>
      <c r="M128" s="18" t="n"/>
    </row>
    <row r="129" ht="22" customHeight="1">
      <c r="B129" s="11" t="n"/>
      <c r="C129" s="14" t="n"/>
      <c r="D129" s="11" t="n"/>
      <c r="E129" s="11" t="n"/>
      <c r="F129" s="11" t="n"/>
      <c r="G129" s="11" t="n"/>
      <c r="H129" s="13" t="n"/>
      <c r="I129" s="13" t="n"/>
      <c r="J129" s="11" t="n"/>
      <c r="K129" s="11" t="n"/>
      <c r="L129" s="11" t="n"/>
      <c r="M129" s="14" t="n"/>
    </row>
    <row r="130" ht="22" customHeight="1">
      <c r="B130" s="15" t="n"/>
      <c r="C130" s="18" t="n"/>
      <c r="D130" s="15" t="n"/>
      <c r="E130" s="15" t="n"/>
      <c r="F130" s="15" t="n"/>
      <c r="G130" s="15" t="n"/>
      <c r="H130" s="17" t="n"/>
      <c r="I130" s="17" t="n"/>
      <c r="J130" s="15" t="n"/>
      <c r="K130" s="15" t="n"/>
      <c r="L130" s="15" t="n"/>
      <c r="M130" s="18" t="n"/>
    </row>
    <row r="131" ht="22" customHeight="1">
      <c r="B131" s="11" t="n"/>
      <c r="C131" s="14" t="n"/>
      <c r="D131" s="11" t="n"/>
      <c r="E131" s="11" t="n"/>
      <c r="F131" s="11" t="n"/>
      <c r="G131" s="11" t="n"/>
      <c r="H131" s="13" t="n"/>
      <c r="I131" s="13" t="n"/>
      <c r="J131" s="11" t="n"/>
      <c r="K131" s="11" t="n"/>
      <c r="L131" s="11" t="n"/>
      <c r="M131" s="14" t="n"/>
    </row>
    <row r="132" ht="22" customHeight="1">
      <c r="B132" s="15" t="n"/>
      <c r="C132" s="18" t="n"/>
      <c r="D132" s="15" t="n"/>
      <c r="E132" s="15" t="n"/>
      <c r="F132" s="15" t="n"/>
      <c r="G132" s="15" t="n"/>
      <c r="H132" s="17" t="n"/>
      <c r="I132" s="17" t="n"/>
      <c r="J132" s="15" t="n"/>
      <c r="K132" s="15" t="n"/>
      <c r="L132" s="15" t="n"/>
      <c r="M132" s="18" t="n"/>
    </row>
    <row r="133" ht="22" customHeight="1">
      <c r="B133" s="11" t="n"/>
      <c r="C133" s="14" t="n"/>
      <c r="D133" s="11" t="n"/>
      <c r="E133" s="11" t="n"/>
      <c r="F133" s="11" t="n"/>
      <c r="G133" s="11" t="n"/>
      <c r="H133" s="13" t="n"/>
      <c r="I133" s="13" t="n"/>
      <c r="J133" s="11" t="n"/>
      <c r="K133" s="11" t="n"/>
      <c r="L133" s="11" t="n"/>
      <c r="M133" s="14" t="n"/>
    </row>
    <row r="134" ht="22" customHeight="1">
      <c r="B134" s="15" t="n"/>
      <c r="C134" s="18" t="n"/>
      <c r="D134" s="15" t="n"/>
      <c r="E134" s="15" t="n"/>
      <c r="F134" s="15" t="n"/>
      <c r="G134" s="15" t="n"/>
      <c r="H134" s="17" t="n"/>
      <c r="I134" s="17" t="n"/>
      <c r="J134" s="15" t="n"/>
      <c r="K134" s="15" t="n"/>
      <c r="L134" s="15" t="n"/>
      <c r="M134" s="18" t="n"/>
    </row>
    <row r="135" ht="22" customHeight="1">
      <c r="B135" s="11" t="n"/>
      <c r="C135" s="14" t="n"/>
      <c r="D135" s="11" t="n"/>
      <c r="E135" s="11" t="n"/>
      <c r="F135" s="11" t="n"/>
      <c r="G135" s="11" t="n"/>
      <c r="H135" s="13" t="n"/>
      <c r="I135" s="13" t="n"/>
      <c r="J135" s="11" t="n"/>
      <c r="K135" s="11" t="n"/>
      <c r="L135" s="11" t="n"/>
      <c r="M135" s="14" t="n"/>
    </row>
    <row r="136" ht="22" customHeight="1">
      <c r="B136" s="15" t="n"/>
      <c r="C136" s="18" t="n"/>
      <c r="D136" s="15" t="n"/>
      <c r="E136" s="15" t="n"/>
      <c r="F136" s="15" t="n"/>
      <c r="G136" s="15" t="n"/>
      <c r="H136" s="17" t="n"/>
      <c r="I136" s="17" t="n"/>
      <c r="J136" s="15" t="n"/>
      <c r="K136" s="15" t="n"/>
      <c r="L136" s="15" t="n"/>
      <c r="M136" s="18" t="n"/>
    </row>
    <row r="137" ht="22" customHeight="1">
      <c r="B137" s="11" t="n"/>
      <c r="C137" s="14" t="n"/>
      <c r="D137" s="11" t="n"/>
      <c r="E137" s="11" t="n"/>
      <c r="F137" s="11" t="n"/>
      <c r="G137" s="11" t="n"/>
      <c r="H137" s="13" t="n"/>
      <c r="I137" s="13" t="n"/>
      <c r="J137" s="11" t="n"/>
      <c r="K137" s="11" t="n"/>
      <c r="L137" s="11" t="n"/>
      <c r="M137" s="14" t="n"/>
    </row>
    <row r="138" ht="22" customHeight="1">
      <c r="B138" s="15" t="n"/>
      <c r="C138" s="18" t="n"/>
      <c r="D138" s="15" t="n"/>
      <c r="E138" s="15" t="n"/>
      <c r="F138" s="15" t="n"/>
      <c r="G138" s="15" t="n"/>
      <c r="H138" s="17" t="n"/>
      <c r="I138" s="17" t="n"/>
      <c r="J138" s="15" t="n"/>
      <c r="K138" s="15" t="n"/>
      <c r="L138" s="15" t="n"/>
      <c r="M138" s="18" t="n"/>
    </row>
    <row r="139" ht="22" customHeight="1">
      <c r="B139" s="11" t="n"/>
      <c r="C139" s="14" t="n"/>
      <c r="D139" s="11" t="n"/>
      <c r="E139" s="11" t="n"/>
      <c r="F139" s="11" t="n"/>
      <c r="G139" s="11" t="n"/>
      <c r="H139" s="13" t="n"/>
      <c r="I139" s="13" t="n"/>
      <c r="J139" s="11" t="n"/>
      <c r="K139" s="11" t="n"/>
      <c r="L139" s="11" t="n"/>
      <c r="M139" s="14" t="n"/>
    </row>
    <row r="140" ht="22" customHeight="1">
      <c r="B140" s="15" t="n"/>
      <c r="C140" s="18" t="n"/>
      <c r="D140" s="15" t="n"/>
      <c r="E140" s="15" t="n"/>
      <c r="F140" s="15" t="n"/>
      <c r="G140" s="15" t="n"/>
      <c r="H140" s="17" t="n"/>
      <c r="I140" s="17" t="n"/>
      <c r="J140" s="15" t="n"/>
      <c r="K140" s="15" t="n"/>
      <c r="L140" s="15" t="n"/>
      <c r="M140" s="18" t="n"/>
    </row>
    <row r="141" ht="22" customHeight="1">
      <c r="B141" s="11" t="n"/>
      <c r="C141" s="14" t="n"/>
      <c r="D141" s="11" t="n"/>
      <c r="E141" s="11" t="n"/>
      <c r="F141" s="11" t="n"/>
      <c r="G141" s="11" t="n"/>
      <c r="H141" s="13" t="n"/>
      <c r="I141" s="13" t="n"/>
      <c r="J141" s="11" t="n"/>
      <c r="K141" s="11" t="n"/>
      <c r="L141" s="11" t="n"/>
      <c r="M141" s="14" t="n"/>
    </row>
    <row r="142" ht="22" customHeight="1">
      <c r="B142" s="15" t="n"/>
      <c r="C142" s="18" t="n"/>
      <c r="D142" s="15" t="n"/>
      <c r="E142" s="15" t="n"/>
      <c r="F142" s="15" t="n"/>
      <c r="G142" s="15" t="n"/>
      <c r="H142" s="17" t="n"/>
      <c r="I142" s="17" t="n"/>
      <c r="J142" s="15" t="n"/>
      <c r="K142" s="15" t="n"/>
      <c r="L142" s="15" t="n"/>
      <c r="M142" s="18" t="n"/>
    </row>
    <row r="143" ht="22" customHeight="1">
      <c r="B143" s="11" t="n"/>
      <c r="C143" s="14" t="n"/>
      <c r="D143" s="11" t="n"/>
      <c r="E143" s="11" t="n"/>
      <c r="F143" s="11" t="n"/>
      <c r="G143" s="11" t="n"/>
      <c r="H143" s="13" t="n"/>
      <c r="I143" s="13" t="n"/>
      <c r="J143" s="11" t="n"/>
      <c r="K143" s="11" t="n"/>
      <c r="L143" s="11" t="n"/>
      <c r="M143" s="14" t="n"/>
    </row>
    <row r="144" ht="22" customHeight="1">
      <c r="B144" s="15" t="n"/>
      <c r="C144" s="18" t="n"/>
      <c r="D144" s="15" t="n"/>
      <c r="E144" s="15" t="n"/>
      <c r="F144" s="15" t="n"/>
      <c r="G144" s="15" t="n"/>
      <c r="H144" s="17" t="n"/>
      <c r="I144" s="17" t="n"/>
      <c r="J144" s="15" t="n"/>
      <c r="K144" s="15" t="n"/>
      <c r="L144" s="15" t="n"/>
      <c r="M144" s="18" t="n"/>
    </row>
    <row r="145" ht="22" customHeight="1">
      <c r="B145" s="11" t="n"/>
      <c r="C145" s="14" t="n"/>
      <c r="D145" s="11" t="n"/>
      <c r="E145" s="11" t="n"/>
      <c r="F145" s="11" t="n"/>
      <c r="G145" s="11" t="n"/>
      <c r="H145" s="13" t="n"/>
      <c r="I145" s="13" t="n"/>
      <c r="J145" s="11" t="n"/>
      <c r="K145" s="11" t="n"/>
      <c r="L145" s="11" t="n"/>
      <c r="M145" s="14" t="n"/>
    </row>
    <row r="146" ht="22" customHeight="1">
      <c r="B146" s="15" t="n"/>
      <c r="C146" s="18" t="n"/>
      <c r="D146" s="15" t="n"/>
      <c r="E146" s="15" t="n"/>
      <c r="F146" s="15" t="n"/>
      <c r="G146" s="15" t="n"/>
      <c r="H146" s="17" t="n"/>
      <c r="I146" s="17" t="n"/>
      <c r="J146" s="15" t="n"/>
      <c r="K146" s="15" t="n"/>
      <c r="L146" s="15" t="n"/>
      <c r="M146" s="18" t="n"/>
    </row>
    <row r="147" ht="22" customHeight="1">
      <c r="B147" s="11" t="n"/>
      <c r="C147" s="14" t="n"/>
      <c r="D147" s="11" t="n"/>
      <c r="E147" s="11" t="n"/>
      <c r="F147" s="11" t="n"/>
      <c r="G147" s="11" t="n"/>
      <c r="H147" s="13" t="n"/>
      <c r="I147" s="13" t="n"/>
      <c r="J147" s="11" t="n"/>
      <c r="K147" s="11" t="n"/>
      <c r="L147" s="11" t="n"/>
      <c r="M147" s="14" t="n"/>
    </row>
    <row r="148" ht="22" customHeight="1">
      <c r="B148" s="15" t="n"/>
      <c r="C148" s="18" t="n"/>
      <c r="D148" s="15" t="n"/>
      <c r="E148" s="15" t="n"/>
      <c r="F148" s="15" t="n"/>
      <c r="G148" s="15" t="n"/>
      <c r="H148" s="17" t="n"/>
      <c r="I148" s="17" t="n"/>
      <c r="J148" s="15" t="n"/>
      <c r="K148" s="15" t="n"/>
      <c r="L148" s="15" t="n"/>
      <c r="M148" s="18" t="n"/>
    </row>
    <row r="149" ht="22" customHeight="1">
      <c r="B149" s="11" t="n"/>
      <c r="C149" s="14" t="n"/>
      <c r="D149" s="11" t="n"/>
      <c r="E149" s="11" t="n"/>
      <c r="F149" s="11" t="n"/>
      <c r="G149" s="11" t="n"/>
      <c r="H149" s="13" t="n"/>
      <c r="I149" s="13" t="n"/>
      <c r="J149" s="11" t="n"/>
      <c r="K149" s="11" t="n"/>
      <c r="L149" s="11" t="n"/>
      <c r="M149" s="14" t="n"/>
    </row>
    <row r="150" ht="22" customHeight="1">
      <c r="B150" s="15" t="n"/>
      <c r="C150" s="18" t="n"/>
      <c r="D150" s="15" t="n"/>
      <c r="E150" s="15" t="n"/>
      <c r="F150" s="15" t="n"/>
      <c r="G150" s="15" t="n"/>
      <c r="H150" s="17" t="n"/>
      <c r="I150" s="17" t="n"/>
      <c r="J150" s="15" t="n"/>
      <c r="K150" s="15" t="n"/>
      <c r="L150" s="15" t="n"/>
      <c r="M150" s="18" t="n"/>
    </row>
    <row r="151" ht="22" customHeight="1">
      <c r="B151" s="11" t="n"/>
      <c r="C151" s="14" t="n"/>
      <c r="D151" s="11" t="n"/>
      <c r="E151" s="11" t="n"/>
      <c r="F151" s="11" t="n"/>
      <c r="G151" s="11" t="n"/>
      <c r="H151" s="13" t="n"/>
      <c r="I151" s="13" t="n"/>
      <c r="J151" s="11" t="n"/>
      <c r="K151" s="11" t="n"/>
      <c r="L151" s="11" t="n"/>
      <c r="M151" s="14" t="n"/>
    </row>
    <row r="152" ht="22" customHeight="1">
      <c r="B152" s="15" t="n"/>
      <c r="C152" s="18" t="n"/>
      <c r="D152" s="15" t="n"/>
      <c r="E152" s="15" t="n"/>
      <c r="F152" s="15" t="n"/>
      <c r="G152" s="15" t="n"/>
      <c r="H152" s="17" t="n"/>
      <c r="I152" s="17" t="n"/>
      <c r="J152" s="15" t="n"/>
      <c r="K152" s="15" t="n"/>
      <c r="L152" s="15" t="n"/>
      <c r="M152" s="18" t="n"/>
    </row>
    <row r="153" ht="22" customHeight="1">
      <c r="B153" s="11" t="n"/>
      <c r="C153" s="14" t="n"/>
      <c r="D153" s="11" t="n"/>
      <c r="E153" s="11" t="n"/>
      <c r="F153" s="11" t="n"/>
      <c r="G153" s="11" t="n"/>
      <c r="H153" s="13" t="n"/>
      <c r="I153" s="13" t="n"/>
      <c r="J153" s="11" t="n"/>
      <c r="K153" s="11" t="n"/>
      <c r="L153" s="11" t="n"/>
      <c r="M153" s="14" t="n"/>
    </row>
    <row r="154" ht="22" customHeight="1">
      <c r="B154" s="15" t="n"/>
      <c r="C154" s="18" t="n"/>
      <c r="D154" s="15" t="n"/>
      <c r="E154" s="15" t="n"/>
      <c r="F154" s="15" t="n"/>
      <c r="G154" s="15" t="n"/>
      <c r="H154" s="17" t="n"/>
      <c r="I154" s="17" t="n"/>
      <c r="J154" s="15" t="n"/>
      <c r="K154" s="15" t="n"/>
      <c r="L154" s="15" t="n"/>
      <c r="M154" s="18" t="n"/>
    </row>
    <row r="155" ht="22" customHeight="1">
      <c r="B155" s="11" t="n"/>
      <c r="C155" s="14" t="n"/>
      <c r="D155" s="11" t="n"/>
      <c r="E155" s="11" t="n"/>
      <c r="F155" s="11" t="n"/>
      <c r="G155" s="11" t="n"/>
      <c r="H155" s="13" t="n"/>
      <c r="I155" s="13" t="n"/>
      <c r="J155" s="11" t="n"/>
      <c r="K155" s="11" t="n"/>
      <c r="L155" s="11" t="n"/>
      <c r="M155" s="14" t="n"/>
    </row>
    <row r="156" ht="22" customHeight="1">
      <c r="B156" s="15" t="n"/>
      <c r="C156" s="18" t="n"/>
      <c r="D156" s="15" t="n"/>
      <c r="E156" s="15" t="n"/>
      <c r="F156" s="15" t="n"/>
      <c r="G156" s="15" t="n"/>
      <c r="H156" s="17" t="n"/>
      <c r="I156" s="17" t="n"/>
      <c r="J156" s="15" t="n"/>
      <c r="K156" s="15" t="n"/>
      <c r="L156" s="15" t="n"/>
      <c r="M156" s="18" t="n"/>
    </row>
    <row r="157" ht="22" customHeight="1">
      <c r="B157" s="11" t="n"/>
      <c r="C157" s="14" t="n"/>
      <c r="D157" s="11" t="n"/>
      <c r="E157" s="11" t="n"/>
      <c r="F157" s="11" t="n"/>
      <c r="G157" s="11" t="n"/>
      <c r="H157" s="13" t="n"/>
      <c r="I157" s="13" t="n"/>
      <c r="J157" s="11" t="n"/>
      <c r="K157" s="11" t="n"/>
      <c r="L157" s="11" t="n"/>
      <c r="M157" s="14" t="n"/>
    </row>
    <row r="158" ht="22" customHeight="1">
      <c r="B158" s="15" t="n"/>
      <c r="C158" s="18" t="n"/>
      <c r="D158" s="15" t="n"/>
      <c r="E158" s="15" t="n"/>
      <c r="F158" s="15" t="n"/>
      <c r="G158" s="15" t="n"/>
      <c r="H158" s="17" t="n"/>
      <c r="I158" s="17" t="n"/>
      <c r="J158" s="15" t="n"/>
      <c r="K158" s="15" t="n"/>
      <c r="L158" s="15" t="n"/>
      <c r="M158" s="18" t="n"/>
    </row>
    <row r="159" ht="22" customHeight="1">
      <c r="B159" s="11" t="n"/>
      <c r="C159" s="14" t="n"/>
      <c r="D159" s="11" t="n"/>
      <c r="E159" s="11" t="n"/>
      <c r="F159" s="11" t="n"/>
      <c r="G159" s="11" t="n"/>
      <c r="H159" s="13" t="n"/>
      <c r="I159" s="13" t="n"/>
      <c r="J159" s="11" t="n"/>
      <c r="K159" s="11" t="n"/>
      <c r="L159" s="11" t="n"/>
      <c r="M159" s="14" t="n"/>
    </row>
    <row r="160" ht="22" customHeight="1">
      <c r="B160" s="15" t="n"/>
      <c r="C160" s="18" t="n"/>
      <c r="D160" s="15" t="n"/>
      <c r="E160" s="15" t="n"/>
      <c r="F160" s="15" t="n"/>
      <c r="G160" s="15" t="n"/>
      <c r="H160" s="17" t="n"/>
      <c r="I160" s="17" t="n"/>
      <c r="J160" s="15" t="n"/>
      <c r="K160" s="15" t="n"/>
      <c r="L160" s="15" t="n"/>
      <c r="M160" s="18" t="n"/>
    </row>
    <row r="161" ht="22" customHeight="1">
      <c r="B161" s="11" t="n"/>
      <c r="C161" s="14" t="n"/>
      <c r="D161" s="11" t="n"/>
      <c r="E161" s="11" t="n"/>
      <c r="F161" s="11" t="n"/>
      <c r="G161" s="11" t="n"/>
      <c r="H161" s="13" t="n"/>
      <c r="I161" s="13" t="n"/>
      <c r="J161" s="11" t="n"/>
      <c r="K161" s="11" t="n"/>
      <c r="L161" s="11" t="n"/>
      <c r="M161" s="14" t="n"/>
    </row>
    <row r="162" ht="22" customHeight="1">
      <c r="B162" s="15" t="n"/>
      <c r="C162" s="18" t="n"/>
      <c r="D162" s="15" t="n"/>
      <c r="E162" s="15" t="n"/>
      <c r="F162" s="15" t="n"/>
      <c r="G162" s="15" t="n"/>
      <c r="H162" s="17" t="n"/>
      <c r="I162" s="17" t="n"/>
      <c r="J162" s="15" t="n"/>
      <c r="K162" s="15" t="n"/>
      <c r="L162" s="15" t="n"/>
      <c r="M162" s="18" t="n"/>
    </row>
    <row r="163" ht="22" customHeight="1">
      <c r="B163" s="11" t="n"/>
      <c r="C163" s="14" t="n"/>
      <c r="D163" s="11" t="n"/>
      <c r="E163" s="11" t="n"/>
      <c r="F163" s="11" t="n"/>
      <c r="G163" s="11" t="n"/>
      <c r="H163" s="13" t="n"/>
      <c r="I163" s="13" t="n"/>
      <c r="J163" s="11" t="n"/>
      <c r="K163" s="11" t="n"/>
      <c r="L163" s="11" t="n"/>
      <c r="M163" s="14" t="n"/>
    </row>
    <row r="164" ht="22" customHeight="1">
      <c r="B164" s="15" t="n"/>
      <c r="C164" s="18" t="n"/>
      <c r="D164" s="15" t="n"/>
      <c r="E164" s="15" t="n"/>
      <c r="F164" s="15" t="n"/>
      <c r="G164" s="15" t="n"/>
      <c r="H164" s="17" t="n"/>
      <c r="I164" s="17" t="n"/>
      <c r="J164" s="15" t="n"/>
      <c r="K164" s="15" t="n"/>
      <c r="L164" s="15" t="n"/>
      <c r="M164" s="18" t="n"/>
    </row>
    <row r="165" ht="22" customHeight="1">
      <c r="B165" s="11" t="n"/>
      <c r="C165" s="14" t="n"/>
      <c r="D165" s="11" t="n"/>
      <c r="E165" s="11" t="n"/>
      <c r="F165" s="11" t="n"/>
      <c r="G165" s="11" t="n"/>
      <c r="H165" s="13" t="n"/>
      <c r="I165" s="13" t="n"/>
      <c r="J165" s="11" t="n"/>
      <c r="K165" s="11" t="n"/>
      <c r="L165" s="11" t="n"/>
      <c r="M165" s="14" t="n"/>
    </row>
    <row r="166" ht="22" customHeight="1">
      <c r="B166" s="15" t="n"/>
      <c r="C166" s="18" t="n"/>
      <c r="D166" s="15" t="n"/>
      <c r="E166" s="15" t="n"/>
      <c r="F166" s="15" t="n"/>
      <c r="G166" s="15" t="n"/>
      <c r="H166" s="17" t="n"/>
      <c r="I166" s="17" t="n"/>
      <c r="J166" s="15" t="n"/>
      <c r="K166" s="15" t="n"/>
      <c r="L166" s="15" t="n"/>
      <c r="M166" s="18" t="n"/>
    </row>
    <row r="167" ht="22" customHeight="1">
      <c r="B167" s="11" t="n"/>
      <c r="C167" s="14" t="n"/>
      <c r="D167" s="11" t="n"/>
      <c r="E167" s="11" t="n"/>
      <c r="F167" s="11" t="n"/>
      <c r="G167" s="11" t="n"/>
      <c r="H167" s="13" t="n"/>
      <c r="I167" s="13" t="n"/>
      <c r="J167" s="11" t="n"/>
      <c r="K167" s="11" t="n"/>
      <c r="L167" s="11" t="n"/>
      <c r="M167" s="14" t="n"/>
    </row>
    <row r="168" ht="22" customHeight="1">
      <c r="B168" s="15" t="n"/>
      <c r="C168" s="18" t="n"/>
      <c r="D168" s="15" t="n"/>
      <c r="E168" s="15" t="n"/>
      <c r="F168" s="15" t="n"/>
      <c r="G168" s="15" t="n"/>
      <c r="H168" s="17" t="n"/>
      <c r="I168" s="17" t="n"/>
      <c r="J168" s="15" t="n"/>
      <c r="K168" s="15" t="n"/>
      <c r="L168" s="15" t="n"/>
      <c r="M168" s="18" t="n"/>
    </row>
    <row r="169" ht="22" customHeight="1">
      <c r="B169" s="11" t="n"/>
      <c r="C169" s="14" t="n"/>
      <c r="D169" s="11" t="n"/>
      <c r="E169" s="11" t="n"/>
      <c r="F169" s="11" t="n"/>
      <c r="G169" s="11" t="n"/>
      <c r="H169" s="13" t="n"/>
      <c r="I169" s="13" t="n"/>
      <c r="J169" s="11" t="n"/>
      <c r="K169" s="11" t="n"/>
      <c r="L169" s="11" t="n"/>
      <c r="M169" s="14" t="n"/>
    </row>
    <row r="170" ht="22" customHeight="1">
      <c r="B170" s="15" t="n"/>
      <c r="C170" s="18" t="n"/>
      <c r="D170" s="15" t="n"/>
      <c r="E170" s="15" t="n"/>
      <c r="F170" s="15" t="n"/>
      <c r="G170" s="15" t="n"/>
      <c r="H170" s="17" t="n"/>
      <c r="I170" s="17" t="n"/>
      <c r="J170" s="15" t="n"/>
      <c r="K170" s="15" t="n"/>
      <c r="L170" s="15" t="n"/>
      <c r="M170" s="18" t="n"/>
    </row>
    <row r="171" ht="22" customHeight="1">
      <c r="B171" s="11" t="n"/>
      <c r="C171" s="14" t="n"/>
      <c r="D171" s="11" t="n"/>
      <c r="E171" s="11" t="n"/>
      <c r="F171" s="11" t="n"/>
      <c r="G171" s="11" t="n"/>
      <c r="H171" s="13" t="n"/>
      <c r="I171" s="13" t="n"/>
      <c r="J171" s="11" t="n"/>
      <c r="K171" s="11" t="n"/>
      <c r="L171" s="11" t="n"/>
      <c r="M171" s="14" t="n"/>
    </row>
    <row r="172" ht="22" customHeight="1">
      <c r="B172" s="15" t="n"/>
      <c r="C172" s="18" t="n"/>
      <c r="D172" s="15" t="n"/>
      <c r="E172" s="15" t="n"/>
      <c r="F172" s="15" t="n"/>
      <c r="G172" s="15" t="n"/>
      <c r="H172" s="17" t="n"/>
      <c r="I172" s="17" t="n"/>
      <c r="J172" s="15" t="n"/>
      <c r="K172" s="15" t="n"/>
      <c r="L172" s="15" t="n"/>
      <c r="M172" s="18" t="n"/>
    </row>
    <row r="173" ht="22" customHeight="1">
      <c r="B173" s="11" t="n"/>
      <c r="C173" s="14" t="n"/>
      <c r="D173" s="11" t="n"/>
      <c r="E173" s="11" t="n"/>
      <c r="F173" s="11" t="n"/>
      <c r="G173" s="11" t="n"/>
      <c r="H173" s="13" t="n"/>
      <c r="I173" s="13" t="n"/>
      <c r="J173" s="11" t="n"/>
      <c r="K173" s="11" t="n"/>
      <c r="L173" s="11" t="n"/>
      <c r="M173" s="14" t="n"/>
    </row>
    <row r="174" ht="22" customHeight="1">
      <c r="B174" s="15" t="n"/>
      <c r="C174" s="18" t="n"/>
      <c r="D174" s="15" t="n"/>
      <c r="E174" s="15" t="n"/>
      <c r="F174" s="15" t="n"/>
      <c r="G174" s="15" t="n"/>
      <c r="H174" s="17" t="n"/>
      <c r="I174" s="17" t="n"/>
      <c r="J174" s="15" t="n"/>
      <c r="K174" s="15" t="n"/>
      <c r="L174" s="15" t="n"/>
      <c r="M174" s="18" t="n"/>
    </row>
    <row r="175" ht="22" customHeight="1">
      <c r="B175" s="11" t="n"/>
      <c r="C175" s="14" t="n"/>
      <c r="D175" s="11" t="n"/>
      <c r="E175" s="11" t="n"/>
      <c r="F175" s="11" t="n"/>
      <c r="G175" s="11" t="n"/>
      <c r="H175" s="13" t="n"/>
      <c r="I175" s="13" t="n"/>
      <c r="J175" s="11" t="n"/>
      <c r="K175" s="11" t="n"/>
      <c r="L175" s="11" t="n"/>
      <c r="M175" s="14" t="n"/>
    </row>
    <row r="176" ht="22" customHeight="1">
      <c r="B176" s="15" t="n"/>
      <c r="C176" s="18" t="n"/>
      <c r="D176" s="15" t="n"/>
      <c r="E176" s="15" t="n"/>
      <c r="F176" s="15" t="n"/>
      <c r="G176" s="15" t="n"/>
      <c r="H176" s="17" t="n"/>
      <c r="I176" s="17" t="n"/>
      <c r="J176" s="15" t="n"/>
      <c r="K176" s="15" t="n"/>
      <c r="L176" s="15" t="n"/>
      <c r="M176" s="18" t="n"/>
    </row>
    <row r="177" ht="22" customHeight="1">
      <c r="B177" s="11" t="n"/>
      <c r="C177" s="14" t="n"/>
      <c r="D177" s="11" t="n"/>
      <c r="E177" s="11" t="n"/>
      <c r="F177" s="11" t="n"/>
      <c r="G177" s="11" t="n"/>
      <c r="H177" s="13" t="n"/>
      <c r="I177" s="13" t="n"/>
      <c r="J177" s="11" t="n"/>
      <c r="K177" s="11" t="n"/>
      <c r="L177" s="11" t="n"/>
      <c r="M177" s="14" t="n"/>
    </row>
    <row r="178" ht="22" customHeight="1">
      <c r="B178" s="15" t="n"/>
      <c r="C178" s="18" t="n"/>
      <c r="D178" s="15" t="n"/>
      <c r="E178" s="15" t="n"/>
      <c r="F178" s="15" t="n"/>
      <c r="G178" s="15" t="n"/>
      <c r="H178" s="17" t="n"/>
      <c r="I178" s="17" t="n"/>
      <c r="J178" s="15" t="n"/>
      <c r="K178" s="15" t="n"/>
      <c r="L178" s="15" t="n"/>
      <c r="M178" s="18" t="n"/>
    </row>
    <row r="179" ht="22" customHeight="1">
      <c r="B179" s="11" t="n"/>
      <c r="C179" s="14" t="n"/>
      <c r="D179" s="11" t="n"/>
      <c r="E179" s="11" t="n"/>
      <c r="F179" s="11" t="n"/>
      <c r="G179" s="11" t="n"/>
      <c r="H179" s="13" t="n"/>
      <c r="I179" s="13" t="n"/>
      <c r="J179" s="11" t="n"/>
      <c r="K179" s="11" t="n"/>
      <c r="L179" s="11" t="n"/>
      <c r="M179" s="14" t="n"/>
    </row>
    <row r="180" ht="22" customHeight="1">
      <c r="B180" s="15" t="n"/>
      <c r="C180" s="18" t="n"/>
      <c r="D180" s="15" t="n"/>
      <c r="E180" s="15" t="n"/>
      <c r="F180" s="15" t="n"/>
      <c r="G180" s="15" t="n"/>
      <c r="H180" s="17" t="n"/>
      <c r="I180" s="17" t="n"/>
      <c r="J180" s="15" t="n"/>
      <c r="K180" s="15" t="n"/>
      <c r="L180" s="15" t="n"/>
      <c r="M180" s="18" t="n"/>
    </row>
    <row r="181" ht="22" customHeight="1">
      <c r="B181" s="11" t="n"/>
      <c r="C181" s="14" t="n"/>
      <c r="D181" s="11" t="n"/>
      <c r="E181" s="11" t="n"/>
      <c r="F181" s="11" t="n"/>
      <c r="G181" s="11" t="n"/>
      <c r="H181" s="13" t="n"/>
      <c r="I181" s="13" t="n"/>
      <c r="J181" s="11" t="n"/>
      <c r="K181" s="11" t="n"/>
      <c r="L181" s="11" t="n"/>
      <c r="M181" s="14" t="n"/>
    </row>
    <row r="182" ht="22" customHeight="1">
      <c r="B182" s="15" t="n"/>
      <c r="C182" s="18" t="n"/>
      <c r="D182" s="15" t="n"/>
      <c r="E182" s="15" t="n"/>
      <c r="F182" s="15" t="n"/>
      <c r="G182" s="15" t="n"/>
      <c r="H182" s="17" t="n"/>
      <c r="I182" s="17" t="n"/>
      <c r="J182" s="15" t="n"/>
      <c r="K182" s="15" t="n"/>
      <c r="L182" s="15" t="n"/>
      <c r="M182" s="18" t="n"/>
    </row>
    <row r="183" ht="22" customHeight="1">
      <c r="B183" s="11" t="n"/>
      <c r="C183" s="14" t="n"/>
      <c r="D183" s="11" t="n"/>
      <c r="E183" s="11" t="n"/>
      <c r="F183" s="11" t="n"/>
      <c r="G183" s="11" t="n"/>
      <c r="H183" s="13" t="n"/>
      <c r="I183" s="13" t="n"/>
      <c r="J183" s="11" t="n"/>
      <c r="K183" s="11" t="n"/>
      <c r="L183" s="11" t="n"/>
      <c r="M183" s="14" t="n"/>
    </row>
    <row r="184" ht="22" customHeight="1">
      <c r="B184" s="15" t="n"/>
      <c r="C184" s="18" t="n"/>
      <c r="D184" s="15" t="n"/>
      <c r="E184" s="15" t="n"/>
      <c r="F184" s="15" t="n"/>
      <c r="G184" s="15" t="n"/>
      <c r="H184" s="17" t="n"/>
      <c r="I184" s="17" t="n"/>
      <c r="J184" s="15" t="n"/>
      <c r="K184" s="15" t="n"/>
      <c r="L184" s="15" t="n"/>
      <c r="M184" s="18" t="n"/>
    </row>
    <row r="185" ht="22" customHeight="1">
      <c r="B185" s="11" t="n"/>
      <c r="C185" s="14" t="n"/>
      <c r="D185" s="11" t="n"/>
      <c r="E185" s="11" t="n"/>
      <c r="F185" s="11" t="n"/>
      <c r="G185" s="11" t="n"/>
      <c r="H185" s="13" t="n"/>
      <c r="I185" s="13" t="n"/>
      <c r="J185" s="11" t="n"/>
      <c r="K185" s="11" t="n"/>
      <c r="L185" s="11" t="n"/>
      <c r="M185" s="14" t="n"/>
    </row>
    <row r="186" ht="22" customHeight="1">
      <c r="B186" s="15" t="n"/>
      <c r="C186" s="18" t="n"/>
      <c r="D186" s="15" t="n"/>
      <c r="E186" s="15" t="n"/>
      <c r="F186" s="15" t="n"/>
      <c r="G186" s="15" t="n"/>
      <c r="H186" s="17" t="n"/>
      <c r="I186" s="17" t="n"/>
      <c r="J186" s="15" t="n"/>
      <c r="K186" s="15" t="n"/>
      <c r="L186" s="15" t="n"/>
      <c r="M186" s="18" t="n"/>
    </row>
    <row r="187" ht="22" customHeight="1">
      <c r="B187" s="11" t="n"/>
      <c r="C187" s="14" t="n"/>
      <c r="D187" s="11" t="n"/>
      <c r="E187" s="11" t="n"/>
      <c r="F187" s="11" t="n"/>
      <c r="G187" s="11" t="n"/>
      <c r="H187" s="13" t="n"/>
      <c r="I187" s="13" t="n"/>
      <c r="J187" s="11" t="n"/>
      <c r="K187" s="11" t="n"/>
      <c r="L187" s="11" t="n"/>
      <c r="M187" s="14" t="n"/>
    </row>
    <row r="188" ht="22" customHeight="1">
      <c r="B188" s="15" t="n"/>
      <c r="C188" s="18" t="n"/>
      <c r="D188" s="15" t="n"/>
      <c r="E188" s="15" t="n"/>
      <c r="F188" s="15" t="n"/>
      <c r="G188" s="15" t="n"/>
      <c r="H188" s="17" t="n"/>
      <c r="I188" s="17" t="n"/>
      <c r="J188" s="15" t="n"/>
      <c r="K188" s="15" t="n"/>
      <c r="L188" s="15" t="n"/>
      <c r="M188" s="18" t="n"/>
    </row>
    <row r="189" ht="22" customHeight="1">
      <c r="B189" s="11" t="n"/>
      <c r="C189" s="14" t="n"/>
      <c r="D189" s="11" t="n"/>
      <c r="E189" s="11" t="n"/>
      <c r="F189" s="11" t="n"/>
      <c r="G189" s="11" t="n"/>
      <c r="H189" s="13" t="n"/>
      <c r="I189" s="13" t="n"/>
      <c r="J189" s="11" t="n"/>
      <c r="K189" s="11" t="n"/>
      <c r="L189" s="11" t="n"/>
      <c r="M189" s="14" t="n"/>
    </row>
    <row r="190" ht="22" customHeight="1">
      <c r="B190" s="15" t="n"/>
      <c r="C190" s="18" t="n"/>
      <c r="D190" s="15" t="n"/>
      <c r="E190" s="15" t="n"/>
      <c r="F190" s="15" t="n"/>
      <c r="G190" s="15" t="n"/>
      <c r="H190" s="17" t="n"/>
      <c r="I190" s="17" t="n"/>
      <c r="J190" s="15" t="n"/>
      <c r="K190" s="15" t="n"/>
      <c r="L190" s="15" t="n"/>
      <c r="M190" s="18" t="n"/>
    </row>
    <row r="191" ht="22" customHeight="1">
      <c r="B191" s="11" t="n"/>
      <c r="C191" s="14" t="n"/>
      <c r="D191" s="11" t="n"/>
      <c r="E191" s="11" t="n"/>
      <c r="F191" s="11" t="n"/>
      <c r="G191" s="11" t="n"/>
      <c r="H191" s="13" t="n"/>
      <c r="I191" s="13" t="n"/>
      <c r="J191" s="11" t="n"/>
      <c r="K191" s="11" t="n"/>
      <c r="L191" s="11" t="n"/>
      <c r="M191" s="14" t="n"/>
    </row>
    <row r="192" ht="22" customHeight="1">
      <c r="B192" s="15" t="n"/>
      <c r="C192" s="18" t="n"/>
      <c r="D192" s="15" t="n"/>
      <c r="E192" s="15" t="n"/>
      <c r="F192" s="15" t="n"/>
      <c r="G192" s="15" t="n"/>
      <c r="H192" s="17" t="n"/>
      <c r="I192" s="17" t="n"/>
      <c r="J192" s="15" t="n"/>
      <c r="K192" s="15" t="n"/>
      <c r="L192" s="15" t="n"/>
      <c r="M192" s="18" t="n"/>
    </row>
    <row r="193" ht="22" customHeight="1">
      <c r="B193" s="11" t="n"/>
      <c r="C193" s="14" t="n"/>
      <c r="D193" s="11" t="n"/>
      <c r="E193" s="11" t="n"/>
      <c r="F193" s="11" t="n"/>
      <c r="G193" s="11" t="n"/>
      <c r="H193" s="13" t="n"/>
      <c r="I193" s="13" t="n"/>
      <c r="J193" s="11" t="n"/>
      <c r="K193" s="11" t="n"/>
      <c r="L193" s="11" t="n"/>
      <c r="M193" s="14" t="n"/>
    </row>
    <row r="194" ht="22" customHeight="1">
      <c r="B194" s="15" t="n"/>
      <c r="C194" s="18" t="n"/>
      <c r="D194" s="15" t="n"/>
      <c r="E194" s="15" t="n"/>
      <c r="F194" s="15" t="n"/>
      <c r="G194" s="15" t="n"/>
      <c r="H194" s="17" t="n"/>
      <c r="I194" s="17" t="n"/>
      <c r="J194" s="15" t="n"/>
      <c r="K194" s="15" t="n"/>
      <c r="L194" s="15" t="n"/>
      <c r="M194" s="18" t="n"/>
    </row>
    <row r="195" ht="22" customHeight="1">
      <c r="B195" s="11" t="n"/>
      <c r="C195" s="14" t="n"/>
      <c r="D195" s="11" t="n"/>
      <c r="E195" s="11" t="n"/>
      <c r="F195" s="11" t="n"/>
      <c r="G195" s="11" t="n"/>
      <c r="H195" s="13" t="n"/>
      <c r="I195" s="13" t="n"/>
      <c r="J195" s="11" t="n"/>
      <c r="K195" s="11" t="n"/>
      <c r="L195" s="11" t="n"/>
      <c r="M195" s="14" t="n"/>
    </row>
    <row r="196" ht="22" customHeight="1">
      <c r="B196" s="15" t="n"/>
      <c r="C196" s="18" t="n"/>
      <c r="D196" s="15" t="n"/>
      <c r="E196" s="15" t="n"/>
      <c r="F196" s="15" t="n"/>
      <c r="G196" s="15" t="n"/>
      <c r="H196" s="17" t="n"/>
      <c r="I196" s="17" t="n"/>
      <c r="J196" s="15" t="n"/>
      <c r="K196" s="15" t="n"/>
      <c r="L196" s="15" t="n"/>
      <c r="M196" s="18" t="n"/>
    </row>
    <row r="197" ht="22" customHeight="1">
      <c r="B197" s="11" t="n"/>
      <c r="C197" s="14" t="n"/>
      <c r="D197" s="11" t="n"/>
      <c r="E197" s="11" t="n"/>
      <c r="F197" s="11" t="n"/>
      <c r="G197" s="11" t="n"/>
      <c r="H197" s="13" t="n"/>
      <c r="I197" s="13" t="n"/>
      <c r="J197" s="11" t="n"/>
      <c r="K197" s="11" t="n"/>
      <c r="L197" s="11" t="n"/>
      <c r="M197" s="14" t="n"/>
    </row>
    <row r="198" ht="22" customHeight="1">
      <c r="B198" s="15" t="n"/>
      <c r="C198" s="18" t="n"/>
      <c r="D198" s="15" t="n"/>
      <c r="E198" s="15" t="n"/>
      <c r="F198" s="15" t="n"/>
      <c r="G198" s="15" t="n"/>
      <c r="H198" s="17" t="n"/>
      <c r="I198" s="17" t="n"/>
      <c r="J198" s="15" t="n"/>
      <c r="K198" s="15" t="n"/>
      <c r="L198" s="15" t="n"/>
      <c r="M198" s="18" t="n"/>
    </row>
    <row r="199" ht="22" customHeight="1">
      <c r="B199" s="11" t="n"/>
      <c r="C199" s="14" t="n"/>
      <c r="D199" s="11" t="n"/>
      <c r="E199" s="11" t="n"/>
      <c r="F199" s="11" t="n"/>
      <c r="G199" s="11" t="n"/>
      <c r="H199" s="13" t="n"/>
      <c r="I199" s="13" t="n"/>
      <c r="J199" s="11" t="n"/>
      <c r="K199" s="11" t="n"/>
      <c r="L199" s="11" t="n"/>
      <c r="M199" s="14" t="n"/>
    </row>
    <row r="200" ht="22" customHeight="1">
      <c r="B200" s="15" t="n"/>
      <c r="C200" s="18" t="n"/>
      <c r="D200" s="15" t="n"/>
      <c r="E200" s="15" t="n"/>
      <c r="F200" s="15" t="n"/>
      <c r="G200" s="15" t="n"/>
      <c r="H200" s="17" t="n"/>
      <c r="I200" s="17" t="n"/>
      <c r="J200" s="15" t="n"/>
      <c r="K200" s="15" t="n"/>
      <c r="L200" s="15" t="n"/>
      <c r="M200" s="18" t="n"/>
    </row>
    <row r="201" ht="22" customHeight="1">
      <c r="B201" s="11" t="n"/>
      <c r="C201" s="14" t="n"/>
      <c r="D201" s="11" t="n"/>
      <c r="E201" s="11" t="n"/>
      <c r="F201" s="11" t="n"/>
      <c r="G201" s="11" t="n"/>
      <c r="H201" s="13" t="n"/>
      <c r="I201" s="13" t="n"/>
      <c r="J201" s="11" t="n"/>
      <c r="K201" s="11" t="n"/>
      <c r="L201" s="11" t="n"/>
      <c r="M201" s="14" t="n"/>
    </row>
    <row r="202" ht="22" customHeight="1">
      <c r="B202" s="15" t="n"/>
      <c r="C202" s="18" t="n"/>
      <c r="D202" s="15" t="n"/>
      <c r="E202" s="15" t="n"/>
      <c r="F202" s="15" t="n"/>
      <c r="G202" s="15" t="n"/>
      <c r="H202" s="17" t="n"/>
      <c r="I202" s="17" t="n"/>
      <c r="J202" s="15" t="n"/>
      <c r="K202" s="15" t="n"/>
      <c r="L202" s="15" t="n"/>
      <c r="M202" s="18" t="n"/>
    </row>
    <row r="203" ht="22" customHeight="1">
      <c r="B203" s="11" t="n"/>
      <c r="C203" s="14" t="n"/>
      <c r="D203" s="11" t="n"/>
      <c r="E203" s="11" t="n"/>
      <c r="F203" s="11" t="n"/>
      <c r="G203" s="11" t="n"/>
      <c r="H203" s="13" t="n"/>
      <c r="I203" s="13" t="n"/>
      <c r="J203" s="11" t="n"/>
      <c r="K203" s="11" t="n"/>
      <c r="L203" s="11" t="n"/>
      <c r="M203" s="14" t="n"/>
    </row>
    <row r="204" ht="22" customHeight="1">
      <c r="B204" s="15" t="n"/>
      <c r="C204" s="18" t="n"/>
      <c r="D204" s="15" t="n"/>
      <c r="E204" s="15" t="n"/>
      <c r="F204" s="15" t="n"/>
      <c r="G204" s="15" t="n"/>
      <c r="H204" s="17" t="n"/>
      <c r="I204" s="17" t="n"/>
      <c r="J204" s="15" t="n"/>
      <c r="K204" s="15" t="n"/>
      <c r="L204" s="15" t="n"/>
      <c r="M204" s="18" t="n"/>
    </row>
    <row r="205" ht="26" customHeight="1">
      <c r="B205" s="19" t="inlineStr">
        <is>
          <t>TOTALS</t>
        </is>
      </c>
      <c r="C205" s="19" t="n"/>
      <c r="D205" s="19" t="n"/>
      <c r="E205" s="19" t="n"/>
      <c r="F205" s="19" t="n"/>
      <c r="G205" s="19" t="n"/>
      <c r="H205" s="21">
        <f>IFERROR(SUM(H5:H204),0)</f>
        <v/>
      </c>
      <c r="I205" s="21">
        <f>IFERROR(SUM(I5:I204),0)</f>
        <v/>
      </c>
      <c r="J205" s="19" t="inlineStr">
        <is>
          <t>Variance:</t>
        </is>
      </c>
      <c r="K205" s="21">
        <f>IFERROR(H205-I205,0)</f>
        <v/>
      </c>
      <c r="L205" s="19" t="n"/>
      <c r="M205" s="19" t="n"/>
    </row>
  </sheetData>
  <mergeCells count="1">
    <mergeCell ref="B2:M2"/>
  </mergeCells>
  <conditionalFormatting sqref="K5:K204">
    <cfRule type="cellIs" priority="1" operator="equal" dxfId="1">
      <formula>"Urgent"</formula>
    </cfRule>
    <cfRule type="cellIs" priority="2" operator="equal" dxfId="2">
      <formula>"High"</formula>
    </cfRule>
  </conditionalFormatting>
  <conditionalFormatting sqref="J5:J204">
    <cfRule type="cellIs" priority="3" operator="equal" dxfId="2">
      <formula>"Open"</formula>
    </cfRule>
    <cfRule type="cellIs" priority="4" operator="equal" dxfId="3">
      <formula>"In Progress"</formula>
    </cfRule>
    <cfRule type="cellIs" priority="5" operator="equal" dxfId="0">
      <formula>"Completed"</formula>
    </cfRule>
  </conditionalFormatting>
  <dataValidations count="3">
    <dataValidation sqref="E5:E204" showDropDown="0" showInputMessage="0" showErrorMessage="0" allowBlank="1" prompt="Select Category" type="list">
      <formula1>"Plumbing,Electrical,AC,Painting,Structural,Cleaning,Lock/Door,Appliance,Other"</formula1>
    </dataValidation>
    <dataValidation sqref="J5:J204" showDropDown="0" showInputMessage="0" showErrorMessage="0" allowBlank="1" prompt="Select Status" type="list">
      <formula1>"Open,In Progress,Completed,Cancelled"</formula1>
    </dataValidation>
    <dataValidation sqref="K5:K204" showDropDown="0" showInputMessage="0" showErrorMessage="0" allowBlank="1" prompt="Select Priority" type="list">
      <formula1>"Low,Medium,High,Urgent"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K3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28" customWidth="1" min="4" max="4"/>
    <col width="16" customWidth="1" min="5" max="5"/>
    <col width="16" customWidth="1" min="6" max="6"/>
    <col width="20" customWidth="1" min="7" max="7"/>
    <col width="14" customWidth="1" min="8" max="8"/>
    <col width="12" customWidth="1" min="9" max="9"/>
    <col width="16" customWidth="1" min="10" max="10"/>
    <col width="24" customWidth="1" min="11" max="11"/>
  </cols>
  <sheetData>
    <row r="1" ht="15" customHeight="1"/>
    <row r="2" ht="32" customHeight="1">
      <c r="B2" s="1" t="inlineStr">
        <is>
          <t>Operating Expenses — Monthly Tracker</t>
        </is>
      </c>
    </row>
    <row r="3" ht="8" customHeight="1"/>
    <row r="4" ht="28" customHeight="1">
      <c r="B4" s="10" t="inlineStr">
        <is>
          <t>Date</t>
        </is>
      </c>
      <c r="C4" s="10" t="inlineStr">
        <is>
          <t>Category</t>
        </is>
      </c>
      <c r="D4" s="10" t="inlineStr">
        <is>
          <t>Description</t>
        </is>
      </c>
      <c r="E4" s="10" t="inlineStr">
        <is>
          <t>Amount (AED)</t>
        </is>
      </c>
      <c r="F4" s="10" t="inlineStr">
        <is>
          <t>Payment Method</t>
        </is>
      </c>
      <c r="G4" s="10" t="inlineStr">
        <is>
          <t>Vendor/Payee</t>
        </is>
      </c>
      <c r="H4" s="10" t="inlineStr">
        <is>
          <t>Invoice #</t>
        </is>
      </c>
      <c r="I4" s="10" t="inlineStr">
        <is>
          <t>Recurring?</t>
        </is>
      </c>
      <c r="J4" s="10" t="inlineStr">
        <is>
          <t>Building</t>
        </is>
      </c>
      <c r="K4" s="10" t="inlineStr">
        <is>
          <t>Notes</t>
        </is>
      </c>
    </row>
    <row r="5" ht="22" customHeight="1">
      <c r="B5" s="14" t="n"/>
      <c r="C5" s="11" t="n"/>
      <c r="D5" s="11" t="n"/>
      <c r="E5" s="13" t="n"/>
      <c r="F5" s="11" t="n"/>
      <c r="G5" s="11" t="n"/>
      <c r="H5" s="11" t="n"/>
      <c r="I5" s="11" t="n"/>
      <c r="J5" s="11" t="n"/>
      <c r="K5" s="11" t="n"/>
    </row>
    <row r="6" ht="22" customHeight="1">
      <c r="B6" s="18" t="n"/>
      <c r="C6" s="15" t="n"/>
      <c r="D6" s="15" t="n"/>
      <c r="E6" s="17" t="n"/>
      <c r="F6" s="15" t="n"/>
      <c r="G6" s="15" t="n"/>
      <c r="H6" s="15" t="n"/>
      <c r="I6" s="15" t="n"/>
      <c r="J6" s="15" t="n"/>
      <c r="K6" s="15" t="n"/>
    </row>
    <row r="7" ht="22" customHeight="1">
      <c r="B7" s="14" t="n"/>
      <c r="C7" s="11" t="n"/>
      <c r="D7" s="11" t="n"/>
      <c r="E7" s="13" t="n"/>
      <c r="F7" s="11" t="n"/>
      <c r="G7" s="11" t="n"/>
      <c r="H7" s="11" t="n"/>
      <c r="I7" s="11" t="n"/>
      <c r="J7" s="11" t="n"/>
      <c r="K7" s="11" t="n"/>
    </row>
    <row r="8" ht="22" customHeight="1">
      <c r="B8" s="18" t="n"/>
      <c r="C8" s="15" t="n"/>
      <c r="D8" s="15" t="n"/>
      <c r="E8" s="17" t="n"/>
      <c r="F8" s="15" t="n"/>
      <c r="G8" s="15" t="n"/>
      <c r="H8" s="15" t="n"/>
      <c r="I8" s="15" t="n"/>
      <c r="J8" s="15" t="n"/>
      <c r="K8" s="15" t="n"/>
    </row>
    <row r="9" ht="22" customHeight="1">
      <c r="B9" s="14" t="n"/>
      <c r="C9" s="11" t="n"/>
      <c r="D9" s="11" t="n"/>
      <c r="E9" s="13" t="n"/>
      <c r="F9" s="11" t="n"/>
      <c r="G9" s="11" t="n"/>
      <c r="H9" s="11" t="n"/>
      <c r="I9" s="11" t="n"/>
      <c r="J9" s="11" t="n"/>
      <c r="K9" s="11" t="n"/>
    </row>
    <row r="10" ht="22" customHeight="1">
      <c r="B10" s="18" t="n"/>
      <c r="C10" s="15" t="n"/>
      <c r="D10" s="15" t="n"/>
      <c r="E10" s="17" t="n"/>
      <c r="F10" s="15" t="n"/>
      <c r="G10" s="15" t="n"/>
      <c r="H10" s="15" t="n"/>
      <c r="I10" s="15" t="n"/>
      <c r="J10" s="15" t="n"/>
      <c r="K10" s="15" t="n"/>
    </row>
    <row r="11" ht="22" customHeight="1">
      <c r="B11" s="14" t="n"/>
      <c r="C11" s="11" t="n"/>
      <c r="D11" s="11" t="n"/>
      <c r="E11" s="13" t="n"/>
      <c r="F11" s="11" t="n"/>
      <c r="G11" s="11" t="n"/>
      <c r="H11" s="11" t="n"/>
      <c r="I11" s="11" t="n"/>
      <c r="J11" s="11" t="n"/>
      <c r="K11" s="11" t="n"/>
    </row>
    <row r="12" ht="22" customHeight="1">
      <c r="B12" s="18" t="n"/>
      <c r="C12" s="15" t="n"/>
      <c r="D12" s="15" t="n"/>
      <c r="E12" s="17" t="n"/>
      <c r="F12" s="15" t="n"/>
      <c r="G12" s="15" t="n"/>
      <c r="H12" s="15" t="n"/>
      <c r="I12" s="15" t="n"/>
      <c r="J12" s="15" t="n"/>
      <c r="K12" s="15" t="n"/>
    </row>
    <row r="13" ht="22" customHeight="1">
      <c r="B13" s="14" t="n"/>
      <c r="C13" s="11" t="n"/>
      <c r="D13" s="11" t="n"/>
      <c r="E13" s="13" t="n"/>
      <c r="F13" s="11" t="n"/>
      <c r="G13" s="11" t="n"/>
      <c r="H13" s="11" t="n"/>
      <c r="I13" s="11" t="n"/>
      <c r="J13" s="11" t="n"/>
      <c r="K13" s="11" t="n"/>
    </row>
    <row r="14" ht="22" customHeight="1">
      <c r="B14" s="18" t="n"/>
      <c r="C14" s="15" t="n"/>
      <c r="D14" s="15" t="n"/>
      <c r="E14" s="17" t="n"/>
      <c r="F14" s="15" t="n"/>
      <c r="G14" s="15" t="n"/>
      <c r="H14" s="15" t="n"/>
      <c r="I14" s="15" t="n"/>
      <c r="J14" s="15" t="n"/>
      <c r="K14" s="15" t="n"/>
    </row>
    <row r="15" ht="22" customHeight="1">
      <c r="B15" s="14" t="n"/>
      <c r="C15" s="11" t="n"/>
      <c r="D15" s="11" t="n"/>
      <c r="E15" s="13" t="n"/>
      <c r="F15" s="11" t="n"/>
      <c r="G15" s="11" t="n"/>
      <c r="H15" s="11" t="n"/>
      <c r="I15" s="11" t="n"/>
      <c r="J15" s="11" t="n"/>
      <c r="K15" s="11" t="n"/>
    </row>
    <row r="16" ht="22" customHeight="1">
      <c r="B16" s="18" t="n"/>
      <c r="C16" s="15" t="n"/>
      <c r="D16" s="15" t="n"/>
      <c r="E16" s="17" t="n"/>
      <c r="F16" s="15" t="n"/>
      <c r="G16" s="15" t="n"/>
      <c r="H16" s="15" t="n"/>
      <c r="I16" s="15" t="n"/>
      <c r="J16" s="15" t="n"/>
      <c r="K16" s="15" t="n"/>
    </row>
    <row r="17" ht="22" customHeight="1">
      <c r="B17" s="14" t="n"/>
      <c r="C17" s="11" t="n"/>
      <c r="D17" s="11" t="n"/>
      <c r="E17" s="13" t="n"/>
      <c r="F17" s="11" t="n"/>
      <c r="G17" s="11" t="n"/>
      <c r="H17" s="11" t="n"/>
      <c r="I17" s="11" t="n"/>
      <c r="J17" s="11" t="n"/>
      <c r="K17" s="11" t="n"/>
    </row>
    <row r="18" ht="22" customHeight="1">
      <c r="B18" s="18" t="n"/>
      <c r="C18" s="15" t="n"/>
      <c r="D18" s="15" t="n"/>
      <c r="E18" s="17" t="n"/>
      <c r="F18" s="15" t="n"/>
      <c r="G18" s="15" t="n"/>
      <c r="H18" s="15" t="n"/>
      <c r="I18" s="15" t="n"/>
      <c r="J18" s="15" t="n"/>
      <c r="K18" s="15" t="n"/>
    </row>
    <row r="19" ht="22" customHeight="1">
      <c r="B19" s="14" t="n"/>
      <c r="C19" s="11" t="n"/>
      <c r="D19" s="11" t="n"/>
      <c r="E19" s="13" t="n"/>
      <c r="F19" s="11" t="n"/>
      <c r="G19" s="11" t="n"/>
      <c r="H19" s="11" t="n"/>
      <c r="I19" s="11" t="n"/>
      <c r="J19" s="11" t="n"/>
      <c r="K19" s="11" t="n"/>
    </row>
    <row r="20" ht="22" customHeight="1">
      <c r="B20" s="18" t="n"/>
      <c r="C20" s="15" t="n"/>
      <c r="D20" s="15" t="n"/>
      <c r="E20" s="17" t="n"/>
      <c r="F20" s="15" t="n"/>
      <c r="G20" s="15" t="n"/>
      <c r="H20" s="15" t="n"/>
      <c r="I20" s="15" t="n"/>
      <c r="J20" s="15" t="n"/>
      <c r="K20" s="15" t="n"/>
    </row>
    <row r="21" ht="22" customHeight="1">
      <c r="B21" s="14" t="n"/>
      <c r="C21" s="11" t="n"/>
      <c r="D21" s="11" t="n"/>
      <c r="E21" s="13" t="n"/>
      <c r="F21" s="11" t="n"/>
      <c r="G21" s="11" t="n"/>
      <c r="H21" s="11" t="n"/>
      <c r="I21" s="11" t="n"/>
      <c r="J21" s="11" t="n"/>
      <c r="K21" s="11" t="n"/>
    </row>
    <row r="22" ht="22" customHeight="1">
      <c r="B22" s="18" t="n"/>
      <c r="C22" s="15" t="n"/>
      <c r="D22" s="15" t="n"/>
      <c r="E22" s="17" t="n"/>
      <c r="F22" s="15" t="n"/>
      <c r="G22" s="15" t="n"/>
      <c r="H22" s="15" t="n"/>
      <c r="I22" s="15" t="n"/>
      <c r="J22" s="15" t="n"/>
      <c r="K22" s="15" t="n"/>
    </row>
    <row r="23" ht="22" customHeight="1">
      <c r="B23" s="14" t="n"/>
      <c r="C23" s="11" t="n"/>
      <c r="D23" s="11" t="n"/>
      <c r="E23" s="13" t="n"/>
      <c r="F23" s="11" t="n"/>
      <c r="G23" s="11" t="n"/>
      <c r="H23" s="11" t="n"/>
      <c r="I23" s="11" t="n"/>
      <c r="J23" s="11" t="n"/>
      <c r="K23" s="11" t="n"/>
    </row>
    <row r="24" ht="22" customHeight="1">
      <c r="B24" s="18" t="n"/>
      <c r="C24" s="15" t="n"/>
      <c r="D24" s="15" t="n"/>
      <c r="E24" s="17" t="n"/>
      <c r="F24" s="15" t="n"/>
      <c r="G24" s="15" t="n"/>
      <c r="H24" s="15" t="n"/>
      <c r="I24" s="15" t="n"/>
      <c r="J24" s="15" t="n"/>
      <c r="K24" s="15" t="n"/>
    </row>
    <row r="25" ht="22" customHeight="1">
      <c r="B25" s="14" t="n"/>
      <c r="C25" s="11" t="n"/>
      <c r="D25" s="11" t="n"/>
      <c r="E25" s="13" t="n"/>
      <c r="F25" s="11" t="n"/>
      <c r="G25" s="11" t="n"/>
      <c r="H25" s="11" t="n"/>
      <c r="I25" s="11" t="n"/>
      <c r="J25" s="11" t="n"/>
      <c r="K25" s="11" t="n"/>
    </row>
    <row r="26" ht="22" customHeight="1">
      <c r="B26" s="18" t="n"/>
      <c r="C26" s="15" t="n"/>
      <c r="D26" s="15" t="n"/>
      <c r="E26" s="17" t="n"/>
      <c r="F26" s="15" t="n"/>
      <c r="G26" s="15" t="n"/>
      <c r="H26" s="15" t="n"/>
      <c r="I26" s="15" t="n"/>
      <c r="J26" s="15" t="n"/>
      <c r="K26" s="15" t="n"/>
    </row>
    <row r="27" ht="22" customHeight="1">
      <c r="B27" s="14" t="n"/>
      <c r="C27" s="11" t="n"/>
      <c r="D27" s="11" t="n"/>
      <c r="E27" s="13" t="n"/>
      <c r="F27" s="11" t="n"/>
      <c r="G27" s="11" t="n"/>
      <c r="H27" s="11" t="n"/>
      <c r="I27" s="11" t="n"/>
      <c r="J27" s="11" t="n"/>
      <c r="K27" s="11" t="n"/>
    </row>
    <row r="28" ht="22" customHeight="1">
      <c r="B28" s="18" t="n"/>
      <c r="C28" s="15" t="n"/>
      <c r="D28" s="15" t="n"/>
      <c r="E28" s="17" t="n"/>
      <c r="F28" s="15" t="n"/>
      <c r="G28" s="15" t="n"/>
      <c r="H28" s="15" t="n"/>
      <c r="I28" s="15" t="n"/>
      <c r="J28" s="15" t="n"/>
      <c r="K28" s="15" t="n"/>
    </row>
    <row r="29" ht="22" customHeight="1">
      <c r="B29" s="14" t="n"/>
      <c r="C29" s="11" t="n"/>
      <c r="D29" s="11" t="n"/>
      <c r="E29" s="13" t="n"/>
      <c r="F29" s="11" t="n"/>
      <c r="G29" s="11" t="n"/>
      <c r="H29" s="11" t="n"/>
      <c r="I29" s="11" t="n"/>
      <c r="J29" s="11" t="n"/>
      <c r="K29" s="11" t="n"/>
    </row>
    <row r="30" ht="22" customHeight="1">
      <c r="B30" s="18" t="n"/>
      <c r="C30" s="15" t="n"/>
      <c r="D30" s="15" t="n"/>
      <c r="E30" s="17" t="n"/>
      <c r="F30" s="15" t="n"/>
      <c r="G30" s="15" t="n"/>
      <c r="H30" s="15" t="n"/>
      <c r="I30" s="15" t="n"/>
      <c r="J30" s="15" t="n"/>
      <c r="K30" s="15" t="n"/>
    </row>
    <row r="31" ht="22" customHeight="1">
      <c r="B31" s="14" t="n"/>
      <c r="C31" s="11" t="n"/>
      <c r="D31" s="11" t="n"/>
      <c r="E31" s="13" t="n"/>
      <c r="F31" s="11" t="n"/>
      <c r="G31" s="11" t="n"/>
      <c r="H31" s="11" t="n"/>
      <c r="I31" s="11" t="n"/>
      <c r="J31" s="11" t="n"/>
      <c r="K31" s="11" t="n"/>
    </row>
    <row r="32" ht="22" customHeight="1">
      <c r="B32" s="18" t="n"/>
      <c r="C32" s="15" t="n"/>
      <c r="D32" s="15" t="n"/>
      <c r="E32" s="17" t="n"/>
      <c r="F32" s="15" t="n"/>
      <c r="G32" s="15" t="n"/>
      <c r="H32" s="15" t="n"/>
      <c r="I32" s="15" t="n"/>
      <c r="J32" s="15" t="n"/>
      <c r="K32" s="15" t="n"/>
    </row>
    <row r="33" ht="22" customHeight="1">
      <c r="B33" s="14" t="n"/>
      <c r="C33" s="11" t="n"/>
      <c r="D33" s="11" t="n"/>
      <c r="E33" s="13" t="n"/>
      <c r="F33" s="11" t="n"/>
      <c r="G33" s="11" t="n"/>
      <c r="H33" s="11" t="n"/>
      <c r="I33" s="11" t="n"/>
      <c r="J33" s="11" t="n"/>
      <c r="K33" s="11" t="n"/>
    </row>
    <row r="34" ht="22" customHeight="1">
      <c r="B34" s="18" t="n"/>
      <c r="C34" s="15" t="n"/>
      <c r="D34" s="15" t="n"/>
      <c r="E34" s="17" t="n"/>
      <c r="F34" s="15" t="n"/>
      <c r="G34" s="15" t="n"/>
      <c r="H34" s="15" t="n"/>
      <c r="I34" s="15" t="n"/>
      <c r="J34" s="15" t="n"/>
      <c r="K34" s="15" t="n"/>
    </row>
    <row r="35" ht="22" customHeight="1">
      <c r="B35" s="14" t="n"/>
      <c r="C35" s="11" t="n"/>
      <c r="D35" s="11" t="n"/>
      <c r="E35" s="13" t="n"/>
      <c r="F35" s="11" t="n"/>
      <c r="G35" s="11" t="n"/>
      <c r="H35" s="11" t="n"/>
      <c r="I35" s="11" t="n"/>
      <c r="J35" s="11" t="n"/>
      <c r="K35" s="11" t="n"/>
    </row>
    <row r="36" ht="22" customHeight="1">
      <c r="B36" s="18" t="n"/>
      <c r="C36" s="15" t="n"/>
      <c r="D36" s="15" t="n"/>
      <c r="E36" s="17" t="n"/>
      <c r="F36" s="15" t="n"/>
      <c r="G36" s="15" t="n"/>
      <c r="H36" s="15" t="n"/>
      <c r="I36" s="15" t="n"/>
      <c r="J36" s="15" t="n"/>
      <c r="K36" s="15" t="n"/>
    </row>
    <row r="37" ht="22" customHeight="1">
      <c r="B37" s="14" t="n"/>
      <c r="C37" s="11" t="n"/>
      <c r="D37" s="11" t="n"/>
      <c r="E37" s="13" t="n"/>
      <c r="F37" s="11" t="n"/>
      <c r="G37" s="11" t="n"/>
      <c r="H37" s="11" t="n"/>
      <c r="I37" s="11" t="n"/>
      <c r="J37" s="11" t="n"/>
      <c r="K37" s="11" t="n"/>
    </row>
    <row r="38" ht="22" customHeight="1">
      <c r="B38" s="18" t="n"/>
      <c r="C38" s="15" t="n"/>
      <c r="D38" s="15" t="n"/>
      <c r="E38" s="17" t="n"/>
      <c r="F38" s="15" t="n"/>
      <c r="G38" s="15" t="n"/>
      <c r="H38" s="15" t="n"/>
      <c r="I38" s="15" t="n"/>
      <c r="J38" s="15" t="n"/>
      <c r="K38" s="15" t="n"/>
    </row>
    <row r="39" ht="22" customHeight="1">
      <c r="B39" s="14" t="n"/>
      <c r="C39" s="11" t="n"/>
      <c r="D39" s="11" t="n"/>
      <c r="E39" s="13" t="n"/>
      <c r="F39" s="11" t="n"/>
      <c r="G39" s="11" t="n"/>
      <c r="H39" s="11" t="n"/>
      <c r="I39" s="11" t="n"/>
      <c r="J39" s="11" t="n"/>
      <c r="K39" s="11" t="n"/>
    </row>
    <row r="40" ht="22" customHeight="1">
      <c r="B40" s="18" t="n"/>
      <c r="C40" s="15" t="n"/>
      <c r="D40" s="15" t="n"/>
      <c r="E40" s="17" t="n"/>
      <c r="F40" s="15" t="n"/>
      <c r="G40" s="15" t="n"/>
      <c r="H40" s="15" t="n"/>
      <c r="I40" s="15" t="n"/>
      <c r="J40" s="15" t="n"/>
      <c r="K40" s="15" t="n"/>
    </row>
    <row r="41" ht="22" customHeight="1">
      <c r="B41" s="14" t="n"/>
      <c r="C41" s="11" t="n"/>
      <c r="D41" s="11" t="n"/>
      <c r="E41" s="13" t="n"/>
      <c r="F41" s="11" t="n"/>
      <c r="G41" s="11" t="n"/>
      <c r="H41" s="11" t="n"/>
      <c r="I41" s="11" t="n"/>
      <c r="J41" s="11" t="n"/>
      <c r="K41" s="11" t="n"/>
    </row>
    <row r="42" ht="22" customHeight="1">
      <c r="B42" s="18" t="n"/>
      <c r="C42" s="15" t="n"/>
      <c r="D42" s="15" t="n"/>
      <c r="E42" s="17" t="n"/>
      <c r="F42" s="15" t="n"/>
      <c r="G42" s="15" t="n"/>
      <c r="H42" s="15" t="n"/>
      <c r="I42" s="15" t="n"/>
      <c r="J42" s="15" t="n"/>
      <c r="K42" s="15" t="n"/>
    </row>
    <row r="43" ht="22" customHeight="1">
      <c r="B43" s="14" t="n"/>
      <c r="C43" s="11" t="n"/>
      <c r="D43" s="11" t="n"/>
      <c r="E43" s="13" t="n"/>
      <c r="F43" s="11" t="n"/>
      <c r="G43" s="11" t="n"/>
      <c r="H43" s="11" t="n"/>
      <c r="I43" s="11" t="n"/>
      <c r="J43" s="11" t="n"/>
      <c r="K43" s="11" t="n"/>
    </row>
    <row r="44" ht="22" customHeight="1">
      <c r="B44" s="18" t="n"/>
      <c r="C44" s="15" t="n"/>
      <c r="D44" s="15" t="n"/>
      <c r="E44" s="17" t="n"/>
      <c r="F44" s="15" t="n"/>
      <c r="G44" s="15" t="n"/>
      <c r="H44" s="15" t="n"/>
      <c r="I44" s="15" t="n"/>
      <c r="J44" s="15" t="n"/>
      <c r="K44" s="15" t="n"/>
    </row>
    <row r="45" ht="22" customHeight="1">
      <c r="B45" s="14" t="n"/>
      <c r="C45" s="11" t="n"/>
      <c r="D45" s="11" t="n"/>
      <c r="E45" s="13" t="n"/>
      <c r="F45" s="11" t="n"/>
      <c r="G45" s="11" t="n"/>
      <c r="H45" s="11" t="n"/>
      <c r="I45" s="11" t="n"/>
      <c r="J45" s="11" t="n"/>
      <c r="K45" s="11" t="n"/>
    </row>
    <row r="46" ht="22" customHeight="1">
      <c r="B46" s="18" t="n"/>
      <c r="C46" s="15" t="n"/>
      <c r="D46" s="15" t="n"/>
      <c r="E46" s="17" t="n"/>
      <c r="F46" s="15" t="n"/>
      <c r="G46" s="15" t="n"/>
      <c r="H46" s="15" t="n"/>
      <c r="I46" s="15" t="n"/>
      <c r="J46" s="15" t="n"/>
      <c r="K46" s="15" t="n"/>
    </row>
    <row r="47" ht="22" customHeight="1">
      <c r="B47" s="14" t="n"/>
      <c r="C47" s="11" t="n"/>
      <c r="D47" s="11" t="n"/>
      <c r="E47" s="13" t="n"/>
      <c r="F47" s="11" t="n"/>
      <c r="G47" s="11" t="n"/>
      <c r="H47" s="11" t="n"/>
      <c r="I47" s="11" t="n"/>
      <c r="J47" s="11" t="n"/>
      <c r="K47" s="11" t="n"/>
    </row>
    <row r="48" ht="22" customHeight="1">
      <c r="B48" s="18" t="n"/>
      <c r="C48" s="15" t="n"/>
      <c r="D48" s="15" t="n"/>
      <c r="E48" s="17" t="n"/>
      <c r="F48" s="15" t="n"/>
      <c r="G48" s="15" t="n"/>
      <c r="H48" s="15" t="n"/>
      <c r="I48" s="15" t="n"/>
      <c r="J48" s="15" t="n"/>
      <c r="K48" s="15" t="n"/>
    </row>
    <row r="49" ht="22" customHeight="1">
      <c r="B49" s="14" t="n"/>
      <c r="C49" s="11" t="n"/>
      <c r="D49" s="11" t="n"/>
      <c r="E49" s="13" t="n"/>
      <c r="F49" s="11" t="n"/>
      <c r="G49" s="11" t="n"/>
      <c r="H49" s="11" t="n"/>
      <c r="I49" s="11" t="n"/>
      <c r="J49" s="11" t="n"/>
      <c r="K49" s="11" t="n"/>
    </row>
    <row r="50" ht="22" customHeight="1">
      <c r="B50" s="18" t="n"/>
      <c r="C50" s="15" t="n"/>
      <c r="D50" s="15" t="n"/>
      <c r="E50" s="17" t="n"/>
      <c r="F50" s="15" t="n"/>
      <c r="G50" s="15" t="n"/>
      <c r="H50" s="15" t="n"/>
      <c r="I50" s="15" t="n"/>
      <c r="J50" s="15" t="n"/>
      <c r="K50" s="15" t="n"/>
    </row>
    <row r="51" ht="22" customHeight="1">
      <c r="B51" s="14" t="n"/>
      <c r="C51" s="11" t="n"/>
      <c r="D51" s="11" t="n"/>
      <c r="E51" s="13" t="n"/>
      <c r="F51" s="11" t="n"/>
      <c r="G51" s="11" t="n"/>
      <c r="H51" s="11" t="n"/>
      <c r="I51" s="11" t="n"/>
      <c r="J51" s="11" t="n"/>
      <c r="K51" s="11" t="n"/>
    </row>
    <row r="52" ht="22" customHeight="1">
      <c r="B52" s="18" t="n"/>
      <c r="C52" s="15" t="n"/>
      <c r="D52" s="15" t="n"/>
      <c r="E52" s="17" t="n"/>
      <c r="F52" s="15" t="n"/>
      <c r="G52" s="15" t="n"/>
      <c r="H52" s="15" t="n"/>
      <c r="I52" s="15" t="n"/>
      <c r="J52" s="15" t="n"/>
      <c r="K52" s="15" t="n"/>
    </row>
    <row r="53" ht="22" customHeight="1">
      <c r="B53" s="14" t="n"/>
      <c r="C53" s="11" t="n"/>
      <c r="D53" s="11" t="n"/>
      <c r="E53" s="13" t="n"/>
      <c r="F53" s="11" t="n"/>
      <c r="G53" s="11" t="n"/>
      <c r="H53" s="11" t="n"/>
      <c r="I53" s="11" t="n"/>
      <c r="J53" s="11" t="n"/>
      <c r="K53" s="11" t="n"/>
    </row>
    <row r="54" ht="22" customHeight="1">
      <c r="B54" s="18" t="n"/>
      <c r="C54" s="15" t="n"/>
      <c r="D54" s="15" t="n"/>
      <c r="E54" s="17" t="n"/>
      <c r="F54" s="15" t="n"/>
      <c r="G54" s="15" t="n"/>
      <c r="H54" s="15" t="n"/>
      <c r="I54" s="15" t="n"/>
      <c r="J54" s="15" t="n"/>
      <c r="K54" s="15" t="n"/>
    </row>
    <row r="55" ht="22" customHeight="1">
      <c r="B55" s="14" t="n"/>
      <c r="C55" s="11" t="n"/>
      <c r="D55" s="11" t="n"/>
      <c r="E55" s="13" t="n"/>
      <c r="F55" s="11" t="n"/>
      <c r="G55" s="11" t="n"/>
      <c r="H55" s="11" t="n"/>
      <c r="I55" s="11" t="n"/>
      <c r="J55" s="11" t="n"/>
      <c r="K55" s="11" t="n"/>
    </row>
    <row r="56" ht="22" customHeight="1">
      <c r="B56" s="18" t="n"/>
      <c r="C56" s="15" t="n"/>
      <c r="D56" s="15" t="n"/>
      <c r="E56" s="17" t="n"/>
      <c r="F56" s="15" t="n"/>
      <c r="G56" s="15" t="n"/>
      <c r="H56" s="15" t="n"/>
      <c r="I56" s="15" t="n"/>
      <c r="J56" s="15" t="n"/>
      <c r="K56" s="15" t="n"/>
    </row>
    <row r="57" ht="22" customHeight="1">
      <c r="B57" s="14" t="n"/>
      <c r="C57" s="11" t="n"/>
      <c r="D57" s="11" t="n"/>
      <c r="E57" s="13" t="n"/>
      <c r="F57" s="11" t="n"/>
      <c r="G57" s="11" t="n"/>
      <c r="H57" s="11" t="n"/>
      <c r="I57" s="11" t="n"/>
      <c r="J57" s="11" t="n"/>
      <c r="K57" s="11" t="n"/>
    </row>
    <row r="58" ht="22" customHeight="1">
      <c r="B58" s="18" t="n"/>
      <c r="C58" s="15" t="n"/>
      <c r="D58" s="15" t="n"/>
      <c r="E58" s="17" t="n"/>
      <c r="F58" s="15" t="n"/>
      <c r="G58" s="15" t="n"/>
      <c r="H58" s="15" t="n"/>
      <c r="I58" s="15" t="n"/>
      <c r="J58" s="15" t="n"/>
      <c r="K58" s="15" t="n"/>
    </row>
    <row r="59" ht="22" customHeight="1">
      <c r="B59" s="14" t="n"/>
      <c r="C59" s="11" t="n"/>
      <c r="D59" s="11" t="n"/>
      <c r="E59" s="13" t="n"/>
      <c r="F59" s="11" t="n"/>
      <c r="G59" s="11" t="n"/>
      <c r="H59" s="11" t="n"/>
      <c r="I59" s="11" t="n"/>
      <c r="J59" s="11" t="n"/>
      <c r="K59" s="11" t="n"/>
    </row>
    <row r="60" ht="22" customHeight="1">
      <c r="B60" s="18" t="n"/>
      <c r="C60" s="15" t="n"/>
      <c r="D60" s="15" t="n"/>
      <c r="E60" s="17" t="n"/>
      <c r="F60" s="15" t="n"/>
      <c r="G60" s="15" t="n"/>
      <c r="H60" s="15" t="n"/>
      <c r="I60" s="15" t="n"/>
      <c r="J60" s="15" t="n"/>
      <c r="K60" s="15" t="n"/>
    </row>
    <row r="61" ht="22" customHeight="1">
      <c r="B61" s="14" t="n"/>
      <c r="C61" s="11" t="n"/>
      <c r="D61" s="11" t="n"/>
      <c r="E61" s="13" t="n"/>
      <c r="F61" s="11" t="n"/>
      <c r="G61" s="11" t="n"/>
      <c r="H61" s="11" t="n"/>
      <c r="I61" s="11" t="n"/>
      <c r="J61" s="11" t="n"/>
      <c r="K61" s="11" t="n"/>
    </row>
    <row r="62" ht="22" customHeight="1">
      <c r="B62" s="18" t="n"/>
      <c r="C62" s="15" t="n"/>
      <c r="D62" s="15" t="n"/>
      <c r="E62" s="17" t="n"/>
      <c r="F62" s="15" t="n"/>
      <c r="G62" s="15" t="n"/>
      <c r="H62" s="15" t="n"/>
      <c r="I62" s="15" t="n"/>
      <c r="J62" s="15" t="n"/>
      <c r="K62" s="15" t="n"/>
    </row>
    <row r="63" ht="22" customHeight="1">
      <c r="B63" s="14" t="n"/>
      <c r="C63" s="11" t="n"/>
      <c r="D63" s="11" t="n"/>
      <c r="E63" s="13" t="n"/>
      <c r="F63" s="11" t="n"/>
      <c r="G63" s="11" t="n"/>
      <c r="H63" s="11" t="n"/>
      <c r="I63" s="11" t="n"/>
      <c r="J63" s="11" t="n"/>
      <c r="K63" s="11" t="n"/>
    </row>
    <row r="64" ht="22" customHeight="1">
      <c r="B64" s="18" t="n"/>
      <c r="C64" s="15" t="n"/>
      <c r="D64" s="15" t="n"/>
      <c r="E64" s="17" t="n"/>
      <c r="F64" s="15" t="n"/>
      <c r="G64" s="15" t="n"/>
      <c r="H64" s="15" t="n"/>
      <c r="I64" s="15" t="n"/>
      <c r="J64" s="15" t="n"/>
      <c r="K64" s="15" t="n"/>
    </row>
    <row r="65" ht="22" customHeight="1">
      <c r="B65" s="14" t="n"/>
      <c r="C65" s="11" t="n"/>
      <c r="D65" s="11" t="n"/>
      <c r="E65" s="13" t="n"/>
      <c r="F65" s="11" t="n"/>
      <c r="G65" s="11" t="n"/>
      <c r="H65" s="11" t="n"/>
      <c r="I65" s="11" t="n"/>
      <c r="J65" s="11" t="n"/>
      <c r="K65" s="11" t="n"/>
    </row>
    <row r="66" ht="22" customHeight="1">
      <c r="B66" s="18" t="n"/>
      <c r="C66" s="15" t="n"/>
      <c r="D66" s="15" t="n"/>
      <c r="E66" s="17" t="n"/>
      <c r="F66" s="15" t="n"/>
      <c r="G66" s="15" t="n"/>
      <c r="H66" s="15" t="n"/>
      <c r="I66" s="15" t="n"/>
      <c r="J66" s="15" t="n"/>
      <c r="K66" s="15" t="n"/>
    </row>
    <row r="67" ht="22" customHeight="1">
      <c r="B67" s="14" t="n"/>
      <c r="C67" s="11" t="n"/>
      <c r="D67" s="11" t="n"/>
      <c r="E67" s="13" t="n"/>
      <c r="F67" s="11" t="n"/>
      <c r="G67" s="11" t="n"/>
      <c r="H67" s="11" t="n"/>
      <c r="I67" s="11" t="n"/>
      <c r="J67" s="11" t="n"/>
      <c r="K67" s="11" t="n"/>
    </row>
    <row r="68" ht="22" customHeight="1">
      <c r="B68" s="18" t="n"/>
      <c r="C68" s="15" t="n"/>
      <c r="D68" s="15" t="n"/>
      <c r="E68" s="17" t="n"/>
      <c r="F68" s="15" t="n"/>
      <c r="G68" s="15" t="n"/>
      <c r="H68" s="15" t="n"/>
      <c r="I68" s="15" t="n"/>
      <c r="J68" s="15" t="n"/>
      <c r="K68" s="15" t="n"/>
    </row>
    <row r="69" ht="22" customHeight="1">
      <c r="B69" s="14" t="n"/>
      <c r="C69" s="11" t="n"/>
      <c r="D69" s="11" t="n"/>
      <c r="E69" s="13" t="n"/>
      <c r="F69" s="11" t="n"/>
      <c r="G69" s="11" t="n"/>
      <c r="H69" s="11" t="n"/>
      <c r="I69" s="11" t="n"/>
      <c r="J69" s="11" t="n"/>
      <c r="K69" s="11" t="n"/>
    </row>
    <row r="70" ht="22" customHeight="1">
      <c r="B70" s="18" t="n"/>
      <c r="C70" s="15" t="n"/>
      <c r="D70" s="15" t="n"/>
      <c r="E70" s="17" t="n"/>
      <c r="F70" s="15" t="n"/>
      <c r="G70" s="15" t="n"/>
      <c r="H70" s="15" t="n"/>
      <c r="I70" s="15" t="n"/>
      <c r="J70" s="15" t="n"/>
      <c r="K70" s="15" t="n"/>
    </row>
    <row r="71" ht="22" customHeight="1">
      <c r="B71" s="14" t="n"/>
      <c r="C71" s="11" t="n"/>
      <c r="D71" s="11" t="n"/>
      <c r="E71" s="13" t="n"/>
      <c r="F71" s="11" t="n"/>
      <c r="G71" s="11" t="n"/>
      <c r="H71" s="11" t="n"/>
      <c r="I71" s="11" t="n"/>
      <c r="J71" s="11" t="n"/>
      <c r="K71" s="11" t="n"/>
    </row>
    <row r="72" ht="22" customHeight="1">
      <c r="B72" s="18" t="n"/>
      <c r="C72" s="15" t="n"/>
      <c r="D72" s="15" t="n"/>
      <c r="E72" s="17" t="n"/>
      <c r="F72" s="15" t="n"/>
      <c r="G72" s="15" t="n"/>
      <c r="H72" s="15" t="n"/>
      <c r="I72" s="15" t="n"/>
      <c r="J72" s="15" t="n"/>
      <c r="K72" s="15" t="n"/>
    </row>
    <row r="73" ht="22" customHeight="1">
      <c r="B73" s="14" t="n"/>
      <c r="C73" s="11" t="n"/>
      <c r="D73" s="11" t="n"/>
      <c r="E73" s="13" t="n"/>
      <c r="F73" s="11" t="n"/>
      <c r="G73" s="11" t="n"/>
      <c r="H73" s="11" t="n"/>
      <c r="I73" s="11" t="n"/>
      <c r="J73" s="11" t="n"/>
      <c r="K73" s="11" t="n"/>
    </row>
    <row r="74" ht="22" customHeight="1">
      <c r="B74" s="18" t="n"/>
      <c r="C74" s="15" t="n"/>
      <c r="D74" s="15" t="n"/>
      <c r="E74" s="17" t="n"/>
      <c r="F74" s="15" t="n"/>
      <c r="G74" s="15" t="n"/>
      <c r="H74" s="15" t="n"/>
      <c r="I74" s="15" t="n"/>
      <c r="J74" s="15" t="n"/>
      <c r="K74" s="15" t="n"/>
    </row>
    <row r="75" ht="22" customHeight="1">
      <c r="B75" s="14" t="n"/>
      <c r="C75" s="11" t="n"/>
      <c r="D75" s="11" t="n"/>
      <c r="E75" s="13" t="n"/>
      <c r="F75" s="11" t="n"/>
      <c r="G75" s="11" t="n"/>
      <c r="H75" s="11" t="n"/>
      <c r="I75" s="11" t="n"/>
      <c r="J75" s="11" t="n"/>
      <c r="K75" s="11" t="n"/>
    </row>
    <row r="76" ht="22" customHeight="1">
      <c r="B76" s="18" t="n"/>
      <c r="C76" s="15" t="n"/>
      <c r="D76" s="15" t="n"/>
      <c r="E76" s="17" t="n"/>
      <c r="F76" s="15" t="n"/>
      <c r="G76" s="15" t="n"/>
      <c r="H76" s="15" t="n"/>
      <c r="I76" s="15" t="n"/>
      <c r="J76" s="15" t="n"/>
      <c r="K76" s="15" t="n"/>
    </row>
    <row r="77" ht="22" customHeight="1">
      <c r="B77" s="14" t="n"/>
      <c r="C77" s="11" t="n"/>
      <c r="D77" s="11" t="n"/>
      <c r="E77" s="13" t="n"/>
      <c r="F77" s="11" t="n"/>
      <c r="G77" s="11" t="n"/>
      <c r="H77" s="11" t="n"/>
      <c r="I77" s="11" t="n"/>
      <c r="J77" s="11" t="n"/>
      <c r="K77" s="11" t="n"/>
    </row>
    <row r="78" ht="22" customHeight="1">
      <c r="B78" s="18" t="n"/>
      <c r="C78" s="15" t="n"/>
      <c r="D78" s="15" t="n"/>
      <c r="E78" s="17" t="n"/>
      <c r="F78" s="15" t="n"/>
      <c r="G78" s="15" t="n"/>
      <c r="H78" s="15" t="n"/>
      <c r="I78" s="15" t="n"/>
      <c r="J78" s="15" t="n"/>
      <c r="K78" s="15" t="n"/>
    </row>
    <row r="79" ht="22" customHeight="1">
      <c r="B79" s="14" t="n"/>
      <c r="C79" s="11" t="n"/>
      <c r="D79" s="11" t="n"/>
      <c r="E79" s="13" t="n"/>
      <c r="F79" s="11" t="n"/>
      <c r="G79" s="11" t="n"/>
      <c r="H79" s="11" t="n"/>
      <c r="I79" s="11" t="n"/>
      <c r="J79" s="11" t="n"/>
      <c r="K79" s="11" t="n"/>
    </row>
    <row r="80" ht="22" customHeight="1">
      <c r="B80" s="18" t="n"/>
      <c r="C80" s="15" t="n"/>
      <c r="D80" s="15" t="n"/>
      <c r="E80" s="17" t="n"/>
      <c r="F80" s="15" t="n"/>
      <c r="G80" s="15" t="n"/>
      <c r="H80" s="15" t="n"/>
      <c r="I80" s="15" t="n"/>
      <c r="J80" s="15" t="n"/>
      <c r="K80" s="15" t="n"/>
    </row>
    <row r="81" ht="22" customHeight="1">
      <c r="B81" s="14" t="n"/>
      <c r="C81" s="11" t="n"/>
      <c r="D81" s="11" t="n"/>
      <c r="E81" s="13" t="n"/>
      <c r="F81" s="11" t="n"/>
      <c r="G81" s="11" t="n"/>
      <c r="H81" s="11" t="n"/>
      <c r="I81" s="11" t="n"/>
      <c r="J81" s="11" t="n"/>
      <c r="K81" s="11" t="n"/>
    </row>
    <row r="82" ht="22" customHeight="1">
      <c r="B82" s="18" t="n"/>
      <c r="C82" s="15" t="n"/>
      <c r="D82" s="15" t="n"/>
      <c r="E82" s="17" t="n"/>
      <c r="F82" s="15" t="n"/>
      <c r="G82" s="15" t="n"/>
      <c r="H82" s="15" t="n"/>
      <c r="I82" s="15" t="n"/>
      <c r="J82" s="15" t="n"/>
      <c r="K82" s="15" t="n"/>
    </row>
    <row r="83" ht="22" customHeight="1">
      <c r="B83" s="14" t="n"/>
      <c r="C83" s="11" t="n"/>
      <c r="D83" s="11" t="n"/>
      <c r="E83" s="13" t="n"/>
      <c r="F83" s="11" t="n"/>
      <c r="G83" s="11" t="n"/>
      <c r="H83" s="11" t="n"/>
      <c r="I83" s="11" t="n"/>
      <c r="J83" s="11" t="n"/>
      <c r="K83" s="11" t="n"/>
    </row>
    <row r="84" ht="22" customHeight="1">
      <c r="B84" s="18" t="n"/>
      <c r="C84" s="15" t="n"/>
      <c r="D84" s="15" t="n"/>
      <c r="E84" s="17" t="n"/>
      <c r="F84" s="15" t="n"/>
      <c r="G84" s="15" t="n"/>
      <c r="H84" s="15" t="n"/>
      <c r="I84" s="15" t="n"/>
      <c r="J84" s="15" t="n"/>
      <c r="K84" s="15" t="n"/>
    </row>
    <row r="85" ht="22" customHeight="1">
      <c r="B85" s="14" t="n"/>
      <c r="C85" s="11" t="n"/>
      <c r="D85" s="11" t="n"/>
      <c r="E85" s="13" t="n"/>
      <c r="F85" s="11" t="n"/>
      <c r="G85" s="11" t="n"/>
      <c r="H85" s="11" t="n"/>
      <c r="I85" s="11" t="n"/>
      <c r="J85" s="11" t="n"/>
      <c r="K85" s="11" t="n"/>
    </row>
    <row r="86" ht="22" customHeight="1">
      <c r="B86" s="18" t="n"/>
      <c r="C86" s="15" t="n"/>
      <c r="D86" s="15" t="n"/>
      <c r="E86" s="17" t="n"/>
      <c r="F86" s="15" t="n"/>
      <c r="G86" s="15" t="n"/>
      <c r="H86" s="15" t="n"/>
      <c r="I86" s="15" t="n"/>
      <c r="J86" s="15" t="n"/>
      <c r="K86" s="15" t="n"/>
    </row>
    <row r="87" ht="22" customHeight="1">
      <c r="B87" s="14" t="n"/>
      <c r="C87" s="11" t="n"/>
      <c r="D87" s="11" t="n"/>
      <c r="E87" s="13" t="n"/>
      <c r="F87" s="11" t="n"/>
      <c r="G87" s="11" t="n"/>
      <c r="H87" s="11" t="n"/>
      <c r="I87" s="11" t="n"/>
      <c r="J87" s="11" t="n"/>
      <c r="K87" s="11" t="n"/>
    </row>
    <row r="88" ht="22" customHeight="1">
      <c r="B88" s="18" t="n"/>
      <c r="C88" s="15" t="n"/>
      <c r="D88" s="15" t="n"/>
      <c r="E88" s="17" t="n"/>
      <c r="F88" s="15" t="n"/>
      <c r="G88" s="15" t="n"/>
      <c r="H88" s="15" t="n"/>
      <c r="I88" s="15" t="n"/>
      <c r="J88" s="15" t="n"/>
      <c r="K88" s="15" t="n"/>
    </row>
    <row r="89" ht="22" customHeight="1">
      <c r="B89" s="14" t="n"/>
      <c r="C89" s="11" t="n"/>
      <c r="D89" s="11" t="n"/>
      <c r="E89" s="13" t="n"/>
      <c r="F89" s="11" t="n"/>
      <c r="G89" s="11" t="n"/>
      <c r="H89" s="11" t="n"/>
      <c r="I89" s="11" t="n"/>
      <c r="J89" s="11" t="n"/>
      <c r="K89" s="11" t="n"/>
    </row>
    <row r="90" ht="22" customHeight="1">
      <c r="B90" s="18" t="n"/>
      <c r="C90" s="15" t="n"/>
      <c r="D90" s="15" t="n"/>
      <c r="E90" s="17" t="n"/>
      <c r="F90" s="15" t="n"/>
      <c r="G90" s="15" t="n"/>
      <c r="H90" s="15" t="n"/>
      <c r="I90" s="15" t="n"/>
      <c r="J90" s="15" t="n"/>
      <c r="K90" s="15" t="n"/>
    </row>
    <row r="91" ht="22" customHeight="1">
      <c r="B91" s="14" t="n"/>
      <c r="C91" s="11" t="n"/>
      <c r="D91" s="11" t="n"/>
      <c r="E91" s="13" t="n"/>
      <c r="F91" s="11" t="n"/>
      <c r="G91" s="11" t="n"/>
      <c r="H91" s="11" t="n"/>
      <c r="I91" s="11" t="n"/>
      <c r="J91" s="11" t="n"/>
      <c r="K91" s="11" t="n"/>
    </row>
    <row r="92" ht="22" customHeight="1">
      <c r="B92" s="18" t="n"/>
      <c r="C92" s="15" t="n"/>
      <c r="D92" s="15" t="n"/>
      <c r="E92" s="17" t="n"/>
      <c r="F92" s="15" t="n"/>
      <c r="G92" s="15" t="n"/>
      <c r="H92" s="15" t="n"/>
      <c r="I92" s="15" t="n"/>
      <c r="J92" s="15" t="n"/>
      <c r="K92" s="15" t="n"/>
    </row>
    <row r="93" ht="22" customHeight="1">
      <c r="B93" s="14" t="n"/>
      <c r="C93" s="11" t="n"/>
      <c r="D93" s="11" t="n"/>
      <c r="E93" s="13" t="n"/>
      <c r="F93" s="11" t="n"/>
      <c r="G93" s="11" t="n"/>
      <c r="H93" s="11" t="n"/>
      <c r="I93" s="11" t="n"/>
      <c r="J93" s="11" t="n"/>
      <c r="K93" s="11" t="n"/>
    </row>
    <row r="94" ht="22" customHeight="1">
      <c r="B94" s="18" t="n"/>
      <c r="C94" s="15" t="n"/>
      <c r="D94" s="15" t="n"/>
      <c r="E94" s="17" t="n"/>
      <c r="F94" s="15" t="n"/>
      <c r="G94" s="15" t="n"/>
      <c r="H94" s="15" t="n"/>
      <c r="I94" s="15" t="n"/>
      <c r="J94" s="15" t="n"/>
      <c r="K94" s="15" t="n"/>
    </row>
    <row r="95" ht="22" customHeight="1">
      <c r="B95" s="14" t="n"/>
      <c r="C95" s="11" t="n"/>
      <c r="D95" s="11" t="n"/>
      <c r="E95" s="13" t="n"/>
      <c r="F95" s="11" t="n"/>
      <c r="G95" s="11" t="n"/>
      <c r="H95" s="11" t="n"/>
      <c r="I95" s="11" t="n"/>
      <c r="J95" s="11" t="n"/>
      <c r="K95" s="11" t="n"/>
    </row>
    <row r="96" ht="22" customHeight="1">
      <c r="B96" s="18" t="n"/>
      <c r="C96" s="15" t="n"/>
      <c r="D96" s="15" t="n"/>
      <c r="E96" s="17" t="n"/>
      <c r="F96" s="15" t="n"/>
      <c r="G96" s="15" t="n"/>
      <c r="H96" s="15" t="n"/>
      <c r="I96" s="15" t="n"/>
      <c r="J96" s="15" t="n"/>
      <c r="K96" s="15" t="n"/>
    </row>
    <row r="97" ht="22" customHeight="1">
      <c r="B97" s="14" t="n"/>
      <c r="C97" s="11" t="n"/>
      <c r="D97" s="11" t="n"/>
      <c r="E97" s="13" t="n"/>
      <c r="F97" s="11" t="n"/>
      <c r="G97" s="11" t="n"/>
      <c r="H97" s="11" t="n"/>
      <c r="I97" s="11" t="n"/>
      <c r="J97" s="11" t="n"/>
      <c r="K97" s="11" t="n"/>
    </row>
    <row r="98" ht="22" customHeight="1">
      <c r="B98" s="18" t="n"/>
      <c r="C98" s="15" t="n"/>
      <c r="D98" s="15" t="n"/>
      <c r="E98" s="17" t="n"/>
      <c r="F98" s="15" t="n"/>
      <c r="G98" s="15" t="n"/>
      <c r="H98" s="15" t="n"/>
      <c r="I98" s="15" t="n"/>
      <c r="J98" s="15" t="n"/>
      <c r="K98" s="15" t="n"/>
    </row>
    <row r="99" ht="22" customHeight="1">
      <c r="B99" s="14" t="n"/>
      <c r="C99" s="11" t="n"/>
      <c r="D99" s="11" t="n"/>
      <c r="E99" s="13" t="n"/>
      <c r="F99" s="11" t="n"/>
      <c r="G99" s="11" t="n"/>
      <c r="H99" s="11" t="n"/>
      <c r="I99" s="11" t="n"/>
      <c r="J99" s="11" t="n"/>
      <c r="K99" s="11" t="n"/>
    </row>
    <row r="100" ht="22" customHeight="1">
      <c r="B100" s="18" t="n"/>
      <c r="C100" s="15" t="n"/>
      <c r="D100" s="15" t="n"/>
      <c r="E100" s="17" t="n"/>
      <c r="F100" s="15" t="n"/>
      <c r="G100" s="15" t="n"/>
      <c r="H100" s="15" t="n"/>
      <c r="I100" s="15" t="n"/>
      <c r="J100" s="15" t="n"/>
      <c r="K100" s="15" t="n"/>
    </row>
    <row r="101" ht="22" customHeight="1">
      <c r="B101" s="14" t="n"/>
      <c r="C101" s="11" t="n"/>
      <c r="D101" s="11" t="n"/>
      <c r="E101" s="13" t="n"/>
      <c r="F101" s="11" t="n"/>
      <c r="G101" s="11" t="n"/>
      <c r="H101" s="11" t="n"/>
      <c r="I101" s="11" t="n"/>
      <c r="J101" s="11" t="n"/>
      <c r="K101" s="11" t="n"/>
    </row>
    <row r="102" ht="22" customHeight="1">
      <c r="B102" s="18" t="n"/>
      <c r="C102" s="15" t="n"/>
      <c r="D102" s="15" t="n"/>
      <c r="E102" s="17" t="n"/>
      <c r="F102" s="15" t="n"/>
      <c r="G102" s="15" t="n"/>
      <c r="H102" s="15" t="n"/>
      <c r="I102" s="15" t="n"/>
      <c r="J102" s="15" t="n"/>
      <c r="K102" s="15" t="n"/>
    </row>
    <row r="103" ht="22" customHeight="1">
      <c r="B103" s="14" t="n"/>
      <c r="C103" s="11" t="n"/>
      <c r="D103" s="11" t="n"/>
      <c r="E103" s="13" t="n"/>
      <c r="F103" s="11" t="n"/>
      <c r="G103" s="11" t="n"/>
      <c r="H103" s="11" t="n"/>
      <c r="I103" s="11" t="n"/>
      <c r="J103" s="11" t="n"/>
      <c r="K103" s="11" t="n"/>
    </row>
    <row r="104" ht="22" customHeight="1">
      <c r="B104" s="18" t="n"/>
      <c r="C104" s="15" t="n"/>
      <c r="D104" s="15" t="n"/>
      <c r="E104" s="17" t="n"/>
      <c r="F104" s="15" t="n"/>
      <c r="G104" s="15" t="n"/>
      <c r="H104" s="15" t="n"/>
      <c r="I104" s="15" t="n"/>
      <c r="J104" s="15" t="n"/>
      <c r="K104" s="15" t="n"/>
    </row>
    <row r="105" ht="22" customHeight="1">
      <c r="B105" s="14" t="n"/>
      <c r="C105" s="11" t="n"/>
      <c r="D105" s="11" t="n"/>
      <c r="E105" s="13" t="n"/>
      <c r="F105" s="11" t="n"/>
      <c r="G105" s="11" t="n"/>
      <c r="H105" s="11" t="n"/>
      <c r="I105" s="11" t="n"/>
      <c r="J105" s="11" t="n"/>
      <c r="K105" s="11" t="n"/>
    </row>
    <row r="106" ht="22" customHeight="1">
      <c r="B106" s="18" t="n"/>
      <c r="C106" s="15" t="n"/>
      <c r="D106" s="15" t="n"/>
      <c r="E106" s="17" t="n"/>
      <c r="F106" s="15" t="n"/>
      <c r="G106" s="15" t="n"/>
      <c r="H106" s="15" t="n"/>
      <c r="I106" s="15" t="n"/>
      <c r="J106" s="15" t="n"/>
      <c r="K106" s="15" t="n"/>
    </row>
    <row r="107" ht="22" customHeight="1">
      <c r="B107" s="14" t="n"/>
      <c r="C107" s="11" t="n"/>
      <c r="D107" s="11" t="n"/>
      <c r="E107" s="13" t="n"/>
      <c r="F107" s="11" t="n"/>
      <c r="G107" s="11" t="n"/>
      <c r="H107" s="11" t="n"/>
      <c r="I107" s="11" t="n"/>
      <c r="J107" s="11" t="n"/>
      <c r="K107" s="11" t="n"/>
    </row>
    <row r="108" ht="22" customHeight="1">
      <c r="B108" s="18" t="n"/>
      <c r="C108" s="15" t="n"/>
      <c r="D108" s="15" t="n"/>
      <c r="E108" s="17" t="n"/>
      <c r="F108" s="15" t="n"/>
      <c r="G108" s="15" t="n"/>
      <c r="H108" s="15" t="n"/>
      <c r="I108" s="15" t="n"/>
      <c r="J108" s="15" t="n"/>
      <c r="K108" s="15" t="n"/>
    </row>
    <row r="109" ht="22" customHeight="1">
      <c r="B109" s="14" t="n"/>
      <c r="C109" s="11" t="n"/>
      <c r="D109" s="11" t="n"/>
      <c r="E109" s="13" t="n"/>
      <c r="F109" s="11" t="n"/>
      <c r="G109" s="11" t="n"/>
      <c r="H109" s="11" t="n"/>
      <c r="I109" s="11" t="n"/>
      <c r="J109" s="11" t="n"/>
      <c r="K109" s="11" t="n"/>
    </row>
    <row r="110" ht="22" customHeight="1">
      <c r="B110" s="18" t="n"/>
      <c r="C110" s="15" t="n"/>
      <c r="D110" s="15" t="n"/>
      <c r="E110" s="17" t="n"/>
      <c r="F110" s="15" t="n"/>
      <c r="G110" s="15" t="n"/>
      <c r="H110" s="15" t="n"/>
      <c r="I110" s="15" t="n"/>
      <c r="J110" s="15" t="n"/>
      <c r="K110" s="15" t="n"/>
    </row>
    <row r="111" ht="22" customHeight="1">
      <c r="B111" s="14" t="n"/>
      <c r="C111" s="11" t="n"/>
      <c r="D111" s="11" t="n"/>
      <c r="E111" s="13" t="n"/>
      <c r="F111" s="11" t="n"/>
      <c r="G111" s="11" t="n"/>
      <c r="H111" s="11" t="n"/>
      <c r="I111" s="11" t="n"/>
      <c r="J111" s="11" t="n"/>
      <c r="K111" s="11" t="n"/>
    </row>
    <row r="112" ht="22" customHeight="1">
      <c r="B112" s="18" t="n"/>
      <c r="C112" s="15" t="n"/>
      <c r="D112" s="15" t="n"/>
      <c r="E112" s="17" t="n"/>
      <c r="F112" s="15" t="n"/>
      <c r="G112" s="15" t="n"/>
      <c r="H112" s="15" t="n"/>
      <c r="I112" s="15" t="n"/>
      <c r="J112" s="15" t="n"/>
      <c r="K112" s="15" t="n"/>
    </row>
    <row r="113" ht="22" customHeight="1">
      <c r="B113" s="14" t="n"/>
      <c r="C113" s="11" t="n"/>
      <c r="D113" s="11" t="n"/>
      <c r="E113" s="13" t="n"/>
      <c r="F113" s="11" t="n"/>
      <c r="G113" s="11" t="n"/>
      <c r="H113" s="11" t="n"/>
      <c r="I113" s="11" t="n"/>
      <c r="J113" s="11" t="n"/>
      <c r="K113" s="11" t="n"/>
    </row>
    <row r="114" ht="22" customHeight="1">
      <c r="B114" s="18" t="n"/>
      <c r="C114" s="15" t="n"/>
      <c r="D114" s="15" t="n"/>
      <c r="E114" s="17" t="n"/>
      <c r="F114" s="15" t="n"/>
      <c r="G114" s="15" t="n"/>
      <c r="H114" s="15" t="n"/>
      <c r="I114" s="15" t="n"/>
      <c r="J114" s="15" t="n"/>
      <c r="K114" s="15" t="n"/>
    </row>
    <row r="115" ht="22" customHeight="1">
      <c r="B115" s="14" t="n"/>
      <c r="C115" s="11" t="n"/>
      <c r="D115" s="11" t="n"/>
      <c r="E115" s="13" t="n"/>
      <c r="F115" s="11" t="n"/>
      <c r="G115" s="11" t="n"/>
      <c r="H115" s="11" t="n"/>
      <c r="I115" s="11" t="n"/>
      <c r="J115" s="11" t="n"/>
      <c r="K115" s="11" t="n"/>
    </row>
    <row r="116" ht="22" customHeight="1">
      <c r="B116" s="18" t="n"/>
      <c r="C116" s="15" t="n"/>
      <c r="D116" s="15" t="n"/>
      <c r="E116" s="17" t="n"/>
      <c r="F116" s="15" t="n"/>
      <c r="G116" s="15" t="n"/>
      <c r="H116" s="15" t="n"/>
      <c r="I116" s="15" t="n"/>
      <c r="J116" s="15" t="n"/>
      <c r="K116" s="15" t="n"/>
    </row>
    <row r="117" ht="22" customHeight="1">
      <c r="B117" s="14" t="n"/>
      <c r="C117" s="11" t="n"/>
      <c r="D117" s="11" t="n"/>
      <c r="E117" s="13" t="n"/>
      <c r="F117" s="11" t="n"/>
      <c r="G117" s="11" t="n"/>
      <c r="H117" s="11" t="n"/>
      <c r="I117" s="11" t="n"/>
      <c r="J117" s="11" t="n"/>
      <c r="K117" s="11" t="n"/>
    </row>
    <row r="118" ht="22" customHeight="1">
      <c r="B118" s="18" t="n"/>
      <c r="C118" s="15" t="n"/>
      <c r="D118" s="15" t="n"/>
      <c r="E118" s="17" t="n"/>
      <c r="F118" s="15" t="n"/>
      <c r="G118" s="15" t="n"/>
      <c r="H118" s="15" t="n"/>
      <c r="I118" s="15" t="n"/>
      <c r="J118" s="15" t="n"/>
      <c r="K118" s="15" t="n"/>
    </row>
    <row r="119" ht="22" customHeight="1">
      <c r="B119" s="14" t="n"/>
      <c r="C119" s="11" t="n"/>
      <c r="D119" s="11" t="n"/>
      <c r="E119" s="13" t="n"/>
      <c r="F119" s="11" t="n"/>
      <c r="G119" s="11" t="n"/>
      <c r="H119" s="11" t="n"/>
      <c r="I119" s="11" t="n"/>
      <c r="J119" s="11" t="n"/>
      <c r="K119" s="11" t="n"/>
    </row>
    <row r="120" ht="22" customHeight="1">
      <c r="B120" s="18" t="n"/>
      <c r="C120" s="15" t="n"/>
      <c r="D120" s="15" t="n"/>
      <c r="E120" s="17" t="n"/>
      <c r="F120" s="15" t="n"/>
      <c r="G120" s="15" t="n"/>
      <c r="H120" s="15" t="n"/>
      <c r="I120" s="15" t="n"/>
      <c r="J120" s="15" t="n"/>
      <c r="K120" s="15" t="n"/>
    </row>
    <row r="121" ht="22" customHeight="1">
      <c r="B121" s="14" t="n"/>
      <c r="C121" s="11" t="n"/>
      <c r="D121" s="11" t="n"/>
      <c r="E121" s="13" t="n"/>
      <c r="F121" s="11" t="n"/>
      <c r="G121" s="11" t="n"/>
      <c r="H121" s="11" t="n"/>
      <c r="I121" s="11" t="n"/>
      <c r="J121" s="11" t="n"/>
      <c r="K121" s="11" t="n"/>
    </row>
    <row r="122" ht="22" customHeight="1">
      <c r="B122" s="18" t="n"/>
      <c r="C122" s="15" t="n"/>
      <c r="D122" s="15" t="n"/>
      <c r="E122" s="17" t="n"/>
      <c r="F122" s="15" t="n"/>
      <c r="G122" s="15" t="n"/>
      <c r="H122" s="15" t="n"/>
      <c r="I122" s="15" t="n"/>
      <c r="J122" s="15" t="n"/>
      <c r="K122" s="15" t="n"/>
    </row>
    <row r="123" ht="22" customHeight="1">
      <c r="B123" s="14" t="n"/>
      <c r="C123" s="11" t="n"/>
      <c r="D123" s="11" t="n"/>
      <c r="E123" s="13" t="n"/>
      <c r="F123" s="11" t="n"/>
      <c r="G123" s="11" t="n"/>
      <c r="H123" s="11" t="n"/>
      <c r="I123" s="11" t="n"/>
      <c r="J123" s="11" t="n"/>
      <c r="K123" s="11" t="n"/>
    </row>
    <row r="124" ht="22" customHeight="1">
      <c r="B124" s="18" t="n"/>
      <c r="C124" s="15" t="n"/>
      <c r="D124" s="15" t="n"/>
      <c r="E124" s="17" t="n"/>
      <c r="F124" s="15" t="n"/>
      <c r="G124" s="15" t="n"/>
      <c r="H124" s="15" t="n"/>
      <c r="I124" s="15" t="n"/>
      <c r="J124" s="15" t="n"/>
      <c r="K124" s="15" t="n"/>
    </row>
    <row r="125" ht="22" customHeight="1">
      <c r="B125" s="14" t="n"/>
      <c r="C125" s="11" t="n"/>
      <c r="D125" s="11" t="n"/>
      <c r="E125" s="13" t="n"/>
      <c r="F125" s="11" t="n"/>
      <c r="G125" s="11" t="n"/>
      <c r="H125" s="11" t="n"/>
      <c r="I125" s="11" t="n"/>
      <c r="J125" s="11" t="n"/>
      <c r="K125" s="11" t="n"/>
    </row>
    <row r="126" ht="22" customHeight="1">
      <c r="B126" s="18" t="n"/>
      <c r="C126" s="15" t="n"/>
      <c r="D126" s="15" t="n"/>
      <c r="E126" s="17" t="n"/>
      <c r="F126" s="15" t="n"/>
      <c r="G126" s="15" t="n"/>
      <c r="H126" s="15" t="n"/>
      <c r="I126" s="15" t="n"/>
      <c r="J126" s="15" t="n"/>
      <c r="K126" s="15" t="n"/>
    </row>
    <row r="127" ht="22" customHeight="1">
      <c r="B127" s="14" t="n"/>
      <c r="C127" s="11" t="n"/>
      <c r="D127" s="11" t="n"/>
      <c r="E127" s="13" t="n"/>
      <c r="F127" s="11" t="n"/>
      <c r="G127" s="11" t="n"/>
      <c r="H127" s="11" t="n"/>
      <c r="I127" s="11" t="n"/>
      <c r="J127" s="11" t="n"/>
      <c r="K127" s="11" t="n"/>
    </row>
    <row r="128" ht="22" customHeight="1">
      <c r="B128" s="18" t="n"/>
      <c r="C128" s="15" t="n"/>
      <c r="D128" s="15" t="n"/>
      <c r="E128" s="17" t="n"/>
      <c r="F128" s="15" t="n"/>
      <c r="G128" s="15" t="n"/>
      <c r="H128" s="15" t="n"/>
      <c r="I128" s="15" t="n"/>
      <c r="J128" s="15" t="n"/>
      <c r="K128" s="15" t="n"/>
    </row>
    <row r="129" ht="22" customHeight="1">
      <c r="B129" s="14" t="n"/>
      <c r="C129" s="11" t="n"/>
      <c r="D129" s="11" t="n"/>
      <c r="E129" s="13" t="n"/>
      <c r="F129" s="11" t="n"/>
      <c r="G129" s="11" t="n"/>
      <c r="H129" s="11" t="n"/>
      <c r="I129" s="11" t="n"/>
      <c r="J129" s="11" t="n"/>
      <c r="K129" s="11" t="n"/>
    </row>
    <row r="130" ht="22" customHeight="1">
      <c r="B130" s="18" t="n"/>
      <c r="C130" s="15" t="n"/>
      <c r="D130" s="15" t="n"/>
      <c r="E130" s="17" t="n"/>
      <c r="F130" s="15" t="n"/>
      <c r="G130" s="15" t="n"/>
      <c r="H130" s="15" t="n"/>
      <c r="I130" s="15" t="n"/>
      <c r="J130" s="15" t="n"/>
      <c r="K130" s="15" t="n"/>
    </row>
    <row r="131" ht="22" customHeight="1">
      <c r="B131" s="14" t="n"/>
      <c r="C131" s="11" t="n"/>
      <c r="D131" s="11" t="n"/>
      <c r="E131" s="13" t="n"/>
      <c r="F131" s="11" t="n"/>
      <c r="G131" s="11" t="n"/>
      <c r="H131" s="11" t="n"/>
      <c r="I131" s="11" t="n"/>
      <c r="J131" s="11" t="n"/>
      <c r="K131" s="11" t="n"/>
    </row>
    <row r="132" ht="22" customHeight="1">
      <c r="B132" s="18" t="n"/>
      <c r="C132" s="15" t="n"/>
      <c r="D132" s="15" t="n"/>
      <c r="E132" s="17" t="n"/>
      <c r="F132" s="15" t="n"/>
      <c r="G132" s="15" t="n"/>
      <c r="H132" s="15" t="n"/>
      <c r="I132" s="15" t="n"/>
      <c r="J132" s="15" t="n"/>
      <c r="K132" s="15" t="n"/>
    </row>
    <row r="133" ht="22" customHeight="1">
      <c r="B133" s="14" t="n"/>
      <c r="C133" s="11" t="n"/>
      <c r="D133" s="11" t="n"/>
      <c r="E133" s="13" t="n"/>
      <c r="F133" s="11" t="n"/>
      <c r="G133" s="11" t="n"/>
      <c r="H133" s="11" t="n"/>
      <c r="I133" s="11" t="n"/>
      <c r="J133" s="11" t="n"/>
      <c r="K133" s="11" t="n"/>
    </row>
    <row r="134" ht="22" customHeight="1">
      <c r="B134" s="18" t="n"/>
      <c r="C134" s="15" t="n"/>
      <c r="D134" s="15" t="n"/>
      <c r="E134" s="17" t="n"/>
      <c r="F134" s="15" t="n"/>
      <c r="G134" s="15" t="n"/>
      <c r="H134" s="15" t="n"/>
      <c r="I134" s="15" t="n"/>
      <c r="J134" s="15" t="n"/>
      <c r="K134" s="15" t="n"/>
    </row>
    <row r="135" ht="22" customHeight="1">
      <c r="B135" s="14" t="n"/>
      <c r="C135" s="11" t="n"/>
      <c r="D135" s="11" t="n"/>
      <c r="E135" s="13" t="n"/>
      <c r="F135" s="11" t="n"/>
      <c r="G135" s="11" t="n"/>
      <c r="H135" s="11" t="n"/>
      <c r="I135" s="11" t="n"/>
      <c r="J135" s="11" t="n"/>
      <c r="K135" s="11" t="n"/>
    </row>
    <row r="136" ht="22" customHeight="1">
      <c r="B136" s="18" t="n"/>
      <c r="C136" s="15" t="n"/>
      <c r="D136" s="15" t="n"/>
      <c r="E136" s="17" t="n"/>
      <c r="F136" s="15" t="n"/>
      <c r="G136" s="15" t="n"/>
      <c r="H136" s="15" t="n"/>
      <c r="I136" s="15" t="n"/>
      <c r="J136" s="15" t="n"/>
      <c r="K136" s="15" t="n"/>
    </row>
    <row r="137" ht="22" customHeight="1">
      <c r="B137" s="14" t="n"/>
      <c r="C137" s="11" t="n"/>
      <c r="D137" s="11" t="n"/>
      <c r="E137" s="13" t="n"/>
      <c r="F137" s="11" t="n"/>
      <c r="G137" s="11" t="n"/>
      <c r="H137" s="11" t="n"/>
      <c r="I137" s="11" t="n"/>
      <c r="J137" s="11" t="n"/>
      <c r="K137" s="11" t="n"/>
    </row>
    <row r="138" ht="22" customHeight="1">
      <c r="B138" s="18" t="n"/>
      <c r="C138" s="15" t="n"/>
      <c r="D138" s="15" t="n"/>
      <c r="E138" s="17" t="n"/>
      <c r="F138" s="15" t="n"/>
      <c r="G138" s="15" t="n"/>
      <c r="H138" s="15" t="n"/>
      <c r="I138" s="15" t="n"/>
      <c r="J138" s="15" t="n"/>
      <c r="K138" s="15" t="n"/>
    </row>
    <row r="139" ht="22" customHeight="1">
      <c r="B139" s="14" t="n"/>
      <c r="C139" s="11" t="n"/>
      <c r="D139" s="11" t="n"/>
      <c r="E139" s="13" t="n"/>
      <c r="F139" s="11" t="n"/>
      <c r="G139" s="11" t="n"/>
      <c r="H139" s="11" t="n"/>
      <c r="I139" s="11" t="n"/>
      <c r="J139" s="11" t="n"/>
      <c r="K139" s="11" t="n"/>
    </row>
    <row r="140" ht="22" customHeight="1">
      <c r="B140" s="18" t="n"/>
      <c r="C140" s="15" t="n"/>
      <c r="D140" s="15" t="n"/>
      <c r="E140" s="17" t="n"/>
      <c r="F140" s="15" t="n"/>
      <c r="G140" s="15" t="n"/>
      <c r="H140" s="15" t="n"/>
      <c r="I140" s="15" t="n"/>
      <c r="J140" s="15" t="n"/>
      <c r="K140" s="15" t="n"/>
    </row>
    <row r="141" ht="22" customHeight="1">
      <c r="B141" s="14" t="n"/>
      <c r="C141" s="11" t="n"/>
      <c r="D141" s="11" t="n"/>
      <c r="E141" s="13" t="n"/>
      <c r="F141" s="11" t="n"/>
      <c r="G141" s="11" t="n"/>
      <c r="H141" s="11" t="n"/>
      <c r="I141" s="11" t="n"/>
      <c r="J141" s="11" t="n"/>
      <c r="K141" s="11" t="n"/>
    </row>
    <row r="142" ht="22" customHeight="1">
      <c r="B142" s="18" t="n"/>
      <c r="C142" s="15" t="n"/>
      <c r="D142" s="15" t="n"/>
      <c r="E142" s="17" t="n"/>
      <c r="F142" s="15" t="n"/>
      <c r="G142" s="15" t="n"/>
      <c r="H142" s="15" t="n"/>
      <c r="I142" s="15" t="n"/>
      <c r="J142" s="15" t="n"/>
      <c r="K142" s="15" t="n"/>
    </row>
    <row r="143" ht="22" customHeight="1">
      <c r="B143" s="14" t="n"/>
      <c r="C143" s="11" t="n"/>
      <c r="D143" s="11" t="n"/>
      <c r="E143" s="13" t="n"/>
      <c r="F143" s="11" t="n"/>
      <c r="G143" s="11" t="n"/>
      <c r="H143" s="11" t="n"/>
      <c r="I143" s="11" t="n"/>
      <c r="J143" s="11" t="n"/>
      <c r="K143" s="11" t="n"/>
    </row>
    <row r="144" ht="22" customHeight="1">
      <c r="B144" s="18" t="n"/>
      <c r="C144" s="15" t="n"/>
      <c r="D144" s="15" t="n"/>
      <c r="E144" s="17" t="n"/>
      <c r="F144" s="15" t="n"/>
      <c r="G144" s="15" t="n"/>
      <c r="H144" s="15" t="n"/>
      <c r="I144" s="15" t="n"/>
      <c r="J144" s="15" t="n"/>
      <c r="K144" s="15" t="n"/>
    </row>
    <row r="145" ht="22" customHeight="1">
      <c r="B145" s="14" t="n"/>
      <c r="C145" s="11" t="n"/>
      <c r="D145" s="11" t="n"/>
      <c r="E145" s="13" t="n"/>
      <c r="F145" s="11" t="n"/>
      <c r="G145" s="11" t="n"/>
      <c r="H145" s="11" t="n"/>
      <c r="I145" s="11" t="n"/>
      <c r="J145" s="11" t="n"/>
      <c r="K145" s="11" t="n"/>
    </row>
    <row r="146" ht="22" customHeight="1">
      <c r="B146" s="18" t="n"/>
      <c r="C146" s="15" t="n"/>
      <c r="D146" s="15" t="n"/>
      <c r="E146" s="17" t="n"/>
      <c r="F146" s="15" t="n"/>
      <c r="G146" s="15" t="n"/>
      <c r="H146" s="15" t="n"/>
      <c r="I146" s="15" t="n"/>
      <c r="J146" s="15" t="n"/>
      <c r="K146" s="15" t="n"/>
    </row>
    <row r="147" ht="22" customHeight="1">
      <c r="B147" s="14" t="n"/>
      <c r="C147" s="11" t="n"/>
      <c r="D147" s="11" t="n"/>
      <c r="E147" s="13" t="n"/>
      <c r="F147" s="11" t="n"/>
      <c r="G147" s="11" t="n"/>
      <c r="H147" s="11" t="n"/>
      <c r="I147" s="11" t="n"/>
      <c r="J147" s="11" t="n"/>
      <c r="K147" s="11" t="n"/>
    </row>
    <row r="148" ht="22" customHeight="1">
      <c r="B148" s="18" t="n"/>
      <c r="C148" s="15" t="n"/>
      <c r="D148" s="15" t="n"/>
      <c r="E148" s="17" t="n"/>
      <c r="F148" s="15" t="n"/>
      <c r="G148" s="15" t="n"/>
      <c r="H148" s="15" t="n"/>
      <c r="I148" s="15" t="n"/>
      <c r="J148" s="15" t="n"/>
      <c r="K148" s="15" t="n"/>
    </row>
    <row r="149" ht="22" customHeight="1">
      <c r="B149" s="14" t="n"/>
      <c r="C149" s="11" t="n"/>
      <c r="D149" s="11" t="n"/>
      <c r="E149" s="13" t="n"/>
      <c r="F149" s="11" t="n"/>
      <c r="G149" s="11" t="n"/>
      <c r="H149" s="11" t="n"/>
      <c r="I149" s="11" t="n"/>
      <c r="J149" s="11" t="n"/>
      <c r="K149" s="11" t="n"/>
    </row>
    <row r="150" ht="22" customHeight="1">
      <c r="B150" s="18" t="n"/>
      <c r="C150" s="15" t="n"/>
      <c r="D150" s="15" t="n"/>
      <c r="E150" s="17" t="n"/>
      <c r="F150" s="15" t="n"/>
      <c r="G150" s="15" t="n"/>
      <c r="H150" s="15" t="n"/>
      <c r="I150" s="15" t="n"/>
      <c r="J150" s="15" t="n"/>
      <c r="K150" s="15" t="n"/>
    </row>
    <row r="151" ht="22" customHeight="1">
      <c r="B151" s="14" t="n"/>
      <c r="C151" s="11" t="n"/>
      <c r="D151" s="11" t="n"/>
      <c r="E151" s="13" t="n"/>
      <c r="F151" s="11" t="n"/>
      <c r="G151" s="11" t="n"/>
      <c r="H151" s="11" t="n"/>
      <c r="I151" s="11" t="n"/>
      <c r="J151" s="11" t="n"/>
      <c r="K151" s="11" t="n"/>
    </row>
    <row r="152" ht="22" customHeight="1">
      <c r="B152" s="18" t="n"/>
      <c r="C152" s="15" t="n"/>
      <c r="D152" s="15" t="n"/>
      <c r="E152" s="17" t="n"/>
      <c r="F152" s="15" t="n"/>
      <c r="G152" s="15" t="n"/>
      <c r="H152" s="15" t="n"/>
      <c r="I152" s="15" t="n"/>
      <c r="J152" s="15" t="n"/>
      <c r="K152" s="15" t="n"/>
    </row>
    <row r="153" ht="22" customHeight="1">
      <c r="B153" s="14" t="n"/>
      <c r="C153" s="11" t="n"/>
      <c r="D153" s="11" t="n"/>
      <c r="E153" s="13" t="n"/>
      <c r="F153" s="11" t="n"/>
      <c r="G153" s="11" t="n"/>
      <c r="H153" s="11" t="n"/>
      <c r="I153" s="11" t="n"/>
      <c r="J153" s="11" t="n"/>
      <c r="K153" s="11" t="n"/>
    </row>
    <row r="154" ht="22" customHeight="1">
      <c r="B154" s="18" t="n"/>
      <c r="C154" s="15" t="n"/>
      <c r="D154" s="15" t="n"/>
      <c r="E154" s="17" t="n"/>
      <c r="F154" s="15" t="n"/>
      <c r="G154" s="15" t="n"/>
      <c r="H154" s="15" t="n"/>
      <c r="I154" s="15" t="n"/>
      <c r="J154" s="15" t="n"/>
      <c r="K154" s="15" t="n"/>
    </row>
    <row r="155" ht="22" customHeight="1">
      <c r="B155" s="14" t="n"/>
      <c r="C155" s="11" t="n"/>
      <c r="D155" s="11" t="n"/>
      <c r="E155" s="13" t="n"/>
      <c r="F155" s="11" t="n"/>
      <c r="G155" s="11" t="n"/>
      <c r="H155" s="11" t="n"/>
      <c r="I155" s="11" t="n"/>
      <c r="J155" s="11" t="n"/>
      <c r="K155" s="11" t="n"/>
    </row>
    <row r="156" ht="22" customHeight="1">
      <c r="B156" s="18" t="n"/>
      <c r="C156" s="15" t="n"/>
      <c r="D156" s="15" t="n"/>
      <c r="E156" s="17" t="n"/>
      <c r="F156" s="15" t="n"/>
      <c r="G156" s="15" t="n"/>
      <c r="H156" s="15" t="n"/>
      <c r="I156" s="15" t="n"/>
      <c r="J156" s="15" t="n"/>
      <c r="K156" s="15" t="n"/>
    </row>
    <row r="157" ht="22" customHeight="1">
      <c r="B157" s="14" t="n"/>
      <c r="C157" s="11" t="n"/>
      <c r="D157" s="11" t="n"/>
      <c r="E157" s="13" t="n"/>
      <c r="F157" s="11" t="n"/>
      <c r="G157" s="11" t="n"/>
      <c r="H157" s="11" t="n"/>
      <c r="I157" s="11" t="n"/>
      <c r="J157" s="11" t="n"/>
      <c r="K157" s="11" t="n"/>
    </row>
    <row r="158" ht="22" customHeight="1">
      <c r="B158" s="18" t="n"/>
      <c r="C158" s="15" t="n"/>
      <c r="D158" s="15" t="n"/>
      <c r="E158" s="17" t="n"/>
      <c r="F158" s="15" t="n"/>
      <c r="G158" s="15" t="n"/>
      <c r="H158" s="15" t="n"/>
      <c r="I158" s="15" t="n"/>
      <c r="J158" s="15" t="n"/>
      <c r="K158" s="15" t="n"/>
    </row>
    <row r="159" ht="22" customHeight="1">
      <c r="B159" s="14" t="n"/>
      <c r="C159" s="11" t="n"/>
      <c r="D159" s="11" t="n"/>
      <c r="E159" s="13" t="n"/>
      <c r="F159" s="11" t="n"/>
      <c r="G159" s="11" t="n"/>
      <c r="H159" s="11" t="n"/>
      <c r="I159" s="11" t="n"/>
      <c r="J159" s="11" t="n"/>
      <c r="K159" s="11" t="n"/>
    </row>
    <row r="160" ht="22" customHeight="1">
      <c r="B160" s="18" t="n"/>
      <c r="C160" s="15" t="n"/>
      <c r="D160" s="15" t="n"/>
      <c r="E160" s="17" t="n"/>
      <c r="F160" s="15" t="n"/>
      <c r="G160" s="15" t="n"/>
      <c r="H160" s="15" t="n"/>
      <c r="I160" s="15" t="n"/>
      <c r="J160" s="15" t="n"/>
      <c r="K160" s="15" t="n"/>
    </row>
    <row r="161" ht="22" customHeight="1">
      <c r="B161" s="14" t="n"/>
      <c r="C161" s="11" t="n"/>
      <c r="D161" s="11" t="n"/>
      <c r="E161" s="13" t="n"/>
      <c r="F161" s="11" t="n"/>
      <c r="G161" s="11" t="n"/>
      <c r="H161" s="11" t="n"/>
      <c r="I161" s="11" t="n"/>
      <c r="J161" s="11" t="n"/>
      <c r="K161" s="11" t="n"/>
    </row>
    <row r="162" ht="22" customHeight="1">
      <c r="B162" s="18" t="n"/>
      <c r="C162" s="15" t="n"/>
      <c r="D162" s="15" t="n"/>
      <c r="E162" s="17" t="n"/>
      <c r="F162" s="15" t="n"/>
      <c r="G162" s="15" t="n"/>
      <c r="H162" s="15" t="n"/>
      <c r="I162" s="15" t="n"/>
      <c r="J162" s="15" t="n"/>
      <c r="K162" s="15" t="n"/>
    </row>
    <row r="163" ht="22" customHeight="1">
      <c r="B163" s="14" t="n"/>
      <c r="C163" s="11" t="n"/>
      <c r="D163" s="11" t="n"/>
      <c r="E163" s="13" t="n"/>
      <c r="F163" s="11" t="n"/>
      <c r="G163" s="11" t="n"/>
      <c r="H163" s="11" t="n"/>
      <c r="I163" s="11" t="n"/>
      <c r="J163" s="11" t="n"/>
      <c r="K163" s="11" t="n"/>
    </row>
    <row r="164" ht="22" customHeight="1">
      <c r="B164" s="18" t="n"/>
      <c r="C164" s="15" t="n"/>
      <c r="D164" s="15" t="n"/>
      <c r="E164" s="17" t="n"/>
      <c r="F164" s="15" t="n"/>
      <c r="G164" s="15" t="n"/>
      <c r="H164" s="15" t="n"/>
      <c r="I164" s="15" t="n"/>
      <c r="J164" s="15" t="n"/>
      <c r="K164" s="15" t="n"/>
    </row>
    <row r="165" ht="22" customHeight="1">
      <c r="B165" s="14" t="n"/>
      <c r="C165" s="11" t="n"/>
      <c r="D165" s="11" t="n"/>
      <c r="E165" s="13" t="n"/>
      <c r="F165" s="11" t="n"/>
      <c r="G165" s="11" t="n"/>
      <c r="H165" s="11" t="n"/>
      <c r="I165" s="11" t="n"/>
      <c r="J165" s="11" t="n"/>
      <c r="K165" s="11" t="n"/>
    </row>
    <row r="166" ht="22" customHeight="1">
      <c r="B166" s="18" t="n"/>
      <c r="C166" s="15" t="n"/>
      <c r="D166" s="15" t="n"/>
      <c r="E166" s="17" t="n"/>
      <c r="F166" s="15" t="n"/>
      <c r="G166" s="15" t="n"/>
      <c r="H166" s="15" t="n"/>
      <c r="I166" s="15" t="n"/>
      <c r="J166" s="15" t="n"/>
      <c r="K166" s="15" t="n"/>
    </row>
    <row r="167" ht="22" customHeight="1">
      <c r="B167" s="14" t="n"/>
      <c r="C167" s="11" t="n"/>
      <c r="D167" s="11" t="n"/>
      <c r="E167" s="13" t="n"/>
      <c r="F167" s="11" t="n"/>
      <c r="G167" s="11" t="n"/>
      <c r="H167" s="11" t="n"/>
      <c r="I167" s="11" t="n"/>
      <c r="J167" s="11" t="n"/>
      <c r="K167" s="11" t="n"/>
    </row>
    <row r="168" ht="22" customHeight="1">
      <c r="B168" s="18" t="n"/>
      <c r="C168" s="15" t="n"/>
      <c r="D168" s="15" t="n"/>
      <c r="E168" s="17" t="n"/>
      <c r="F168" s="15" t="n"/>
      <c r="G168" s="15" t="n"/>
      <c r="H168" s="15" t="n"/>
      <c r="I168" s="15" t="n"/>
      <c r="J168" s="15" t="n"/>
      <c r="K168" s="15" t="n"/>
    </row>
    <row r="169" ht="22" customHeight="1">
      <c r="B169" s="14" t="n"/>
      <c r="C169" s="11" t="n"/>
      <c r="D169" s="11" t="n"/>
      <c r="E169" s="13" t="n"/>
      <c r="F169" s="11" t="n"/>
      <c r="G169" s="11" t="n"/>
      <c r="H169" s="11" t="n"/>
      <c r="I169" s="11" t="n"/>
      <c r="J169" s="11" t="n"/>
      <c r="K169" s="11" t="n"/>
    </row>
    <row r="170" ht="22" customHeight="1">
      <c r="B170" s="18" t="n"/>
      <c r="C170" s="15" t="n"/>
      <c r="D170" s="15" t="n"/>
      <c r="E170" s="17" t="n"/>
      <c r="F170" s="15" t="n"/>
      <c r="G170" s="15" t="n"/>
      <c r="H170" s="15" t="n"/>
      <c r="I170" s="15" t="n"/>
      <c r="J170" s="15" t="n"/>
      <c r="K170" s="15" t="n"/>
    </row>
    <row r="171" ht="22" customHeight="1">
      <c r="B171" s="14" t="n"/>
      <c r="C171" s="11" t="n"/>
      <c r="D171" s="11" t="n"/>
      <c r="E171" s="13" t="n"/>
      <c r="F171" s="11" t="n"/>
      <c r="G171" s="11" t="n"/>
      <c r="H171" s="11" t="n"/>
      <c r="I171" s="11" t="n"/>
      <c r="J171" s="11" t="n"/>
      <c r="K171" s="11" t="n"/>
    </row>
    <row r="172" ht="22" customHeight="1">
      <c r="B172" s="18" t="n"/>
      <c r="C172" s="15" t="n"/>
      <c r="D172" s="15" t="n"/>
      <c r="E172" s="17" t="n"/>
      <c r="F172" s="15" t="n"/>
      <c r="G172" s="15" t="n"/>
      <c r="H172" s="15" t="n"/>
      <c r="I172" s="15" t="n"/>
      <c r="J172" s="15" t="n"/>
      <c r="K172" s="15" t="n"/>
    </row>
    <row r="173" ht="22" customHeight="1">
      <c r="B173" s="14" t="n"/>
      <c r="C173" s="11" t="n"/>
      <c r="D173" s="11" t="n"/>
      <c r="E173" s="13" t="n"/>
      <c r="F173" s="11" t="n"/>
      <c r="G173" s="11" t="n"/>
      <c r="H173" s="11" t="n"/>
      <c r="I173" s="11" t="n"/>
      <c r="J173" s="11" t="n"/>
      <c r="K173" s="11" t="n"/>
    </row>
    <row r="174" ht="22" customHeight="1">
      <c r="B174" s="18" t="n"/>
      <c r="C174" s="15" t="n"/>
      <c r="D174" s="15" t="n"/>
      <c r="E174" s="17" t="n"/>
      <c r="F174" s="15" t="n"/>
      <c r="G174" s="15" t="n"/>
      <c r="H174" s="15" t="n"/>
      <c r="I174" s="15" t="n"/>
      <c r="J174" s="15" t="n"/>
      <c r="K174" s="15" t="n"/>
    </row>
    <row r="175" ht="22" customHeight="1">
      <c r="B175" s="14" t="n"/>
      <c r="C175" s="11" t="n"/>
      <c r="D175" s="11" t="n"/>
      <c r="E175" s="13" t="n"/>
      <c r="F175" s="11" t="n"/>
      <c r="G175" s="11" t="n"/>
      <c r="H175" s="11" t="n"/>
      <c r="I175" s="11" t="n"/>
      <c r="J175" s="11" t="n"/>
      <c r="K175" s="11" t="n"/>
    </row>
    <row r="176" ht="22" customHeight="1">
      <c r="B176" s="18" t="n"/>
      <c r="C176" s="15" t="n"/>
      <c r="D176" s="15" t="n"/>
      <c r="E176" s="17" t="n"/>
      <c r="F176" s="15" t="n"/>
      <c r="G176" s="15" t="n"/>
      <c r="H176" s="15" t="n"/>
      <c r="I176" s="15" t="n"/>
      <c r="J176" s="15" t="n"/>
      <c r="K176" s="15" t="n"/>
    </row>
    <row r="177" ht="22" customHeight="1">
      <c r="B177" s="14" t="n"/>
      <c r="C177" s="11" t="n"/>
      <c r="D177" s="11" t="n"/>
      <c r="E177" s="13" t="n"/>
      <c r="F177" s="11" t="n"/>
      <c r="G177" s="11" t="n"/>
      <c r="H177" s="11" t="n"/>
      <c r="I177" s="11" t="n"/>
      <c r="J177" s="11" t="n"/>
      <c r="K177" s="11" t="n"/>
    </row>
    <row r="178" ht="22" customHeight="1">
      <c r="B178" s="18" t="n"/>
      <c r="C178" s="15" t="n"/>
      <c r="D178" s="15" t="n"/>
      <c r="E178" s="17" t="n"/>
      <c r="F178" s="15" t="n"/>
      <c r="G178" s="15" t="n"/>
      <c r="H178" s="15" t="n"/>
      <c r="I178" s="15" t="n"/>
      <c r="J178" s="15" t="n"/>
      <c r="K178" s="15" t="n"/>
    </row>
    <row r="179" ht="22" customHeight="1">
      <c r="B179" s="14" t="n"/>
      <c r="C179" s="11" t="n"/>
      <c r="D179" s="11" t="n"/>
      <c r="E179" s="13" t="n"/>
      <c r="F179" s="11" t="n"/>
      <c r="G179" s="11" t="n"/>
      <c r="H179" s="11" t="n"/>
      <c r="I179" s="11" t="n"/>
      <c r="J179" s="11" t="n"/>
      <c r="K179" s="11" t="n"/>
    </row>
    <row r="180" ht="22" customHeight="1">
      <c r="B180" s="18" t="n"/>
      <c r="C180" s="15" t="n"/>
      <c r="D180" s="15" t="n"/>
      <c r="E180" s="17" t="n"/>
      <c r="F180" s="15" t="n"/>
      <c r="G180" s="15" t="n"/>
      <c r="H180" s="15" t="n"/>
      <c r="I180" s="15" t="n"/>
      <c r="J180" s="15" t="n"/>
      <c r="K180" s="15" t="n"/>
    </row>
    <row r="181" ht="22" customHeight="1">
      <c r="B181" s="14" t="n"/>
      <c r="C181" s="11" t="n"/>
      <c r="D181" s="11" t="n"/>
      <c r="E181" s="13" t="n"/>
      <c r="F181" s="11" t="n"/>
      <c r="G181" s="11" t="n"/>
      <c r="H181" s="11" t="n"/>
      <c r="I181" s="11" t="n"/>
      <c r="J181" s="11" t="n"/>
      <c r="K181" s="11" t="n"/>
    </row>
    <row r="182" ht="22" customHeight="1">
      <c r="B182" s="18" t="n"/>
      <c r="C182" s="15" t="n"/>
      <c r="D182" s="15" t="n"/>
      <c r="E182" s="17" t="n"/>
      <c r="F182" s="15" t="n"/>
      <c r="G182" s="15" t="n"/>
      <c r="H182" s="15" t="n"/>
      <c r="I182" s="15" t="n"/>
      <c r="J182" s="15" t="n"/>
      <c r="K182" s="15" t="n"/>
    </row>
    <row r="183" ht="22" customHeight="1">
      <c r="B183" s="14" t="n"/>
      <c r="C183" s="11" t="n"/>
      <c r="D183" s="11" t="n"/>
      <c r="E183" s="13" t="n"/>
      <c r="F183" s="11" t="n"/>
      <c r="G183" s="11" t="n"/>
      <c r="H183" s="11" t="n"/>
      <c r="I183" s="11" t="n"/>
      <c r="J183" s="11" t="n"/>
      <c r="K183" s="11" t="n"/>
    </row>
    <row r="184" ht="22" customHeight="1">
      <c r="B184" s="18" t="n"/>
      <c r="C184" s="15" t="n"/>
      <c r="D184" s="15" t="n"/>
      <c r="E184" s="17" t="n"/>
      <c r="F184" s="15" t="n"/>
      <c r="G184" s="15" t="n"/>
      <c r="H184" s="15" t="n"/>
      <c r="I184" s="15" t="n"/>
      <c r="J184" s="15" t="n"/>
      <c r="K184" s="15" t="n"/>
    </row>
    <row r="185" ht="22" customHeight="1">
      <c r="B185" s="14" t="n"/>
      <c r="C185" s="11" t="n"/>
      <c r="D185" s="11" t="n"/>
      <c r="E185" s="13" t="n"/>
      <c r="F185" s="11" t="n"/>
      <c r="G185" s="11" t="n"/>
      <c r="H185" s="11" t="n"/>
      <c r="I185" s="11" t="n"/>
      <c r="J185" s="11" t="n"/>
      <c r="K185" s="11" t="n"/>
    </row>
    <row r="186" ht="22" customHeight="1">
      <c r="B186" s="18" t="n"/>
      <c r="C186" s="15" t="n"/>
      <c r="D186" s="15" t="n"/>
      <c r="E186" s="17" t="n"/>
      <c r="F186" s="15" t="n"/>
      <c r="G186" s="15" t="n"/>
      <c r="H186" s="15" t="n"/>
      <c r="I186" s="15" t="n"/>
      <c r="J186" s="15" t="n"/>
      <c r="K186" s="15" t="n"/>
    </row>
    <row r="187" ht="22" customHeight="1">
      <c r="B187" s="14" t="n"/>
      <c r="C187" s="11" t="n"/>
      <c r="D187" s="11" t="n"/>
      <c r="E187" s="13" t="n"/>
      <c r="F187" s="11" t="n"/>
      <c r="G187" s="11" t="n"/>
      <c r="H187" s="11" t="n"/>
      <c r="I187" s="11" t="n"/>
      <c r="J187" s="11" t="n"/>
      <c r="K187" s="11" t="n"/>
    </row>
    <row r="188" ht="22" customHeight="1">
      <c r="B188" s="18" t="n"/>
      <c r="C188" s="15" t="n"/>
      <c r="D188" s="15" t="n"/>
      <c r="E188" s="17" t="n"/>
      <c r="F188" s="15" t="n"/>
      <c r="G188" s="15" t="n"/>
      <c r="H188" s="15" t="n"/>
      <c r="I188" s="15" t="n"/>
      <c r="J188" s="15" t="n"/>
      <c r="K188" s="15" t="n"/>
    </row>
    <row r="189" ht="22" customHeight="1">
      <c r="B189" s="14" t="n"/>
      <c r="C189" s="11" t="n"/>
      <c r="D189" s="11" t="n"/>
      <c r="E189" s="13" t="n"/>
      <c r="F189" s="11" t="n"/>
      <c r="G189" s="11" t="n"/>
      <c r="H189" s="11" t="n"/>
      <c r="I189" s="11" t="n"/>
      <c r="J189" s="11" t="n"/>
      <c r="K189" s="11" t="n"/>
    </row>
    <row r="190" ht="22" customHeight="1">
      <c r="B190" s="18" t="n"/>
      <c r="C190" s="15" t="n"/>
      <c r="D190" s="15" t="n"/>
      <c r="E190" s="17" t="n"/>
      <c r="F190" s="15" t="n"/>
      <c r="G190" s="15" t="n"/>
      <c r="H190" s="15" t="n"/>
      <c r="I190" s="15" t="n"/>
      <c r="J190" s="15" t="n"/>
      <c r="K190" s="15" t="n"/>
    </row>
    <row r="191" ht="22" customHeight="1">
      <c r="B191" s="14" t="n"/>
      <c r="C191" s="11" t="n"/>
      <c r="D191" s="11" t="n"/>
      <c r="E191" s="13" t="n"/>
      <c r="F191" s="11" t="n"/>
      <c r="G191" s="11" t="n"/>
      <c r="H191" s="11" t="n"/>
      <c r="I191" s="11" t="n"/>
      <c r="J191" s="11" t="n"/>
      <c r="K191" s="11" t="n"/>
    </row>
    <row r="192" ht="22" customHeight="1">
      <c r="B192" s="18" t="n"/>
      <c r="C192" s="15" t="n"/>
      <c r="D192" s="15" t="n"/>
      <c r="E192" s="17" t="n"/>
      <c r="F192" s="15" t="n"/>
      <c r="G192" s="15" t="n"/>
      <c r="H192" s="15" t="n"/>
      <c r="I192" s="15" t="n"/>
      <c r="J192" s="15" t="n"/>
      <c r="K192" s="15" t="n"/>
    </row>
    <row r="193" ht="22" customHeight="1">
      <c r="B193" s="14" t="n"/>
      <c r="C193" s="11" t="n"/>
      <c r="D193" s="11" t="n"/>
      <c r="E193" s="13" t="n"/>
      <c r="F193" s="11" t="n"/>
      <c r="G193" s="11" t="n"/>
      <c r="H193" s="11" t="n"/>
      <c r="I193" s="11" t="n"/>
      <c r="J193" s="11" t="n"/>
      <c r="K193" s="11" t="n"/>
    </row>
    <row r="194" ht="22" customHeight="1">
      <c r="B194" s="18" t="n"/>
      <c r="C194" s="15" t="n"/>
      <c r="D194" s="15" t="n"/>
      <c r="E194" s="17" t="n"/>
      <c r="F194" s="15" t="n"/>
      <c r="G194" s="15" t="n"/>
      <c r="H194" s="15" t="n"/>
      <c r="I194" s="15" t="n"/>
      <c r="J194" s="15" t="n"/>
      <c r="K194" s="15" t="n"/>
    </row>
    <row r="195" ht="22" customHeight="1">
      <c r="B195" s="14" t="n"/>
      <c r="C195" s="11" t="n"/>
      <c r="D195" s="11" t="n"/>
      <c r="E195" s="13" t="n"/>
      <c r="F195" s="11" t="n"/>
      <c r="G195" s="11" t="n"/>
      <c r="H195" s="11" t="n"/>
      <c r="I195" s="11" t="n"/>
      <c r="J195" s="11" t="n"/>
      <c r="K195" s="11" t="n"/>
    </row>
    <row r="196" ht="22" customHeight="1">
      <c r="B196" s="18" t="n"/>
      <c r="C196" s="15" t="n"/>
      <c r="D196" s="15" t="n"/>
      <c r="E196" s="17" t="n"/>
      <c r="F196" s="15" t="n"/>
      <c r="G196" s="15" t="n"/>
      <c r="H196" s="15" t="n"/>
      <c r="I196" s="15" t="n"/>
      <c r="J196" s="15" t="n"/>
      <c r="K196" s="15" t="n"/>
    </row>
    <row r="197" ht="22" customHeight="1">
      <c r="B197" s="14" t="n"/>
      <c r="C197" s="11" t="n"/>
      <c r="D197" s="11" t="n"/>
      <c r="E197" s="13" t="n"/>
      <c r="F197" s="11" t="n"/>
      <c r="G197" s="11" t="n"/>
      <c r="H197" s="11" t="n"/>
      <c r="I197" s="11" t="n"/>
      <c r="J197" s="11" t="n"/>
      <c r="K197" s="11" t="n"/>
    </row>
    <row r="198" ht="22" customHeight="1">
      <c r="B198" s="18" t="n"/>
      <c r="C198" s="15" t="n"/>
      <c r="D198" s="15" t="n"/>
      <c r="E198" s="17" t="n"/>
      <c r="F198" s="15" t="n"/>
      <c r="G198" s="15" t="n"/>
      <c r="H198" s="15" t="n"/>
      <c r="I198" s="15" t="n"/>
      <c r="J198" s="15" t="n"/>
      <c r="K198" s="15" t="n"/>
    </row>
    <row r="199" ht="22" customHeight="1">
      <c r="B199" s="14" t="n"/>
      <c r="C199" s="11" t="n"/>
      <c r="D199" s="11" t="n"/>
      <c r="E199" s="13" t="n"/>
      <c r="F199" s="11" t="n"/>
      <c r="G199" s="11" t="n"/>
      <c r="H199" s="11" t="n"/>
      <c r="I199" s="11" t="n"/>
      <c r="J199" s="11" t="n"/>
      <c r="K199" s="11" t="n"/>
    </row>
    <row r="200" ht="22" customHeight="1">
      <c r="B200" s="18" t="n"/>
      <c r="C200" s="15" t="n"/>
      <c r="D200" s="15" t="n"/>
      <c r="E200" s="17" t="n"/>
      <c r="F200" s="15" t="n"/>
      <c r="G200" s="15" t="n"/>
      <c r="H200" s="15" t="n"/>
      <c r="I200" s="15" t="n"/>
      <c r="J200" s="15" t="n"/>
      <c r="K200" s="15" t="n"/>
    </row>
    <row r="201" ht="22" customHeight="1">
      <c r="B201" s="14" t="n"/>
      <c r="C201" s="11" t="n"/>
      <c r="D201" s="11" t="n"/>
      <c r="E201" s="13" t="n"/>
      <c r="F201" s="11" t="n"/>
      <c r="G201" s="11" t="n"/>
      <c r="H201" s="11" t="n"/>
      <c r="I201" s="11" t="n"/>
      <c r="J201" s="11" t="n"/>
      <c r="K201" s="11" t="n"/>
    </row>
    <row r="202" ht="22" customHeight="1">
      <c r="B202" s="18" t="n"/>
      <c r="C202" s="15" t="n"/>
      <c r="D202" s="15" t="n"/>
      <c r="E202" s="17" t="n"/>
      <c r="F202" s="15" t="n"/>
      <c r="G202" s="15" t="n"/>
      <c r="H202" s="15" t="n"/>
      <c r="I202" s="15" t="n"/>
      <c r="J202" s="15" t="n"/>
      <c r="K202" s="15" t="n"/>
    </row>
    <row r="203" ht="22" customHeight="1">
      <c r="B203" s="14" t="n"/>
      <c r="C203" s="11" t="n"/>
      <c r="D203" s="11" t="n"/>
      <c r="E203" s="13" t="n"/>
      <c r="F203" s="11" t="n"/>
      <c r="G203" s="11" t="n"/>
      <c r="H203" s="11" t="n"/>
      <c r="I203" s="11" t="n"/>
      <c r="J203" s="11" t="n"/>
      <c r="K203" s="11" t="n"/>
    </row>
    <row r="204" ht="22" customHeight="1">
      <c r="B204" s="18" t="n"/>
      <c r="C204" s="15" t="n"/>
      <c r="D204" s="15" t="n"/>
      <c r="E204" s="17" t="n"/>
      <c r="F204" s="15" t="n"/>
      <c r="G204" s="15" t="n"/>
      <c r="H204" s="15" t="n"/>
      <c r="I204" s="15" t="n"/>
      <c r="J204" s="15" t="n"/>
      <c r="K204" s="15" t="n"/>
    </row>
    <row r="205" ht="22" customHeight="1">
      <c r="B205" s="14" t="n"/>
      <c r="C205" s="11" t="n"/>
      <c r="D205" s="11" t="n"/>
      <c r="E205" s="13" t="n"/>
      <c r="F205" s="11" t="n"/>
      <c r="G205" s="11" t="n"/>
      <c r="H205" s="11" t="n"/>
      <c r="I205" s="11" t="n"/>
      <c r="J205" s="11" t="n"/>
      <c r="K205" s="11" t="n"/>
    </row>
    <row r="206" ht="22" customHeight="1">
      <c r="B206" s="18" t="n"/>
      <c r="C206" s="15" t="n"/>
      <c r="D206" s="15" t="n"/>
      <c r="E206" s="17" t="n"/>
      <c r="F206" s="15" t="n"/>
      <c r="G206" s="15" t="n"/>
      <c r="H206" s="15" t="n"/>
      <c r="I206" s="15" t="n"/>
      <c r="J206" s="15" t="n"/>
      <c r="K206" s="15" t="n"/>
    </row>
    <row r="207" ht="22" customHeight="1">
      <c r="B207" s="14" t="n"/>
      <c r="C207" s="11" t="n"/>
      <c r="D207" s="11" t="n"/>
      <c r="E207" s="13" t="n"/>
      <c r="F207" s="11" t="n"/>
      <c r="G207" s="11" t="n"/>
      <c r="H207" s="11" t="n"/>
      <c r="I207" s="11" t="n"/>
      <c r="J207" s="11" t="n"/>
      <c r="K207" s="11" t="n"/>
    </row>
    <row r="208" ht="22" customHeight="1">
      <c r="B208" s="18" t="n"/>
      <c r="C208" s="15" t="n"/>
      <c r="D208" s="15" t="n"/>
      <c r="E208" s="17" t="n"/>
      <c r="F208" s="15" t="n"/>
      <c r="G208" s="15" t="n"/>
      <c r="H208" s="15" t="n"/>
      <c r="I208" s="15" t="n"/>
      <c r="J208" s="15" t="n"/>
      <c r="K208" s="15" t="n"/>
    </row>
    <row r="209" ht="22" customHeight="1">
      <c r="B209" s="14" t="n"/>
      <c r="C209" s="11" t="n"/>
      <c r="D209" s="11" t="n"/>
      <c r="E209" s="13" t="n"/>
      <c r="F209" s="11" t="n"/>
      <c r="G209" s="11" t="n"/>
      <c r="H209" s="11" t="n"/>
      <c r="I209" s="11" t="n"/>
      <c r="J209" s="11" t="n"/>
      <c r="K209" s="11" t="n"/>
    </row>
    <row r="210" ht="22" customHeight="1">
      <c r="B210" s="18" t="n"/>
      <c r="C210" s="15" t="n"/>
      <c r="D210" s="15" t="n"/>
      <c r="E210" s="17" t="n"/>
      <c r="F210" s="15" t="n"/>
      <c r="G210" s="15" t="n"/>
      <c r="H210" s="15" t="n"/>
      <c r="I210" s="15" t="n"/>
      <c r="J210" s="15" t="n"/>
      <c r="K210" s="15" t="n"/>
    </row>
    <row r="211" ht="22" customHeight="1">
      <c r="B211" s="14" t="n"/>
      <c r="C211" s="11" t="n"/>
      <c r="D211" s="11" t="n"/>
      <c r="E211" s="13" t="n"/>
      <c r="F211" s="11" t="n"/>
      <c r="G211" s="11" t="n"/>
      <c r="H211" s="11" t="n"/>
      <c r="I211" s="11" t="n"/>
      <c r="J211" s="11" t="n"/>
      <c r="K211" s="11" t="n"/>
    </row>
    <row r="212" ht="22" customHeight="1">
      <c r="B212" s="18" t="n"/>
      <c r="C212" s="15" t="n"/>
      <c r="D212" s="15" t="n"/>
      <c r="E212" s="17" t="n"/>
      <c r="F212" s="15" t="n"/>
      <c r="G212" s="15" t="n"/>
      <c r="H212" s="15" t="n"/>
      <c r="I212" s="15" t="n"/>
      <c r="J212" s="15" t="n"/>
      <c r="K212" s="15" t="n"/>
    </row>
    <row r="213" ht="22" customHeight="1">
      <c r="B213" s="14" t="n"/>
      <c r="C213" s="11" t="n"/>
      <c r="D213" s="11" t="n"/>
      <c r="E213" s="13" t="n"/>
      <c r="F213" s="11" t="n"/>
      <c r="G213" s="11" t="n"/>
      <c r="H213" s="11" t="n"/>
      <c r="I213" s="11" t="n"/>
      <c r="J213" s="11" t="n"/>
      <c r="K213" s="11" t="n"/>
    </row>
    <row r="214" ht="22" customHeight="1">
      <c r="B214" s="18" t="n"/>
      <c r="C214" s="15" t="n"/>
      <c r="D214" s="15" t="n"/>
      <c r="E214" s="17" t="n"/>
      <c r="F214" s="15" t="n"/>
      <c r="G214" s="15" t="n"/>
      <c r="H214" s="15" t="n"/>
      <c r="I214" s="15" t="n"/>
      <c r="J214" s="15" t="n"/>
      <c r="K214" s="15" t="n"/>
    </row>
    <row r="215" ht="22" customHeight="1">
      <c r="B215" s="14" t="n"/>
      <c r="C215" s="11" t="n"/>
      <c r="D215" s="11" t="n"/>
      <c r="E215" s="13" t="n"/>
      <c r="F215" s="11" t="n"/>
      <c r="G215" s="11" t="n"/>
      <c r="H215" s="11" t="n"/>
      <c r="I215" s="11" t="n"/>
      <c r="J215" s="11" t="n"/>
      <c r="K215" s="11" t="n"/>
    </row>
    <row r="216" ht="22" customHeight="1">
      <c r="B216" s="18" t="n"/>
      <c r="C216" s="15" t="n"/>
      <c r="D216" s="15" t="n"/>
      <c r="E216" s="17" t="n"/>
      <c r="F216" s="15" t="n"/>
      <c r="G216" s="15" t="n"/>
      <c r="H216" s="15" t="n"/>
      <c r="I216" s="15" t="n"/>
      <c r="J216" s="15" t="n"/>
      <c r="K216" s="15" t="n"/>
    </row>
    <row r="217" ht="22" customHeight="1">
      <c r="B217" s="14" t="n"/>
      <c r="C217" s="11" t="n"/>
      <c r="D217" s="11" t="n"/>
      <c r="E217" s="13" t="n"/>
      <c r="F217" s="11" t="n"/>
      <c r="G217" s="11" t="n"/>
      <c r="H217" s="11" t="n"/>
      <c r="I217" s="11" t="n"/>
      <c r="J217" s="11" t="n"/>
      <c r="K217" s="11" t="n"/>
    </row>
    <row r="218" ht="22" customHeight="1">
      <c r="B218" s="18" t="n"/>
      <c r="C218" s="15" t="n"/>
      <c r="D218" s="15" t="n"/>
      <c r="E218" s="17" t="n"/>
      <c r="F218" s="15" t="n"/>
      <c r="G218" s="15" t="n"/>
      <c r="H218" s="15" t="n"/>
      <c r="I218" s="15" t="n"/>
      <c r="J218" s="15" t="n"/>
      <c r="K218" s="15" t="n"/>
    </row>
    <row r="219" ht="22" customHeight="1">
      <c r="B219" s="14" t="n"/>
      <c r="C219" s="11" t="n"/>
      <c r="D219" s="11" t="n"/>
      <c r="E219" s="13" t="n"/>
      <c r="F219" s="11" t="n"/>
      <c r="G219" s="11" t="n"/>
      <c r="H219" s="11" t="n"/>
      <c r="I219" s="11" t="n"/>
      <c r="J219" s="11" t="n"/>
      <c r="K219" s="11" t="n"/>
    </row>
    <row r="220" ht="22" customHeight="1">
      <c r="B220" s="18" t="n"/>
      <c r="C220" s="15" t="n"/>
      <c r="D220" s="15" t="n"/>
      <c r="E220" s="17" t="n"/>
      <c r="F220" s="15" t="n"/>
      <c r="G220" s="15" t="n"/>
      <c r="H220" s="15" t="n"/>
      <c r="I220" s="15" t="n"/>
      <c r="J220" s="15" t="n"/>
      <c r="K220" s="15" t="n"/>
    </row>
    <row r="221" ht="22" customHeight="1">
      <c r="B221" s="14" t="n"/>
      <c r="C221" s="11" t="n"/>
      <c r="D221" s="11" t="n"/>
      <c r="E221" s="13" t="n"/>
      <c r="F221" s="11" t="n"/>
      <c r="G221" s="11" t="n"/>
      <c r="H221" s="11" t="n"/>
      <c r="I221" s="11" t="n"/>
      <c r="J221" s="11" t="n"/>
      <c r="K221" s="11" t="n"/>
    </row>
    <row r="222" ht="22" customHeight="1">
      <c r="B222" s="18" t="n"/>
      <c r="C222" s="15" t="n"/>
      <c r="D222" s="15" t="n"/>
      <c r="E222" s="17" t="n"/>
      <c r="F222" s="15" t="n"/>
      <c r="G222" s="15" t="n"/>
      <c r="H222" s="15" t="n"/>
      <c r="I222" s="15" t="n"/>
      <c r="J222" s="15" t="n"/>
      <c r="K222" s="15" t="n"/>
    </row>
    <row r="223" ht="22" customHeight="1">
      <c r="B223" s="14" t="n"/>
      <c r="C223" s="11" t="n"/>
      <c r="D223" s="11" t="n"/>
      <c r="E223" s="13" t="n"/>
      <c r="F223" s="11" t="n"/>
      <c r="G223" s="11" t="n"/>
      <c r="H223" s="11" t="n"/>
      <c r="I223" s="11" t="n"/>
      <c r="J223" s="11" t="n"/>
      <c r="K223" s="11" t="n"/>
    </row>
    <row r="224" ht="22" customHeight="1">
      <c r="B224" s="18" t="n"/>
      <c r="C224" s="15" t="n"/>
      <c r="D224" s="15" t="n"/>
      <c r="E224" s="17" t="n"/>
      <c r="F224" s="15" t="n"/>
      <c r="G224" s="15" t="n"/>
      <c r="H224" s="15" t="n"/>
      <c r="I224" s="15" t="n"/>
      <c r="J224" s="15" t="n"/>
      <c r="K224" s="15" t="n"/>
    </row>
    <row r="225" ht="22" customHeight="1">
      <c r="B225" s="14" t="n"/>
      <c r="C225" s="11" t="n"/>
      <c r="D225" s="11" t="n"/>
      <c r="E225" s="13" t="n"/>
      <c r="F225" s="11" t="n"/>
      <c r="G225" s="11" t="n"/>
      <c r="H225" s="11" t="n"/>
      <c r="I225" s="11" t="n"/>
      <c r="J225" s="11" t="n"/>
      <c r="K225" s="11" t="n"/>
    </row>
    <row r="226" ht="22" customHeight="1">
      <c r="B226" s="18" t="n"/>
      <c r="C226" s="15" t="n"/>
      <c r="D226" s="15" t="n"/>
      <c r="E226" s="17" t="n"/>
      <c r="F226" s="15" t="n"/>
      <c r="G226" s="15" t="n"/>
      <c r="H226" s="15" t="n"/>
      <c r="I226" s="15" t="n"/>
      <c r="J226" s="15" t="n"/>
      <c r="K226" s="15" t="n"/>
    </row>
    <row r="227" ht="22" customHeight="1">
      <c r="B227" s="14" t="n"/>
      <c r="C227" s="11" t="n"/>
      <c r="D227" s="11" t="n"/>
      <c r="E227" s="13" t="n"/>
      <c r="F227" s="11" t="n"/>
      <c r="G227" s="11" t="n"/>
      <c r="H227" s="11" t="n"/>
      <c r="I227" s="11" t="n"/>
      <c r="J227" s="11" t="n"/>
      <c r="K227" s="11" t="n"/>
    </row>
    <row r="228" ht="22" customHeight="1">
      <c r="B228" s="18" t="n"/>
      <c r="C228" s="15" t="n"/>
      <c r="D228" s="15" t="n"/>
      <c r="E228" s="17" t="n"/>
      <c r="F228" s="15" t="n"/>
      <c r="G228" s="15" t="n"/>
      <c r="H228" s="15" t="n"/>
      <c r="I228" s="15" t="n"/>
      <c r="J228" s="15" t="n"/>
      <c r="K228" s="15" t="n"/>
    </row>
    <row r="229" ht="22" customHeight="1">
      <c r="B229" s="14" t="n"/>
      <c r="C229" s="11" t="n"/>
      <c r="D229" s="11" t="n"/>
      <c r="E229" s="13" t="n"/>
      <c r="F229" s="11" t="n"/>
      <c r="G229" s="11" t="n"/>
      <c r="H229" s="11" t="n"/>
      <c r="I229" s="11" t="n"/>
      <c r="J229" s="11" t="n"/>
      <c r="K229" s="11" t="n"/>
    </row>
    <row r="230" ht="22" customHeight="1">
      <c r="B230" s="18" t="n"/>
      <c r="C230" s="15" t="n"/>
      <c r="D230" s="15" t="n"/>
      <c r="E230" s="17" t="n"/>
      <c r="F230" s="15" t="n"/>
      <c r="G230" s="15" t="n"/>
      <c r="H230" s="15" t="n"/>
      <c r="I230" s="15" t="n"/>
      <c r="J230" s="15" t="n"/>
      <c r="K230" s="15" t="n"/>
    </row>
    <row r="231" ht="22" customHeight="1">
      <c r="B231" s="14" t="n"/>
      <c r="C231" s="11" t="n"/>
      <c r="D231" s="11" t="n"/>
      <c r="E231" s="13" t="n"/>
      <c r="F231" s="11" t="n"/>
      <c r="G231" s="11" t="n"/>
      <c r="H231" s="11" t="n"/>
      <c r="I231" s="11" t="n"/>
      <c r="J231" s="11" t="n"/>
      <c r="K231" s="11" t="n"/>
    </row>
    <row r="232" ht="22" customHeight="1">
      <c r="B232" s="18" t="n"/>
      <c r="C232" s="15" t="n"/>
      <c r="D232" s="15" t="n"/>
      <c r="E232" s="17" t="n"/>
      <c r="F232" s="15" t="n"/>
      <c r="G232" s="15" t="n"/>
      <c r="H232" s="15" t="n"/>
      <c r="I232" s="15" t="n"/>
      <c r="J232" s="15" t="n"/>
      <c r="K232" s="15" t="n"/>
    </row>
    <row r="233" ht="22" customHeight="1">
      <c r="B233" s="14" t="n"/>
      <c r="C233" s="11" t="n"/>
      <c r="D233" s="11" t="n"/>
      <c r="E233" s="13" t="n"/>
      <c r="F233" s="11" t="n"/>
      <c r="G233" s="11" t="n"/>
      <c r="H233" s="11" t="n"/>
      <c r="I233" s="11" t="n"/>
      <c r="J233" s="11" t="n"/>
      <c r="K233" s="11" t="n"/>
    </row>
    <row r="234" ht="22" customHeight="1">
      <c r="B234" s="18" t="n"/>
      <c r="C234" s="15" t="n"/>
      <c r="D234" s="15" t="n"/>
      <c r="E234" s="17" t="n"/>
      <c r="F234" s="15" t="n"/>
      <c r="G234" s="15" t="n"/>
      <c r="H234" s="15" t="n"/>
      <c r="I234" s="15" t="n"/>
      <c r="J234" s="15" t="n"/>
      <c r="K234" s="15" t="n"/>
    </row>
    <row r="235" ht="22" customHeight="1">
      <c r="B235" s="14" t="n"/>
      <c r="C235" s="11" t="n"/>
      <c r="D235" s="11" t="n"/>
      <c r="E235" s="13" t="n"/>
      <c r="F235" s="11" t="n"/>
      <c r="G235" s="11" t="n"/>
      <c r="H235" s="11" t="n"/>
      <c r="I235" s="11" t="n"/>
      <c r="J235" s="11" t="n"/>
      <c r="K235" s="11" t="n"/>
    </row>
    <row r="236" ht="22" customHeight="1">
      <c r="B236" s="18" t="n"/>
      <c r="C236" s="15" t="n"/>
      <c r="D236" s="15" t="n"/>
      <c r="E236" s="17" t="n"/>
      <c r="F236" s="15" t="n"/>
      <c r="G236" s="15" t="n"/>
      <c r="H236" s="15" t="n"/>
      <c r="I236" s="15" t="n"/>
      <c r="J236" s="15" t="n"/>
      <c r="K236" s="15" t="n"/>
    </row>
    <row r="237" ht="22" customHeight="1">
      <c r="B237" s="14" t="n"/>
      <c r="C237" s="11" t="n"/>
      <c r="D237" s="11" t="n"/>
      <c r="E237" s="13" t="n"/>
      <c r="F237" s="11" t="n"/>
      <c r="G237" s="11" t="n"/>
      <c r="H237" s="11" t="n"/>
      <c r="I237" s="11" t="n"/>
      <c r="J237" s="11" t="n"/>
      <c r="K237" s="11" t="n"/>
    </row>
    <row r="238" ht="22" customHeight="1">
      <c r="B238" s="18" t="n"/>
      <c r="C238" s="15" t="n"/>
      <c r="D238" s="15" t="n"/>
      <c r="E238" s="17" t="n"/>
      <c r="F238" s="15" t="n"/>
      <c r="G238" s="15" t="n"/>
      <c r="H238" s="15" t="n"/>
      <c r="I238" s="15" t="n"/>
      <c r="J238" s="15" t="n"/>
      <c r="K238" s="15" t="n"/>
    </row>
    <row r="239" ht="22" customHeight="1">
      <c r="B239" s="14" t="n"/>
      <c r="C239" s="11" t="n"/>
      <c r="D239" s="11" t="n"/>
      <c r="E239" s="13" t="n"/>
      <c r="F239" s="11" t="n"/>
      <c r="G239" s="11" t="n"/>
      <c r="H239" s="11" t="n"/>
      <c r="I239" s="11" t="n"/>
      <c r="J239" s="11" t="n"/>
      <c r="K239" s="11" t="n"/>
    </row>
    <row r="240" ht="22" customHeight="1">
      <c r="B240" s="18" t="n"/>
      <c r="C240" s="15" t="n"/>
      <c r="D240" s="15" t="n"/>
      <c r="E240" s="17" t="n"/>
      <c r="F240" s="15" t="n"/>
      <c r="G240" s="15" t="n"/>
      <c r="H240" s="15" t="n"/>
      <c r="I240" s="15" t="n"/>
      <c r="J240" s="15" t="n"/>
      <c r="K240" s="15" t="n"/>
    </row>
    <row r="241" ht="22" customHeight="1">
      <c r="B241" s="14" t="n"/>
      <c r="C241" s="11" t="n"/>
      <c r="D241" s="11" t="n"/>
      <c r="E241" s="13" t="n"/>
      <c r="F241" s="11" t="n"/>
      <c r="G241" s="11" t="n"/>
      <c r="H241" s="11" t="n"/>
      <c r="I241" s="11" t="n"/>
      <c r="J241" s="11" t="n"/>
      <c r="K241" s="11" t="n"/>
    </row>
    <row r="242" ht="22" customHeight="1">
      <c r="B242" s="18" t="n"/>
      <c r="C242" s="15" t="n"/>
      <c r="D242" s="15" t="n"/>
      <c r="E242" s="17" t="n"/>
      <c r="F242" s="15" t="n"/>
      <c r="G242" s="15" t="n"/>
      <c r="H242" s="15" t="n"/>
      <c r="I242" s="15" t="n"/>
      <c r="J242" s="15" t="n"/>
      <c r="K242" s="15" t="n"/>
    </row>
    <row r="243" ht="22" customHeight="1">
      <c r="B243" s="14" t="n"/>
      <c r="C243" s="11" t="n"/>
      <c r="D243" s="11" t="n"/>
      <c r="E243" s="13" t="n"/>
      <c r="F243" s="11" t="n"/>
      <c r="G243" s="11" t="n"/>
      <c r="H243" s="11" t="n"/>
      <c r="I243" s="11" t="n"/>
      <c r="J243" s="11" t="n"/>
      <c r="K243" s="11" t="n"/>
    </row>
    <row r="244" ht="22" customHeight="1">
      <c r="B244" s="18" t="n"/>
      <c r="C244" s="15" t="n"/>
      <c r="D244" s="15" t="n"/>
      <c r="E244" s="17" t="n"/>
      <c r="F244" s="15" t="n"/>
      <c r="G244" s="15" t="n"/>
      <c r="H244" s="15" t="n"/>
      <c r="I244" s="15" t="n"/>
      <c r="J244" s="15" t="n"/>
      <c r="K244" s="15" t="n"/>
    </row>
    <row r="245" ht="22" customHeight="1">
      <c r="B245" s="14" t="n"/>
      <c r="C245" s="11" t="n"/>
      <c r="D245" s="11" t="n"/>
      <c r="E245" s="13" t="n"/>
      <c r="F245" s="11" t="n"/>
      <c r="G245" s="11" t="n"/>
      <c r="H245" s="11" t="n"/>
      <c r="I245" s="11" t="n"/>
      <c r="J245" s="11" t="n"/>
      <c r="K245" s="11" t="n"/>
    </row>
    <row r="246" ht="22" customHeight="1">
      <c r="B246" s="18" t="n"/>
      <c r="C246" s="15" t="n"/>
      <c r="D246" s="15" t="n"/>
      <c r="E246" s="17" t="n"/>
      <c r="F246" s="15" t="n"/>
      <c r="G246" s="15" t="n"/>
      <c r="H246" s="15" t="n"/>
      <c r="I246" s="15" t="n"/>
      <c r="J246" s="15" t="n"/>
      <c r="K246" s="15" t="n"/>
    </row>
    <row r="247" ht="22" customHeight="1">
      <c r="B247" s="14" t="n"/>
      <c r="C247" s="11" t="n"/>
      <c r="D247" s="11" t="n"/>
      <c r="E247" s="13" t="n"/>
      <c r="F247" s="11" t="n"/>
      <c r="G247" s="11" t="n"/>
      <c r="H247" s="11" t="n"/>
      <c r="I247" s="11" t="n"/>
      <c r="J247" s="11" t="n"/>
      <c r="K247" s="11" t="n"/>
    </row>
    <row r="248" ht="22" customHeight="1">
      <c r="B248" s="18" t="n"/>
      <c r="C248" s="15" t="n"/>
      <c r="D248" s="15" t="n"/>
      <c r="E248" s="17" t="n"/>
      <c r="F248" s="15" t="n"/>
      <c r="G248" s="15" t="n"/>
      <c r="H248" s="15" t="n"/>
      <c r="I248" s="15" t="n"/>
      <c r="J248" s="15" t="n"/>
      <c r="K248" s="15" t="n"/>
    </row>
    <row r="249" ht="22" customHeight="1">
      <c r="B249" s="14" t="n"/>
      <c r="C249" s="11" t="n"/>
      <c r="D249" s="11" t="n"/>
      <c r="E249" s="13" t="n"/>
      <c r="F249" s="11" t="n"/>
      <c r="G249" s="11" t="n"/>
      <c r="H249" s="11" t="n"/>
      <c r="I249" s="11" t="n"/>
      <c r="J249" s="11" t="n"/>
      <c r="K249" s="11" t="n"/>
    </row>
    <row r="250" ht="22" customHeight="1">
      <c r="B250" s="18" t="n"/>
      <c r="C250" s="15" t="n"/>
      <c r="D250" s="15" t="n"/>
      <c r="E250" s="17" t="n"/>
      <c r="F250" s="15" t="n"/>
      <c r="G250" s="15" t="n"/>
      <c r="H250" s="15" t="n"/>
      <c r="I250" s="15" t="n"/>
      <c r="J250" s="15" t="n"/>
      <c r="K250" s="15" t="n"/>
    </row>
    <row r="251" ht="22" customHeight="1">
      <c r="B251" s="14" t="n"/>
      <c r="C251" s="11" t="n"/>
      <c r="D251" s="11" t="n"/>
      <c r="E251" s="13" t="n"/>
      <c r="F251" s="11" t="n"/>
      <c r="G251" s="11" t="n"/>
      <c r="H251" s="11" t="n"/>
      <c r="I251" s="11" t="n"/>
      <c r="J251" s="11" t="n"/>
      <c r="K251" s="11" t="n"/>
    </row>
    <row r="252" ht="22" customHeight="1">
      <c r="B252" s="18" t="n"/>
      <c r="C252" s="15" t="n"/>
      <c r="D252" s="15" t="n"/>
      <c r="E252" s="17" t="n"/>
      <c r="F252" s="15" t="n"/>
      <c r="G252" s="15" t="n"/>
      <c r="H252" s="15" t="n"/>
      <c r="I252" s="15" t="n"/>
      <c r="J252" s="15" t="n"/>
      <c r="K252" s="15" t="n"/>
    </row>
    <row r="253" ht="22" customHeight="1">
      <c r="B253" s="14" t="n"/>
      <c r="C253" s="11" t="n"/>
      <c r="D253" s="11" t="n"/>
      <c r="E253" s="13" t="n"/>
      <c r="F253" s="11" t="n"/>
      <c r="G253" s="11" t="n"/>
      <c r="H253" s="11" t="n"/>
      <c r="I253" s="11" t="n"/>
      <c r="J253" s="11" t="n"/>
      <c r="K253" s="11" t="n"/>
    </row>
    <row r="254" ht="22" customHeight="1">
      <c r="B254" s="18" t="n"/>
      <c r="C254" s="15" t="n"/>
      <c r="D254" s="15" t="n"/>
      <c r="E254" s="17" t="n"/>
      <c r="F254" s="15" t="n"/>
      <c r="G254" s="15" t="n"/>
      <c r="H254" s="15" t="n"/>
      <c r="I254" s="15" t="n"/>
      <c r="J254" s="15" t="n"/>
      <c r="K254" s="15" t="n"/>
    </row>
    <row r="255" ht="22" customHeight="1">
      <c r="B255" s="14" t="n"/>
      <c r="C255" s="11" t="n"/>
      <c r="D255" s="11" t="n"/>
      <c r="E255" s="13" t="n"/>
      <c r="F255" s="11" t="n"/>
      <c r="G255" s="11" t="n"/>
      <c r="H255" s="11" t="n"/>
      <c r="I255" s="11" t="n"/>
      <c r="J255" s="11" t="n"/>
      <c r="K255" s="11" t="n"/>
    </row>
    <row r="256" ht="22" customHeight="1">
      <c r="B256" s="18" t="n"/>
      <c r="C256" s="15" t="n"/>
      <c r="D256" s="15" t="n"/>
      <c r="E256" s="17" t="n"/>
      <c r="F256" s="15" t="n"/>
      <c r="G256" s="15" t="n"/>
      <c r="H256" s="15" t="n"/>
      <c r="I256" s="15" t="n"/>
      <c r="J256" s="15" t="n"/>
      <c r="K256" s="15" t="n"/>
    </row>
    <row r="257" ht="22" customHeight="1">
      <c r="B257" s="14" t="n"/>
      <c r="C257" s="11" t="n"/>
      <c r="D257" s="11" t="n"/>
      <c r="E257" s="13" t="n"/>
      <c r="F257" s="11" t="n"/>
      <c r="G257" s="11" t="n"/>
      <c r="H257" s="11" t="n"/>
      <c r="I257" s="11" t="n"/>
      <c r="J257" s="11" t="n"/>
      <c r="K257" s="11" t="n"/>
    </row>
    <row r="258" ht="22" customHeight="1">
      <c r="B258" s="18" t="n"/>
      <c r="C258" s="15" t="n"/>
      <c r="D258" s="15" t="n"/>
      <c r="E258" s="17" t="n"/>
      <c r="F258" s="15" t="n"/>
      <c r="G258" s="15" t="n"/>
      <c r="H258" s="15" t="n"/>
      <c r="I258" s="15" t="n"/>
      <c r="J258" s="15" t="n"/>
      <c r="K258" s="15" t="n"/>
    </row>
    <row r="259" ht="22" customHeight="1">
      <c r="B259" s="14" t="n"/>
      <c r="C259" s="11" t="n"/>
      <c r="D259" s="11" t="n"/>
      <c r="E259" s="13" t="n"/>
      <c r="F259" s="11" t="n"/>
      <c r="G259" s="11" t="n"/>
      <c r="H259" s="11" t="n"/>
      <c r="I259" s="11" t="n"/>
      <c r="J259" s="11" t="n"/>
      <c r="K259" s="11" t="n"/>
    </row>
    <row r="260" ht="22" customHeight="1">
      <c r="B260" s="18" t="n"/>
      <c r="C260" s="15" t="n"/>
      <c r="D260" s="15" t="n"/>
      <c r="E260" s="17" t="n"/>
      <c r="F260" s="15" t="n"/>
      <c r="G260" s="15" t="n"/>
      <c r="H260" s="15" t="n"/>
      <c r="I260" s="15" t="n"/>
      <c r="J260" s="15" t="n"/>
      <c r="K260" s="15" t="n"/>
    </row>
    <row r="261" ht="22" customHeight="1">
      <c r="B261" s="14" t="n"/>
      <c r="C261" s="11" t="n"/>
      <c r="D261" s="11" t="n"/>
      <c r="E261" s="13" t="n"/>
      <c r="F261" s="11" t="n"/>
      <c r="G261" s="11" t="n"/>
      <c r="H261" s="11" t="n"/>
      <c r="I261" s="11" t="n"/>
      <c r="J261" s="11" t="n"/>
      <c r="K261" s="11" t="n"/>
    </row>
    <row r="262" ht="22" customHeight="1">
      <c r="B262" s="18" t="n"/>
      <c r="C262" s="15" t="n"/>
      <c r="D262" s="15" t="n"/>
      <c r="E262" s="17" t="n"/>
      <c r="F262" s="15" t="n"/>
      <c r="G262" s="15" t="n"/>
      <c r="H262" s="15" t="n"/>
      <c r="I262" s="15" t="n"/>
      <c r="J262" s="15" t="n"/>
      <c r="K262" s="15" t="n"/>
    </row>
    <row r="263" ht="22" customHeight="1">
      <c r="B263" s="14" t="n"/>
      <c r="C263" s="11" t="n"/>
      <c r="D263" s="11" t="n"/>
      <c r="E263" s="13" t="n"/>
      <c r="F263" s="11" t="n"/>
      <c r="G263" s="11" t="n"/>
      <c r="H263" s="11" t="n"/>
      <c r="I263" s="11" t="n"/>
      <c r="J263" s="11" t="n"/>
      <c r="K263" s="11" t="n"/>
    </row>
    <row r="264" ht="22" customHeight="1">
      <c r="B264" s="18" t="n"/>
      <c r="C264" s="15" t="n"/>
      <c r="D264" s="15" t="n"/>
      <c r="E264" s="17" t="n"/>
      <c r="F264" s="15" t="n"/>
      <c r="G264" s="15" t="n"/>
      <c r="H264" s="15" t="n"/>
      <c r="I264" s="15" t="n"/>
      <c r="J264" s="15" t="n"/>
      <c r="K264" s="15" t="n"/>
    </row>
    <row r="265" ht="22" customHeight="1">
      <c r="B265" s="14" t="n"/>
      <c r="C265" s="11" t="n"/>
      <c r="D265" s="11" t="n"/>
      <c r="E265" s="13" t="n"/>
      <c r="F265" s="11" t="n"/>
      <c r="G265" s="11" t="n"/>
      <c r="H265" s="11" t="n"/>
      <c r="I265" s="11" t="n"/>
      <c r="J265" s="11" t="n"/>
      <c r="K265" s="11" t="n"/>
    </row>
    <row r="266" ht="22" customHeight="1">
      <c r="B266" s="18" t="n"/>
      <c r="C266" s="15" t="n"/>
      <c r="D266" s="15" t="n"/>
      <c r="E266" s="17" t="n"/>
      <c r="F266" s="15" t="n"/>
      <c r="G266" s="15" t="n"/>
      <c r="H266" s="15" t="n"/>
      <c r="I266" s="15" t="n"/>
      <c r="J266" s="15" t="n"/>
      <c r="K266" s="15" t="n"/>
    </row>
    <row r="267" ht="22" customHeight="1">
      <c r="B267" s="14" t="n"/>
      <c r="C267" s="11" t="n"/>
      <c r="D267" s="11" t="n"/>
      <c r="E267" s="13" t="n"/>
      <c r="F267" s="11" t="n"/>
      <c r="G267" s="11" t="n"/>
      <c r="H267" s="11" t="n"/>
      <c r="I267" s="11" t="n"/>
      <c r="J267" s="11" t="n"/>
      <c r="K267" s="11" t="n"/>
    </row>
    <row r="268" ht="22" customHeight="1">
      <c r="B268" s="18" t="n"/>
      <c r="C268" s="15" t="n"/>
      <c r="D268" s="15" t="n"/>
      <c r="E268" s="17" t="n"/>
      <c r="F268" s="15" t="n"/>
      <c r="G268" s="15" t="n"/>
      <c r="H268" s="15" t="n"/>
      <c r="I268" s="15" t="n"/>
      <c r="J268" s="15" t="n"/>
      <c r="K268" s="15" t="n"/>
    </row>
    <row r="269" ht="22" customHeight="1">
      <c r="B269" s="14" t="n"/>
      <c r="C269" s="11" t="n"/>
      <c r="D269" s="11" t="n"/>
      <c r="E269" s="13" t="n"/>
      <c r="F269" s="11" t="n"/>
      <c r="G269" s="11" t="n"/>
      <c r="H269" s="11" t="n"/>
      <c r="I269" s="11" t="n"/>
      <c r="J269" s="11" t="n"/>
      <c r="K269" s="11" t="n"/>
    </row>
    <row r="270" ht="22" customHeight="1">
      <c r="B270" s="18" t="n"/>
      <c r="C270" s="15" t="n"/>
      <c r="D270" s="15" t="n"/>
      <c r="E270" s="17" t="n"/>
      <c r="F270" s="15" t="n"/>
      <c r="G270" s="15" t="n"/>
      <c r="H270" s="15" t="n"/>
      <c r="I270" s="15" t="n"/>
      <c r="J270" s="15" t="n"/>
      <c r="K270" s="15" t="n"/>
    </row>
    <row r="271" ht="22" customHeight="1">
      <c r="B271" s="14" t="n"/>
      <c r="C271" s="11" t="n"/>
      <c r="D271" s="11" t="n"/>
      <c r="E271" s="13" t="n"/>
      <c r="F271" s="11" t="n"/>
      <c r="G271" s="11" t="n"/>
      <c r="H271" s="11" t="n"/>
      <c r="I271" s="11" t="n"/>
      <c r="J271" s="11" t="n"/>
      <c r="K271" s="11" t="n"/>
    </row>
    <row r="272" ht="22" customHeight="1">
      <c r="B272" s="18" t="n"/>
      <c r="C272" s="15" t="n"/>
      <c r="D272" s="15" t="n"/>
      <c r="E272" s="17" t="n"/>
      <c r="F272" s="15" t="n"/>
      <c r="G272" s="15" t="n"/>
      <c r="H272" s="15" t="n"/>
      <c r="I272" s="15" t="n"/>
      <c r="J272" s="15" t="n"/>
      <c r="K272" s="15" t="n"/>
    </row>
    <row r="273" ht="22" customHeight="1">
      <c r="B273" s="14" t="n"/>
      <c r="C273" s="11" t="n"/>
      <c r="D273" s="11" t="n"/>
      <c r="E273" s="13" t="n"/>
      <c r="F273" s="11" t="n"/>
      <c r="G273" s="11" t="n"/>
      <c r="H273" s="11" t="n"/>
      <c r="I273" s="11" t="n"/>
      <c r="J273" s="11" t="n"/>
      <c r="K273" s="11" t="n"/>
    </row>
    <row r="274" ht="22" customHeight="1">
      <c r="B274" s="18" t="n"/>
      <c r="C274" s="15" t="n"/>
      <c r="D274" s="15" t="n"/>
      <c r="E274" s="17" t="n"/>
      <c r="F274" s="15" t="n"/>
      <c r="G274" s="15" t="n"/>
      <c r="H274" s="15" t="n"/>
      <c r="I274" s="15" t="n"/>
      <c r="J274" s="15" t="n"/>
      <c r="K274" s="15" t="n"/>
    </row>
    <row r="275" ht="22" customHeight="1">
      <c r="B275" s="14" t="n"/>
      <c r="C275" s="11" t="n"/>
      <c r="D275" s="11" t="n"/>
      <c r="E275" s="13" t="n"/>
      <c r="F275" s="11" t="n"/>
      <c r="G275" s="11" t="n"/>
      <c r="H275" s="11" t="n"/>
      <c r="I275" s="11" t="n"/>
      <c r="J275" s="11" t="n"/>
      <c r="K275" s="11" t="n"/>
    </row>
    <row r="276" ht="22" customHeight="1">
      <c r="B276" s="18" t="n"/>
      <c r="C276" s="15" t="n"/>
      <c r="D276" s="15" t="n"/>
      <c r="E276" s="17" t="n"/>
      <c r="F276" s="15" t="n"/>
      <c r="G276" s="15" t="n"/>
      <c r="H276" s="15" t="n"/>
      <c r="I276" s="15" t="n"/>
      <c r="J276" s="15" t="n"/>
      <c r="K276" s="15" t="n"/>
    </row>
    <row r="277" ht="22" customHeight="1">
      <c r="B277" s="14" t="n"/>
      <c r="C277" s="11" t="n"/>
      <c r="D277" s="11" t="n"/>
      <c r="E277" s="13" t="n"/>
      <c r="F277" s="11" t="n"/>
      <c r="G277" s="11" t="n"/>
      <c r="H277" s="11" t="n"/>
      <c r="I277" s="11" t="n"/>
      <c r="J277" s="11" t="n"/>
      <c r="K277" s="11" t="n"/>
    </row>
    <row r="278" ht="22" customHeight="1">
      <c r="B278" s="18" t="n"/>
      <c r="C278" s="15" t="n"/>
      <c r="D278" s="15" t="n"/>
      <c r="E278" s="17" t="n"/>
      <c r="F278" s="15" t="n"/>
      <c r="G278" s="15" t="n"/>
      <c r="H278" s="15" t="n"/>
      <c r="I278" s="15" t="n"/>
      <c r="J278" s="15" t="n"/>
      <c r="K278" s="15" t="n"/>
    </row>
    <row r="279" ht="22" customHeight="1">
      <c r="B279" s="14" t="n"/>
      <c r="C279" s="11" t="n"/>
      <c r="D279" s="11" t="n"/>
      <c r="E279" s="13" t="n"/>
      <c r="F279" s="11" t="n"/>
      <c r="G279" s="11" t="n"/>
      <c r="H279" s="11" t="n"/>
      <c r="I279" s="11" t="n"/>
      <c r="J279" s="11" t="n"/>
      <c r="K279" s="11" t="n"/>
    </row>
    <row r="280" ht="22" customHeight="1">
      <c r="B280" s="18" t="n"/>
      <c r="C280" s="15" t="n"/>
      <c r="D280" s="15" t="n"/>
      <c r="E280" s="17" t="n"/>
      <c r="F280" s="15" t="n"/>
      <c r="G280" s="15" t="n"/>
      <c r="H280" s="15" t="n"/>
      <c r="I280" s="15" t="n"/>
      <c r="J280" s="15" t="n"/>
      <c r="K280" s="15" t="n"/>
    </row>
    <row r="281" ht="22" customHeight="1">
      <c r="B281" s="14" t="n"/>
      <c r="C281" s="11" t="n"/>
      <c r="D281" s="11" t="n"/>
      <c r="E281" s="13" t="n"/>
      <c r="F281" s="11" t="n"/>
      <c r="G281" s="11" t="n"/>
      <c r="H281" s="11" t="n"/>
      <c r="I281" s="11" t="n"/>
      <c r="J281" s="11" t="n"/>
      <c r="K281" s="11" t="n"/>
    </row>
    <row r="282" ht="22" customHeight="1">
      <c r="B282" s="18" t="n"/>
      <c r="C282" s="15" t="n"/>
      <c r="D282" s="15" t="n"/>
      <c r="E282" s="17" t="n"/>
      <c r="F282" s="15" t="n"/>
      <c r="G282" s="15" t="n"/>
      <c r="H282" s="15" t="n"/>
      <c r="I282" s="15" t="n"/>
      <c r="J282" s="15" t="n"/>
      <c r="K282" s="15" t="n"/>
    </row>
    <row r="283" ht="22" customHeight="1">
      <c r="B283" s="14" t="n"/>
      <c r="C283" s="11" t="n"/>
      <c r="D283" s="11" t="n"/>
      <c r="E283" s="13" t="n"/>
      <c r="F283" s="11" t="n"/>
      <c r="G283" s="11" t="n"/>
      <c r="H283" s="11" t="n"/>
      <c r="I283" s="11" t="n"/>
      <c r="J283" s="11" t="n"/>
      <c r="K283" s="11" t="n"/>
    </row>
    <row r="284" ht="22" customHeight="1">
      <c r="B284" s="18" t="n"/>
      <c r="C284" s="15" t="n"/>
      <c r="D284" s="15" t="n"/>
      <c r="E284" s="17" t="n"/>
      <c r="F284" s="15" t="n"/>
      <c r="G284" s="15" t="n"/>
      <c r="H284" s="15" t="n"/>
      <c r="I284" s="15" t="n"/>
      <c r="J284" s="15" t="n"/>
      <c r="K284" s="15" t="n"/>
    </row>
    <row r="285" ht="22" customHeight="1">
      <c r="B285" s="14" t="n"/>
      <c r="C285" s="11" t="n"/>
      <c r="D285" s="11" t="n"/>
      <c r="E285" s="13" t="n"/>
      <c r="F285" s="11" t="n"/>
      <c r="G285" s="11" t="n"/>
      <c r="H285" s="11" t="n"/>
      <c r="I285" s="11" t="n"/>
      <c r="J285" s="11" t="n"/>
      <c r="K285" s="11" t="n"/>
    </row>
    <row r="286" ht="22" customHeight="1">
      <c r="B286" s="18" t="n"/>
      <c r="C286" s="15" t="n"/>
      <c r="D286" s="15" t="n"/>
      <c r="E286" s="17" t="n"/>
      <c r="F286" s="15" t="n"/>
      <c r="G286" s="15" t="n"/>
      <c r="H286" s="15" t="n"/>
      <c r="I286" s="15" t="n"/>
      <c r="J286" s="15" t="n"/>
      <c r="K286" s="15" t="n"/>
    </row>
    <row r="287" ht="22" customHeight="1">
      <c r="B287" s="14" t="n"/>
      <c r="C287" s="11" t="n"/>
      <c r="D287" s="11" t="n"/>
      <c r="E287" s="13" t="n"/>
      <c r="F287" s="11" t="n"/>
      <c r="G287" s="11" t="n"/>
      <c r="H287" s="11" t="n"/>
      <c r="I287" s="11" t="n"/>
      <c r="J287" s="11" t="n"/>
      <c r="K287" s="11" t="n"/>
    </row>
    <row r="288" ht="22" customHeight="1">
      <c r="B288" s="18" t="n"/>
      <c r="C288" s="15" t="n"/>
      <c r="D288" s="15" t="n"/>
      <c r="E288" s="17" t="n"/>
      <c r="F288" s="15" t="n"/>
      <c r="G288" s="15" t="n"/>
      <c r="H288" s="15" t="n"/>
      <c r="I288" s="15" t="n"/>
      <c r="J288" s="15" t="n"/>
      <c r="K288" s="15" t="n"/>
    </row>
    <row r="289" ht="22" customHeight="1">
      <c r="B289" s="14" t="n"/>
      <c r="C289" s="11" t="n"/>
      <c r="D289" s="11" t="n"/>
      <c r="E289" s="13" t="n"/>
      <c r="F289" s="11" t="n"/>
      <c r="G289" s="11" t="n"/>
      <c r="H289" s="11" t="n"/>
      <c r="I289" s="11" t="n"/>
      <c r="J289" s="11" t="n"/>
      <c r="K289" s="11" t="n"/>
    </row>
    <row r="290" ht="22" customHeight="1">
      <c r="B290" s="18" t="n"/>
      <c r="C290" s="15" t="n"/>
      <c r="D290" s="15" t="n"/>
      <c r="E290" s="17" t="n"/>
      <c r="F290" s="15" t="n"/>
      <c r="G290" s="15" t="n"/>
      <c r="H290" s="15" t="n"/>
      <c r="I290" s="15" t="n"/>
      <c r="J290" s="15" t="n"/>
      <c r="K290" s="15" t="n"/>
    </row>
    <row r="291" ht="22" customHeight="1">
      <c r="B291" s="14" t="n"/>
      <c r="C291" s="11" t="n"/>
      <c r="D291" s="11" t="n"/>
      <c r="E291" s="13" t="n"/>
      <c r="F291" s="11" t="n"/>
      <c r="G291" s="11" t="n"/>
      <c r="H291" s="11" t="n"/>
      <c r="I291" s="11" t="n"/>
      <c r="J291" s="11" t="n"/>
      <c r="K291" s="11" t="n"/>
    </row>
    <row r="292" ht="22" customHeight="1">
      <c r="B292" s="18" t="n"/>
      <c r="C292" s="15" t="n"/>
      <c r="D292" s="15" t="n"/>
      <c r="E292" s="17" t="n"/>
      <c r="F292" s="15" t="n"/>
      <c r="G292" s="15" t="n"/>
      <c r="H292" s="15" t="n"/>
      <c r="I292" s="15" t="n"/>
      <c r="J292" s="15" t="n"/>
      <c r="K292" s="15" t="n"/>
    </row>
    <row r="293" ht="22" customHeight="1">
      <c r="B293" s="14" t="n"/>
      <c r="C293" s="11" t="n"/>
      <c r="D293" s="11" t="n"/>
      <c r="E293" s="13" t="n"/>
      <c r="F293" s="11" t="n"/>
      <c r="G293" s="11" t="n"/>
      <c r="H293" s="11" t="n"/>
      <c r="I293" s="11" t="n"/>
      <c r="J293" s="11" t="n"/>
      <c r="K293" s="11" t="n"/>
    </row>
    <row r="294" ht="22" customHeight="1">
      <c r="B294" s="18" t="n"/>
      <c r="C294" s="15" t="n"/>
      <c r="D294" s="15" t="n"/>
      <c r="E294" s="17" t="n"/>
      <c r="F294" s="15" t="n"/>
      <c r="G294" s="15" t="n"/>
      <c r="H294" s="15" t="n"/>
      <c r="I294" s="15" t="n"/>
      <c r="J294" s="15" t="n"/>
      <c r="K294" s="15" t="n"/>
    </row>
    <row r="295" ht="22" customHeight="1">
      <c r="B295" s="14" t="n"/>
      <c r="C295" s="11" t="n"/>
      <c r="D295" s="11" t="n"/>
      <c r="E295" s="13" t="n"/>
      <c r="F295" s="11" t="n"/>
      <c r="G295" s="11" t="n"/>
      <c r="H295" s="11" t="n"/>
      <c r="I295" s="11" t="n"/>
      <c r="J295" s="11" t="n"/>
      <c r="K295" s="11" t="n"/>
    </row>
    <row r="296" ht="22" customHeight="1">
      <c r="B296" s="18" t="n"/>
      <c r="C296" s="15" t="n"/>
      <c r="D296" s="15" t="n"/>
      <c r="E296" s="17" t="n"/>
      <c r="F296" s="15" t="n"/>
      <c r="G296" s="15" t="n"/>
      <c r="H296" s="15" t="n"/>
      <c r="I296" s="15" t="n"/>
      <c r="J296" s="15" t="n"/>
      <c r="K296" s="15" t="n"/>
    </row>
    <row r="297" ht="22" customHeight="1">
      <c r="B297" s="14" t="n"/>
      <c r="C297" s="11" t="n"/>
      <c r="D297" s="11" t="n"/>
      <c r="E297" s="13" t="n"/>
      <c r="F297" s="11" t="n"/>
      <c r="G297" s="11" t="n"/>
      <c r="H297" s="11" t="n"/>
      <c r="I297" s="11" t="n"/>
      <c r="J297" s="11" t="n"/>
      <c r="K297" s="11" t="n"/>
    </row>
    <row r="298" ht="22" customHeight="1">
      <c r="B298" s="18" t="n"/>
      <c r="C298" s="15" t="n"/>
      <c r="D298" s="15" t="n"/>
      <c r="E298" s="17" t="n"/>
      <c r="F298" s="15" t="n"/>
      <c r="G298" s="15" t="n"/>
      <c r="H298" s="15" t="n"/>
      <c r="I298" s="15" t="n"/>
      <c r="J298" s="15" t="n"/>
      <c r="K298" s="15" t="n"/>
    </row>
    <row r="299" ht="22" customHeight="1">
      <c r="B299" s="14" t="n"/>
      <c r="C299" s="11" t="n"/>
      <c r="D299" s="11" t="n"/>
      <c r="E299" s="13" t="n"/>
      <c r="F299" s="11" t="n"/>
      <c r="G299" s="11" t="n"/>
      <c r="H299" s="11" t="n"/>
      <c r="I299" s="11" t="n"/>
      <c r="J299" s="11" t="n"/>
      <c r="K299" s="11" t="n"/>
    </row>
    <row r="300" ht="22" customHeight="1">
      <c r="B300" s="18" t="n"/>
      <c r="C300" s="15" t="n"/>
      <c r="D300" s="15" t="n"/>
      <c r="E300" s="17" t="n"/>
      <c r="F300" s="15" t="n"/>
      <c r="G300" s="15" t="n"/>
      <c r="H300" s="15" t="n"/>
      <c r="I300" s="15" t="n"/>
      <c r="J300" s="15" t="n"/>
      <c r="K300" s="15" t="n"/>
    </row>
    <row r="301" ht="22" customHeight="1">
      <c r="B301" s="14" t="n"/>
      <c r="C301" s="11" t="n"/>
      <c r="D301" s="11" t="n"/>
      <c r="E301" s="13" t="n"/>
      <c r="F301" s="11" t="n"/>
      <c r="G301" s="11" t="n"/>
      <c r="H301" s="11" t="n"/>
      <c r="I301" s="11" t="n"/>
      <c r="J301" s="11" t="n"/>
      <c r="K301" s="11" t="n"/>
    </row>
    <row r="302" ht="22" customHeight="1">
      <c r="B302" s="18" t="n"/>
      <c r="C302" s="15" t="n"/>
      <c r="D302" s="15" t="n"/>
      <c r="E302" s="17" t="n"/>
      <c r="F302" s="15" t="n"/>
      <c r="G302" s="15" t="n"/>
      <c r="H302" s="15" t="n"/>
      <c r="I302" s="15" t="n"/>
      <c r="J302" s="15" t="n"/>
      <c r="K302" s="15" t="n"/>
    </row>
    <row r="303" ht="22" customHeight="1">
      <c r="B303" s="14" t="n"/>
      <c r="C303" s="11" t="n"/>
      <c r="D303" s="11" t="n"/>
      <c r="E303" s="13" t="n"/>
      <c r="F303" s="11" t="n"/>
      <c r="G303" s="11" t="n"/>
      <c r="H303" s="11" t="n"/>
      <c r="I303" s="11" t="n"/>
      <c r="J303" s="11" t="n"/>
      <c r="K303" s="11" t="n"/>
    </row>
    <row r="304" ht="22" customHeight="1">
      <c r="B304" s="18" t="n"/>
      <c r="C304" s="15" t="n"/>
      <c r="D304" s="15" t="n"/>
      <c r="E304" s="17" t="n"/>
      <c r="F304" s="15" t="n"/>
      <c r="G304" s="15" t="n"/>
      <c r="H304" s="15" t="n"/>
      <c r="I304" s="15" t="n"/>
      <c r="J304" s="15" t="n"/>
      <c r="K304" s="15" t="n"/>
    </row>
    <row r="307">
      <c r="B307" s="22" t="inlineStr">
        <is>
          <t>EXPENSE SUMMARY BY CATEGORY</t>
        </is>
      </c>
    </row>
    <row r="308">
      <c r="B308" s="10" t="inlineStr">
        <is>
          <t>Category</t>
        </is>
      </c>
      <c r="C308" s="10" t="inlineStr">
        <is>
          <t>Total (AED)</t>
        </is>
      </c>
    </row>
    <row r="309">
      <c r="B309" s="29" t="inlineStr">
        <is>
          <t>Manpower/Staff</t>
        </is>
      </c>
      <c r="C309" s="30">
        <f>IFERROR(SUMPRODUCT((C5:C304="Manpower/Staff")*(E5:E304)),0)</f>
        <v/>
      </c>
    </row>
    <row r="310">
      <c r="B310" s="31" t="inlineStr">
        <is>
          <t>Municipality Fees</t>
        </is>
      </c>
      <c r="C310" s="32">
        <f>IFERROR(SUMPRODUCT((C5:C304="Municipality Fees")*(E5:E304)),0)</f>
        <v/>
      </c>
    </row>
    <row r="311">
      <c r="B311" s="29" t="inlineStr">
        <is>
          <t>Maintenance</t>
        </is>
      </c>
      <c r="C311" s="30">
        <f>IFERROR(SUMPRODUCT((C5:C304="Maintenance")*(E5:E304)),0)</f>
        <v/>
      </c>
    </row>
    <row r="312">
      <c r="B312" s="31" t="inlineStr">
        <is>
          <t>Leasing Commission</t>
        </is>
      </c>
      <c r="C312" s="32">
        <f>IFERROR(SUMPRODUCT((C5:C304="Leasing Commission")*(E5:E304)),0)</f>
        <v/>
      </c>
    </row>
    <row r="313">
      <c r="B313" s="29" t="inlineStr">
        <is>
          <t>Insurance</t>
        </is>
      </c>
      <c r="C313" s="30">
        <f>IFERROR(SUMPRODUCT((C5:C304="Insurance")*(E5:E304)),0)</f>
        <v/>
      </c>
    </row>
    <row r="314">
      <c r="B314" s="31" t="inlineStr">
        <is>
          <t>Utilities</t>
        </is>
      </c>
      <c r="C314" s="32">
        <f>IFERROR(SUMPRODUCT((C5:C304="Utilities")*(E5:E304)),0)</f>
        <v/>
      </c>
    </row>
    <row r="315">
      <c r="B315" s="29" t="inlineStr">
        <is>
          <t>Marketing</t>
        </is>
      </c>
      <c r="C315" s="30">
        <f>IFERROR(SUMPRODUCT((C5:C304="Marketing")*(E5:E304)),0)</f>
        <v/>
      </c>
    </row>
    <row r="316">
      <c r="B316" s="31" t="inlineStr">
        <is>
          <t>Legal</t>
        </is>
      </c>
      <c r="C316" s="32">
        <f>IFERROR(SUMPRODUCT((C5:C304="Legal")*(E5:E304)),0)</f>
        <v/>
      </c>
    </row>
    <row r="317">
      <c r="B317" s="29" t="inlineStr">
        <is>
          <t>Cleaning</t>
        </is>
      </c>
      <c r="C317" s="30">
        <f>IFERROR(SUMPRODUCT((C5:C304="Cleaning")*(E5:E304)),0)</f>
        <v/>
      </c>
    </row>
    <row r="318">
      <c r="B318" s="31" t="inlineStr">
        <is>
          <t>Security</t>
        </is>
      </c>
      <c r="C318" s="32">
        <f>IFERROR(SUMPRODUCT((C5:C304="Security")*(E5:E304)),0)</f>
        <v/>
      </c>
    </row>
    <row r="319">
      <c r="B319" s="29" t="inlineStr">
        <is>
          <t>Pest Control</t>
        </is>
      </c>
      <c r="C319" s="30">
        <f>IFERROR(SUMPRODUCT((C5:C304="Pest Control")*(E5:E304)),0)</f>
        <v/>
      </c>
    </row>
    <row r="320">
      <c r="B320" s="31" t="inlineStr">
        <is>
          <t>Elevator Service</t>
        </is>
      </c>
      <c r="C320" s="32">
        <f>IFERROR(SUMPRODUCT((C5:C304="Elevator Service")*(E5:E304)),0)</f>
        <v/>
      </c>
    </row>
    <row r="321">
      <c r="B321" s="29" t="inlineStr">
        <is>
          <t>Other</t>
        </is>
      </c>
      <c r="C321" s="30">
        <f>IFERROR(SUMPRODUCT((C5:C304="Other")*(E5:E304)),0)</f>
        <v/>
      </c>
    </row>
    <row r="322" ht="26" customHeight="1">
      <c r="B322" s="19" t="inlineStr">
        <is>
          <t>GRAND TOTAL</t>
        </is>
      </c>
      <c r="C322" s="21">
        <f>IFERROR(SUM(C309:C321),0)</f>
        <v/>
      </c>
    </row>
  </sheetData>
  <mergeCells count="2">
    <mergeCell ref="B307:C307"/>
    <mergeCell ref="B2:K2"/>
  </mergeCells>
  <dataValidations count="4">
    <dataValidation sqref="C5:C304" showDropDown="0" showInputMessage="0" showErrorMessage="0" allowBlank="1" prompt="Select Category" type="list">
      <formula1>"Manpower/Staff,Municipality Fees,Maintenance,Leasing Commission,Insurance,Utilities,Marketing,Legal,Cleaning,Security,Pest Control,Elevator Service,Other"</formula1>
    </dataValidation>
    <dataValidation sqref="F5:F304" showDropDown="0" showInputMessage="0" showErrorMessage="0" allowBlank="1" type="list">
      <formula1>"Cash,Bank Transfer,Cheque,Online"</formula1>
    </dataValidation>
    <dataValidation sqref="I5:I304" showDropDown="0" showInputMessage="0" showErrorMessage="0" allowBlank="1" type="list">
      <formula1>"Yes,No"</formula1>
    </dataValidation>
    <dataValidation sqref="J5:J304" showDropDown="0" showInputMessage="0" showErrorMessage="0" allowBlank="1" type="list">
      <formula1>"All Buildings,Building A,Building B,Building C,Building D"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O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15" customHeight="1"/>
    <row r="2" ht="32" customHeight="1">
      <c r="B2" s="1" t="inlineStr">
        <is>
          <t>Revenue Analysis — Annual Overview</t>
        </is>
      </c>
    </row>
    <row r="3" ht="8" customHeight="1"/>
    <row r="4" ht="28" customHeight="1">
      <c r="B4" s="10" t="inlineStr">
        <is>
          <t>Revenue Line Item</t>
        </is>
      </c>
      <c r="C4" s="10" t="inlineStr">
        <is>
          <t>Jan</t>
        </is>
      </c>
      <c r="D4" s="10" t="inlineStr">
        <is>
          <t>Feb</t>
        </is>
      </c>
      <c r="E4" s="10" t="inlineStr">
        <is>
          <t>Mar</t>
        </is>
      </c>
      <c r="F4" s="10" t="inlineStr">
        <is>
          <t>Apr</t>
        </is>
      </c>
      <c r="G4" s="10" t="inlineStr">
        <is>
          <t>May</t>
        </is>
      </c>
      <c r="H4" s="10" t="inlineStr">
        <is>
          <t>Jun</t>
        </is>
      </c>
      <c r="I4" s="10" t="inlineStr">
        <is>
          <t>Jul</t>
        </is>
      </c>
      <c r="J4" s="10" t="inlineStr">
        <is>
          <t>Aug</t>
        </is>
      </c>
      <c r="K4" s="10" t="inlineStr">
        <is>
          <t>Sep</t>
        </is>
      </c>
      <c r="L4" s="10" t="inlineStr">
        <is>
          <t>Oct</t>
        </is>
      </c>
      <c r="M4" s="10" t="inlineStr">
        <is>
          <t>Nov</t>
        </is>
      </c>
      <c r="N4" s="10" t="inlineStr">
        <is>
          <t>Dec</t>
        </is>
      </c>
      <c r="O4" s="10" t="inlineStr">
        <is>
          <t>Annual Total</t>
        </is>
      </c>
    </row>
    <row r="5">
      <c r="B5" s="33" t="inlineStr">
        <is>
          <t>Rental Income</t>
        </is>
      </c>
      <c r="C5" s="34">
        <f>IFERROR(SUMPRODUCT(('Property Registry'!I5:I154="Rented")*('Property Registry'!G5:G154)),0)</f>
        <v/>
      </c>
      <c r="D5" s="34">
        <f>IFERROR(SUMPRODUCT(('Property Registry'!I5:I154="Rented")*('Property Registry'!G5:G154)),0)</f>
        <v/>
      </c>
      <c r="E5" s="34">
        <f>IFERROR(SUMPRODUCT(('Property Registry'!I5:I154="Rented")*('Property Registry'!G5:G154)),0)</f>
        <v/>
      </c>
      <c r="F5" s="34">
        <f>IFERROR(SUMPRODUCT(('Property Registry'!I5:I154="Rented")*('Property Registry'!G5:G154)),0)</f>
        <v/>
      </c>
      <c r="G5" s="34">
        <f>IFERROR(SUMPRODUCT(('Property Registry'!I5:I154="Rented")*('Property Registry'!G5:G154)),0)</f>
        <v/>
      </c>
      <c r="H5" s="34">
        <f>IFERROR(SUMPRODUCT(('Property Registry'!I5:I154="Rented")*('Property Registry'!G5:G154)),0)</f>
        <v/>
      </c>
      <c r="I5" s="34">
        <f>IFERROR(SUMPRODUCT(('Property Registry'!I5:I154="Rented")*('Property Registry'!G5:G154)),0)</f>
        <v/>
      </c>
      <c r="J5" s="34">
        <f>IFERROR(SUMPRODUCT(('Property Registry'!I5:I154="Rented")*('Property Registry'!G5:G154)),0)</f>
        <v/>
      </c>
      <c r="K5" s="34">
        <f>IFERROR(SUMPRODUCT(('Property Registry'!I5:I154="Rented")*('Property Registry'!G5:G154)),0)</f>
        <v/>
      </c>
      <c r="L5" s="34">
        <f>IFERROR(SUMPRODUCT(('Property Registry'!I5:I154="Rented")*('Property Registry'!G5:G154)),0)</f>
        <v/>
      </c>
      <c r="M5" s="34">
        <f>IFERROR(SUMPRODUCT(('Property Registry'!I5:I154="Rented")*('Property Registry'!G5:G154)),0)</f>
        <v/>
      </c>
      <c r="N5" s="34">
        <f>IFERROR(SUMPRODUCT(('Property Registry'!I5:I154="Rented")*('Property Registry'!G5:G154)),0)</f>
        <v/>
      </c>
      <c r="O5" s="34">
        <f>IFERROR(SUM(C5:N5),0)</f>
        <v/>
      </c>
    </row>
    <row r="6">
      <c r="B6" s="33" t="inlineStr">
        <is>
          <t>Late Fee Income</t>
        </is>
      </c>
      <c r="C6" s="34">
        <f>IFERROR(SUM('Rent Collection'!K5:K154),0)</f>
        <v/>
      </c>
      <c r="D6" s="34">
        <f>IFERROR(SUM('Rent Collection'!K5:K154),0)</f>
        <v/>
      </c>
      <c r="E6" s="34">
        <f>IFERROR(SUM('Rent Collection'!K5:K154),0)</f>
        <v/>
      </c>
      <c r="F6" s="34">
        <f>IFERROR(SUM('Rent Collection'!K5:K154),0)</f>
        <v/>
      </c>
      <c r="G6" s="34">
        <f>IFERROR(SUM('Rent Collection'!K5:K154),0)</f>
        <v/>
      </c>
      <c r="H6" s="34">
        <f>IFERROR(SUM('Rent Collection'!K5:K154),0)</f>
        <v/>
      </c>
      <c r="I6" s="34">
        <f>IFERROR(SUM('Rent Collection'!K5:K154),0)</f>
        <v/>
      </c>
      <c r="J6" s="34">
        <f>IFERROR(SUM('Rent Collection'!K5:K154),0)</f>
        <v/>
      </c>
      <c r="K6" s="34">
        <f>IFERROR(SUM('Rent Collection'!K5:K154),0)</f>
        <v/>
      </c>
      <c r="L6" s="34">
        <f>IFERROR(SUM('Rent Collection'!K5:K154),0)</f>
        <v/>
      </c>
      <c r="M6" s="34">
        <f>IFERROR(SUM('Rent Collection'!K5:K154),0)</f>
        <v/>
      </c>
      <c r="N6" s="34">
        <f>IFERROR(SUM('Rent Collection'!K5:K154),0)</f>
        <v/>
      </c>
      <c r="O6" s="34">
        <f>IFERROR(SUM(C6:N6),0)</f>
        <v/>
      </c>
    </row>
    <row r="7">
      <c r="B7" s="33" t="inlineStr">
        <is>
          <t>Municipality Fees Collected</t>
        </is>
      </c>
      <c r="C7" s="34">
        <f>IFERROR(SUM('Property Registry'!H5:H154),0)</f>
        <v/>
      </c>
      <c r="D7" s="34">
        <f>IFERROR(SUM('Property Registry'!H5:H154),0)</f>
        <v/>
      </c>
      <c r="E7" s="34">
        <f>IFERROR(SUM('Property Registry'!H5:H154),0)</f>
        <v/>
      </c>
      <c r="F7" s="34">
        <f>IFERROR(SUM('Property Registry'!H5:H154),0)</f>
        <v/>
      </c>
      <c r="G7" s="34">
        <f>IFERROR(SUM('Property Registry'!H5:H154),0)</f>
        <v/>
      </c>
      <c r="H7" s="34">
        <f>IFERROR(SUM('Property Registry'!H5:H154),0)</f>
        <v/>
      </c>
      <c r="I7" s="34">
        <f>IFERROR(SUM('Property Registry'!H5:H154),0)</f>
        <v/>
      </c>
      <c r="J7" s="34">
        <f>IFERROR(SUM('Property Registry'!H5:H154),0)</f>
        <v/>
      </c>
      <c r="K7" s="34">
        <f>IFERROR(SUM('Property Registry'!H5:H154),0)</f>
        <v/>
      </c>
      <c r="L7" s="34">
        <f>IFERROR(SUM('Property Registry'!H5:H154),0)</f>
        <v/>
      </c>
      <c r="M7" s="34">
        <f>IFERROR(SUM('Property Registry'!H5:H154),0)</f>
        <v/>
      </c>
      <c r="N7" s="34">
        <f>IFERROR(SUM('Property Registry'!H5:H154),0)</f>
        <v/>
      </c>
      <c r="O7" s="34">
        <f>IFERROR(SUM(C7:N7),0)</f>
        <v/>
      </c>
    </row>
    <row r="8">
      <c r="B8" s="33" t="inlineStr">
        <is>
          <t>Other Income</t>
        </is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4" t="n">
        <v>0</v>
      </c>
      <c r="O8" s="34">
        <f>IFERROR(SUM(C8:N8),0)</f>
        <v/>
      </c>
    </row>
    <row r="9">
      <c r="B9" s="35" t="inlineStr">
        <is>
          <t>GROSS REVENUE</t>
        </is>
      </c>
      <c r="C9" s="36">
        <f>IFERROR(SUM(C5:C8),0)</f>
        <v/>
      </c>
      <c r="D9" s="36">
        <f>IFERROR(SUM(D5:D8),0)</f>
        <v/>
      </c>
      <c r="E9" s="36">
        <f>IFERROR(SUM(E5:E8),0)</f>
        <v/>
      </c>
      <c r="F9" s="36">
        <f>IFERROR(SUM(F5:F8),0)</f>
        <v/>
      </c>
      <c r="G9" s="36">
        <f>IFERROR(SUM(G5:G8),0)</f>
        <v/>
      </c>
      <c r="H9" s="36">
        <f>IFERROR(SUM(H5:H8),0)</f>
        <v/>
      </c>
      <c r="I9" s="36">
        <f>IFERROR(SUM(I5:I8),0)</f>
        <v/>
      </c>
      <c r="J9" s="36">
        <f>IFERROR(SUM(J5:J8),0)</f>
        <v/>
      </c>
      <c r="K9" s="36">
        <f>IFERROR(SUM(K5:K8),0)</f>
        <v/>
      </c>
      <c r="L9" s="36">
        <f>IFERROR(SUM(L5:L8),0)</f>
        <v/>
      </c>
      <c r="M9" s="36">
        <f>IFERROR(SUM(M5:M8),0)</f>
        <v/>
      </c>
      <c r="N9" s="36">
        <f>IFERROR(SUM(N5:N8),0)</f>
        <v/>
      </c>
      <c r="O9" s="36">
        <f>IFERROR(SUM(O5:O8),0)</f>
        <v/>
      </c>
    </row>
    <row r="10">
      <c r="B10" s="33" t="inlineStr">
        <is>
          <t>Less: Vacancy Loss</t>
        </is>
      </c>
      <c r="C10" s="34">
        <f>IFERROR(-SUMPRODUCT(('Property Registry'!I5:I154="Vacant")*('Property Registry'!G5:G154)),0)</f>
        <v/>
      </c>
      <c r="D10" s="34">
        <f>IFERROR(-SUMPRODUCT(('Property Registry'!I5:I154="Vacant")*('Property Registry'!G5:G154)),0)</f>
        <v/>
      </c>
      <c r="E10" s="34">
        <f>IFERROR(-SUMPRODUCT(('Property Registry'!I5:I154="Vacant")*('Property Registry'!G5:G154)),0)</f>
        <v/>
      </c>
      <c r="F10" s="34">
        <f>IFERROR(-SUMPRODUCT(('Property Registry'!I5:I154="Vacant")*('Property Registry'!G5:G154)),0)</f>
        <v/>
      </c>
      <c r="G10" s="34">
        <f>IFERROR(-SUMPRODUCT(('Property Registry'!I5:I154="Vacant")*('Property Registry'!G5:G154)),0)</f>
        <v/>
      </c>
      <c r="H10" s="34">
        <f>IFERROR(-SUMPRODUCT(('Property Registry'!I5:I154="Vacant")*('Property Registry'!G5:G154)),0)</f>
        <v/>
      </c>
      <c r="I10" s="34">
        <f>IFERROR(-SUMPRODUCT(('Property Registry'!I5:I154="Vacant")*('Property Registry'!G5:G154)),0)</f>
        <v/>
      </c>
      <c r="J10" s="34">
        <f>IFERROR(-SUMPRODUCT(('Property Registry'!I5:I154="Vacant")*('Property Registry'!G5:G154)),0)</f>
        <v/>
      </c>
      <c r="K10" s="34">
        <f>IFERROR(-SUMPRODUCT(('Property Registry'!I5:I154="Vacant")*('Property Registry'!G5:G154)),0)</f>
        <v/>
      </c>
      <c r="L10" s="34">
        <f>IFERROR(-SUMPRODUCT(('Property Registry'!I5:I154="Vacant")*('Property Registry'!G5:G154)),0)</f>
        <v/>
      </c>
      <c r="M10" s="34">
        <f>IFERROR(-SUMPRODUCT(('Property Registry'!I5:I154="Vacant")*('Property Registry'!G5:G154)),0)</f>
        <v/>
      </c>
      <c r="N10" s="34">
        <f>IFERROR(-SUMPRODUCT(('Property Registry'!I5:I154="Vacant")*('Property Registry'!G5:G154)),0)</f>
        <v/>
      </c>
      <c r="O10" s="34">
        <f>IFERROR(SUM(C10:N10),0)</f>
        <v/>
      </c>
    </row>
    <row r="11">
      <c r="B11" s="33" t="inlineStr">
        <is>
          <t>Less: Bad Debt/Unpaid</t>
        </is>
      </c>
      <c r="C11" s="34">
        <f>IFERROR(-SUM('Rent Collection'!H5:H154),0)</f>
        <v/>
      </c>
      <c r="D11" s="34">
        <f>IFERROR(-SUM('Rent Collection'!H5:H154),0)</f>
        <v/>
      </c>
      <c r="E11" s="34">
        <f>IFERROR(-SUM('Rent Collection'!H5:H154),0)</f>
        <v/>
      </c>
      <c r="F11" s="34">
        <f>IFERROR(-SUM('Rent Collection'!H5:H154),0)</f>
        <v/>
      </c>
      <c r="G11" s="34">
        <f>IFERROR(-SUM('Rent Collection'!H5:H154),0)</f>
        <v/>
      </c>
      <c r="H11" s="34">
        <f>IFERROR(-SUM('Rent Collection'!H5:H154),0)</f>
        <v/>
      </c>
      <c r="I11" s="34">
        <f>IFERROR(-SUM('Rent Collection'!H5:H154),0)</f>
        <v/>
      </c>
      <c r="J11" s="34">
        <f>IFERROR(-SUM('Rent Collection'!H5:H154),0)</f>
        <v/>
      </c>
      <c r="K11" s="34">
        <f>IFERROR(-SUM('Rent Collection'!H5:H154),0)</f>
        <v/>
      </c>
      <c r="L11" s="34">
        <f>IFERROR(-SUM('Rent Collection'!H5:H154),0)</f>
        <v/>
      </c>
      <c r="M11" s="34">
        <f>IFERROR(-SUM('Rent Collection'!H5:H154),0)</f>
        <v/>
      </c>
      <c r="N11" s="34">
        <f>IFERROR(-SUM('Rent Collection'!H5:H154),0)</f>
        <v/>
      </c>
      <c r="O11" s="34">
        <f>IFERROR(SUM(C11:N11),0)</f>
        <v/>
      </c>
    </row>
    <row r="12">
      <c r="B12" s="35" t="inlineStr">
        <is>
          <t>NET REVENUE</t>
        </is>
      </c>
      <c r="C12" s="36">
        <f>IFERROR(C9+C10+C11,0)</f>
        <v/>
      </c>
      <c r="D12" s="36">
        <f>IFERROR(D9+D10+D11,0)</f>
        <v/>
      </c>
      <c r="E12" s="36">
        <f>IFERROR(E9+E10+E11,0)</f>
        <v/>
      </c>
      <c r="F12" s="36">
        <f>IFERROR(F9+F10+F11,0)</f>
        <v/>
      </c>
      <c r="G12" s="36">
        <f>IFERROR(G9+G10+G11,0)</f>
        <v/>
      </c>
      <c r="H12" s="36">
        <f>IFERROR(H9+H10+H11,0)</f>
        <v/>
      </c>
      <c r="I12" s="36">
        <f>IFERROR(I9+I10+I11,0)</f>
        <v/>
      </c>
      <c r="J12" s="36">
        <f>IFERROR(J9+J10+J11,0)</f>
        <v/>
      </c>
      <c r="K12" s="36">
        <f>IFERROR(K9+K10+K11,0)</f>
        <v/>
      </c>
      <c r="L12" s="36">
        <f>IFERROR(L9+L10+L11,0)</f>
        <v/>
      </c>
      <c r="M12" s="36">
        <f>IFERROR(M9+M10+M11,0)</f>
        <v/>
      </c>
      <c r="N12" s="36">
        <f>IFERROR(N9+N10+N11,0)</f>
        <v/>
      </c>
      <c r="O12" s="36">
        <f>IFERROR(O9+O10+O11,0)</f>
        <v/>
      </c>
    </row>
    <row r="15">
      <c r="B15" s="7" t="inlineStr">
        <is>
          <t>Category</t>
        </is>
      </c>
      <c r="C15" s="7" t="inlineStr">
        <is>
          <t>Amount</t>
        </is>
      </c>
    </row>
    <row r="16">
      <c r="B16" s="7" t="inlineStr">
        <is>
          <t>Gross Revenue</t>
        </is>
      </c>
      <c r="C16" s="9">
        <f>O9</f>
        <v/>
      </c>
    </row>
    <row r="17">
      <c r="B17" s="7" t="inlineStr">
        <is>
          <t>Vacancy Loss</t>
        </is>
      </c>
      <c r="C17" s="9">
        <f>O10</f>
        <v/>
      </c>
    </row>
    <row r="18">
      <c r="B18" s="7" t="inlineStr">
        <is>
          <t>Bad Debt</t>
        </is>
      </c>
      <c r="C18" s="9">
        <f>O11</f>
        <v/>
      </c>
    </row>
    <row r="19">
      <c r="B19" s="7" t="inlineStr">
        <is>
          <t>Net Revenue</t>
        </is>
      </c>
      <c r="C19" s="9">
        <f>O12</f>
        <v/>
      </c>
    </row>
  </sheetData>
  <mergeCells count="1">
    <mergeCell ref="B2:O2"/>
  </mergeCells>
  <conditionalFormatting sqref="C5">
    <cfRule type="expression" priority="1" dxfId="1">
      <formula>C5&lt;0</formula>
    </cfRule>
  </conditionalFormatting>
  <conditionalFormatting sqref="D5">
    <cfRule type="expression" priority="2" dxfId="1">
      <formula>D5&lt;0</formula>
    </cfRule>
  </conditionalFormatting>
  <conditionalFormatting sqref="E5">
    <cfRule type="expression" priority="3" dxfId="1">
      <formula>E5&lt;0</formula>
    </cfRule>
  </conditionalFormatting>
  <conditionalFormatting sqref="F5">
    <cfRule type="expression" priority="4" dxfId="1">
      <formula>F5&lt;0</formula>
    </cfRule>
  </conditionalFormatting>
  <conditionalFormatting sqref="G5">
    <cfRule type="expression" priority="5" dxfId="1">
      <formula>G5&lt;0</formula>
    </cfRule>
  </conditionalFormatting>
  <conditionalFormatting sqref="H5">
    <cfRule type="expression" priority="6" dxfId="1">
      <formula>H5&lt;0</formula>
    </cfRule>
  </conditionalFormatting>
  <conditionalFormatting sqref="I5">
    <cfRule type="expression" priority="7" dxfId="1">
      <formula>I5&lt;0</formula>
    </cfRule>
  </conditionalFormatting>
  <conditionalFormatting sqref="J5">
    <cfRule type="expression" priority="8" dxfId="1">
      <formula>J5&lt;0</formula>
    </cfRule>
  </conditionalFormatting>
  <conditionalFormatting sqref="K5">
    <cfRule type="expression" priority="9" dxfId="1">
      <formula>K5&lt;0</formula>
    </cfRule>
  </conditionalFormatting>
  <conditionalFormatting sqref="L5">
    <cfRule type="expression" priority="10" dxfId="1">
      <formula>L5&lt;0</formula>
    </cfRule>
  </conditionalFormatting>
  <conditionalFormatting sqref="M5">
    <cfRule type="expression" priority="11" dxfId="1">
      <formula>M5&lt;0</formula>
    </cfRule>
  </conditionalFormatting>
  <conditionalFormatting sqref="N5">
    <cfRule type="expression" priority="12" dxfId="1">
      <formula>N5&lt;0</formula>
    </cfRule>
  </conditionalFormatting>
  <conditionalFormatting sqref="O5">
    <cfRule type="expression" priority="13" dxfId="1">
      <formula>O5&lt;0</formula>
    </cfRule>
  </conditionalFormatting>
  <conditionalFormatting sqref="C6">
    <cfRule type="expression" priority="14" dxfId="1">
      <formula>C6&lt;0</formula>
    </cfRule>
  </conditionalFormatting>
  <conditionalFormatting sqref="D6">
    <cfRule type="expression" priority="15" dxfId="1">
      <formula>D6&lt;0</formula>
    </cfRule>
  </conditionalFormatting>
  <conditionalFormatting sqref="E6">
    <cfRule type="expression" priority="16" dxfId="1">
      <formula>E6&lt;0</formula>
    </cfRule>
  </conditionalFormatting>
  <conditionalFormatting sqref="F6">
    <cfRule type="expression" priority="17" dxfId="1">
      <formula>F6&lt;0</formula>
    </cfRule>
  </conditionalFormatting>
  <conditionalFormatting sqref="G6">
    <cfRule type="expression" priority="18" dxfId="1">
      <formula>G6&lt;0</formula>
    </cfRule>
  </conditionalFormatting>
  <conditionalFormatting sqref="H6">
    <cfRule type="expression" priority="19" dxfId="1">
      <formula>H6&lt;0</formula>
    </cfRule>
  </conditionalFormatting>
  <conditionalFormatting sqref="I6">
    <cfRule type="expression" priority="20" dxfId="1">
      <formula>I6&lt;0</formula>
    </cfRule>
  </conditionalFormatting>
  <conditionalFormatting sqref="J6">
    <cfRule type="expression" priority="21" dxfId="1">
      <formula>J6&lt;0</formula>
    </cfRule>
  </conditionalFormatting>
  <conditionalFormatting sqref="K6">
    <cfRule type="expression" priority="22" dxfId="1">
      <formula>K6&lt;0</formula>
    </cfRule>
  </conditionalFormatting>
  <conditionalFormatting sqref="L6">
    <cfRule type="expression" priority="23" dxfId="1">
      <formula>L6&lt;0</formula>
    </cfRule>
  </conditionalFormatting>
  <conditionalFormatting sqref="M6">
    <cfRule type="expression" priority="24" dxfId="1">
      <formula>M6&lt;0</formula>
    </cfRule>
  </conditionalFormatting>
  <conditionalFormatting sqref="N6">
    <cfRule type="expression" priority="25" dxfId="1">
      <formula>N6&lt;0</formula>
    </cfRule>
  </conditionalFormatting>
  <conditionalFormatting sqref="O6">
    <cfRule type="expression" priority="26" dxfId="1">
      <formula>O6&lt;0</formula>
    </cfRule>
  </conditionalFormatting>
  <conditionalFormatting sqref="C7">
    <cfRule type="expression" priority="27" dxfId="1">
      <formula>C7&lt;0</formula>
    </cfRule>
  </conditionalFormatting>
  <conditionalFormatting sqref="D7">
    <cfRule type="expression" priority="28" dxfId="1">
      <formula>D7&lt;0</formula>
    </cfRule>
  </conditionalFormatting>
  <conditionalFormatting sqref="E7">
    <cfRule type="expression" priority="29" dxfId="1">
      <formula>E7&lt;0</formula>
    </cfRule>
  </conditionalFormatting>
  <conditionalFormatting sqref="F7">
    <cfRule type="expression" priority="30" dxfId="1">
      <formula>F7&lt;0</formula>
    </cfRule>
  </conditionalFormatting>
  <conditionalFormatting sqref="G7">
    <cfRule type="expression" priority="31" dxfId="1">
      <formula>G7&lt;0</formula>
    </cfRule>
  </conditionalFormatting>
  <conditionalFormatting sqref="H7">
    <cfRule type="expression" priority="32" dxfId="1">
      <formula>H7&lt;0</formula>
    </cfRule>
  </conditionalFormatting>
  <conditionalFormatting sqref="I7">
    <cfRule type="expression" priority="33" dxfId="1">
      <formula>I7&lt;0</formula>
    </cfRule>
  </conditionalFormatting>
  <conditionalFormatting sqref="J7">
    <cfRule type="expression" priority="34" dxfId="1">
      <formula>J7&lt;0</formula>
    </cfRule>
  </conditionalFormatting>
  <conditionalFormatting sqref="K7">
    <cfRule type="expression" priority="35" dxfId="1">
      <formula>K7&lt;0</formula>
    </cfRule>
  </conditionalFormatting>
  <conditionalFormatting sqref="L7">
    <cfRule type="expression" priority="36" dxfId="1">
      <formula>L7&lt;0</formula>
    </cfRule>
  </conditionalFormatting>
  <conditionalFormatting sqref="M7">
    <cfRule type="expression" priority="37" dxfId="1">
      <formula>M7&lt;0</formula>
    </cfRule>
  </conditionalFormatting>
  <conditionalFormatting sqref="N7">
    <cfRule type="expression" priority="38" dxfId="1">
      <formula>N7&lt;0</formula>
    </cfRule>
  </conditionalFormatting>
  <conditionalFormatting sqref="O7">
    <cfRule type="expression" priority="39" dxfId="1">
      <formula>O7&lt;0</formula>
    </cfRule>
  </conditionalFormatting>
  <conditionalFormatting sqref="C8">
    <cfRule type="expression" priority="40" dxfId="1">
      <formula>C8&lt;0</formula>
    </cfRule>
  </conditionalFormatting>
  <conditionalFormatting sqref="D8">
    <cfRule type="expression" priority="41" dxfId="1">
      <formula>D8&lt;0</formula>
    </cfRule>
  </conditionalFormatting>
  <conditionalFormatting sqref="E8">
    <cfRule type="expression" priority="42" dxfId="1">
      <formula>E8&lt;0</formula>
    </cfRule>
  </conditionalFormatting>
  <conditionalFormatting sqref="F8">
    <cfRule type="expression" priority="43" dxfId="1">
      <formula>F8&lt;0</formula>
    </cfRule>
  </conditionalFormatting>
  <conditionalFormatting sqref="G8">
    <cfRule type="expression" priority="44" dxfId="1">
      <formula>G8&lt;0</formula>
    </cfRule>
  </conditionalFormatting>
  <conditionalFormatting sqref="H8">
    <cfRule type="expression" priority="45" dxfId="1">
      <formula>H8&lt;0</formula>
    </cfRule>
  </conditionalFormatting>
  <conditionalFormatting sqref="I8">
    <cfRule type="expression" priority="46" dxfId="1">
      <formula>I8&lt;0</formula>
    </cfRule>
  </conditionalFormatting>
  <conditionalFormatting sqref="J8">
    <cfRule type="expression" priority="47" dxfId="1">
      <formula>J8&lt;0</formula>
    </cfRule>
  </conditionalFormatting>
  <conditionalFormatting sqref="K8">
    <cfRule type="expression" priority="48" dxfId="1">
      <formula>K8&lt;0</formula>
    </cfRule>
  </conditionalFormatting>
  <conditionalFormatting sqref="L8">
    <cfRule type="expression" priority="49" dxfId="1">
      <formula>L8&lt;0</formula>
    </cfRule>
  </conditionalFormatting>
  <conditionalFormatting sqref="M8">
    <cfRule type="expression" priority="50" dxfId="1">
      <formula>M8&lt;0</formula>
    </cfRule>
  </conditionalFormatting>
  <conditionalFormatting sqref="N8">
    <cfRule type="expression" priority="51" dxfId="1">
      <formula>N8&lt;0</formula>
    </cfRule>
  </conditionalFormatting>
  <conditionalFormatting sqref="O8">
    <cfRule type="expression" priority="52" dxfId="1">
      <formula>O8&lt;0</formula>
    </cfRule>
  </conditionalFormatting>
  <conditionalFormatting sqref="C9">
    <cfRule type="expression" priority="53" dxfId="1">
      <formula>C9&lt;0</formula>
    </cfRule>
  </conditionalFormatting>
  <conditionalFormatting sqref="D9">
    <cfRule type="expression" priority="54" dxfId="1">
      <formula>D9&lt;0</formula>
    </cfRule>
  </conditionalFormatting>
  <conditionalFormatting sqref="E9">
    <cfRule type="expression" priority="55" dxfId="1">
      <formula>E9&lt;0</formula>
    </cfRule>
  </conditionalFormatting>
  <conditionalFormatting sqref="F9">
    <cfRule type="expression" priority="56" dxfId="1">
      <formula>F9&lt;0</formula>
    </cfRule>
  </conditionalFormatting>
  <conditionalFormatting sqref="G9">
    <cfRule type="expression" priority="57" dxfId="1">
      <formula>G9&lt;0</formula>
    </cfRule>
  </conditionalFormatting>
  <conditionalFormatting sqref="H9">
    <cfRule type="expression" priority="58" dxfId="1">
      <formula>H9&lt;0</formula>
    </cfRule>
  </conditionalFormatting>
  <conditionalFormatting sqref="I9">
    <cfRule type="expression" priority="59" dxfId="1">
      <formula>I9&lt;0</formula>
    </cfRule>
  </conditionalFormatting>
  <conditionalFormatting sqref="J9">
    <cfRule type="expression" priority="60" dxfId="1">
      <formula>J9&lt;0</formula>
    </cfRule>
  </conditionalFormatting>
  <conditionalFormatting sqref="K9">
    <cfRule type="expression" priority="61" dxfId="1">
      <formula>K9&lt;0</formula>
    </cfRule>
  </conditionalFormatting>
  <conditionalFormatting sqref="L9">
    <cfRule type="expression" priority="62" dxfId="1">
      <formula>L9&lt;0</formula>
    </cfRule>
  </conditionalFormatting>
  <conditionalFormatting sqref="M9">
    <cfRule type="expression" priority="63" dxfId="1">
      <formula>M9&lt;0</formula>
    </cfRule>
  </conditionalFormatting>
  <conditionalFormatting sqref="N9">
    <cfRule type="expression" priority="64" dxfId="1">
      <formula>N9&lt;0</formula>
    </cfRule>
  </conditionalFormatting>
  <conditionalFormatting sqref="O9">
    <cfRule type="expression" priority="65" dxfId="1">
      <formula>O9&lt;0</formula>
    </cfRule>
  </conditionalFormatting>
  <conditionalFormatting sqref="C10">
    <cfRule type="expression" priority="66" dxfId="1">
      <formula>C10&lt;0</formula>
    </cfRule>
  </conditionalFormatting>
  <conditionalFormatting sqref="D10">
    <cfRule type="expression" priority="67" dxfId="1">
      <formula>D10&lt;0</formula>
    </cfRule>
  </conditionalFormatting>
  <conditionalFormatting sqref="E10">
    <cfRule type="expression" priority="68" dxfId="1">
      <formula>E10&lt;0</formula>
    </cfRule>
  </conditionalFormatting>
  <conditionalFormatting sqref="F10">
    <cfRule type="expression" priority="69" dxfId="1">
      <formula>F10&lt;0</formula>
    </cfRule>
  </conditionalFormatting>
  <conditionalFormatting sqref="G10">
    <cfRule type="expression" priority="70" dxfId="1">
      <formula>G10&lt;0</formula>
    </cfRule>
  </conditionalFormatting>
  <conditionalFormatting sqref="H10">
    <cfRule type="expression" priority="71" dxfId="1">
      <formula>H10&lt;0</formula>
    </cfRule>
  </conditionalFormatting>
  <conditionalFormatting sqref="I10">
    <cfRule type="expression" priority="72" dxfId="1">
      <formula>I10&lt;0</formula>
    </cfRule>
  </conditionalFormatting>
  <conditionalFormatting sqref="J10">
    <cfRule type="expression" priority="73" dxfId="1">
      <formula>J10&lt;0</formula>
    </cfRule>
  </conditionalFormatting>
  <conditionalFormatting sqref="K10">
    <cfRule type="expression" priority="74" dxfId="1">
      <formula>K10&lt;0</formula>
    </cfRule>
  </conditionalFormatting>
  <conditionalFormatting sqref="L10">
    <cfRule type="expression" priority="75" dxfId="1">
      <formula>L10&lt;0</formula>
    </cfRule>
  </conditionalFormatting>
  <conditionalFormatting sqref="M10">
    <cfRule type="expression" priority="76" dxfId="1">
      <formula>M10&lt;0</formula>
    </cfRule>
  </conditionalFormatting>
  <conditionalFormatting sqref="N10">
    <cfRule type="expression" priority="77" dxfId="1">
      <formula>N10&lt;0</formula>
    </cfRule>
  </conditionalFormatting>
  <conditionalFormatting sqref="O10">
    <cfRule type="expression" priority="78" dxfId="1">
      <formula>O10&lt;0</formula>
    </cfRule>
  </conditionalFormatting>
  <conditionalFormatting sqref="C11">
    <cfRule type="expression" priority="79" dxfId="1">
      <formula>C11&lt;0</formula>
    </cfRule>
  </conditionalFormatting>
  <conditionalFormatting sqref="D11">
    <cfRule type="expression" priority="80" dxfId="1">
      <formula>D11&lt;0</formula>
    </cfRule>
  </conditionalFormatting>
  <conditionalFormatting sqref="E11">
    <cfRule type="expression" priority="81" dxfId="1">
      <formula>E11&lt;0</formula>
    </cfRule>
  </conditionalFormatting>
  <conditionalFormatting sqref="F11">
    <cfRule type="expression" priority="82" dxfId="1">
      <formula>F11&lt;0</formula>
    </cfRule>
  </conditionalFormatting>
  <conditionalFormatting sqref="G11">
    <cfRule type="expression" priority="83" dxfId="1">
      <formula>G11&lt;0</formula>
    </cfRule>
  </conditionalFormatting>
  <conditionalFormatting sqref="H11">
    <cfRule type="expression" priority="84" dxfId="1">
      <formula>H11&lt;0</formula>
    </cfRule>
  </conditionalFormatting>
  <conditionalFormatting sqref="I11">
    <cfRule type="expression" priority="85" dxfId="1">
      <formula>I11&lt;0</formula>
    </cfRule>
  </conditionalFormatting>
  <conditionalFormatting sqref="J11">
    <cfRule type="expression" priority="86" dxfId="1">
      <formula>J11&lt;0</formula>
    </cfRule>
  </conditionalFormatting>
  <conditionalFormatting sqref="K11">
    <cfRule type="expression" priority="87" dxfId="1">
      <formula>K11&lt;0</formula>
    </cfRule>
  </conditionalFormatting>
  <conditionalFormatting sqref="L11">
    <cfRule type="expression" priority="88" dxfId="1">
      <formula>L11&lt;0</formula>
    </cfRule>
  </conditionalFormatting>
  <conditionalFormatting sqref="M11">
    <cfRule type="expression" priority="89" dxfId="1">
      <formula>M11&lt;0</formula>
    </cfRule>
  </conditionalFormatting>
  <conditionalFormatting sqref="N11">
    <cfRule type="expression" priority="90" dxfId="1">
      <formula>N11&lt;0</formula>
    </cfRule>
  </conditionalFormatting>
  <conditionalFormatting sqref="O11">
    <cfRule type="expression" priority="91" dxfId="1">
      <formula>O11&lt;0</formula>
    </cfRule>
  </conditionalFormatting>
  <conditionalFormatting sqref="C12">
    <cfRule type="expression" priority="92" dxfId="1">
      <formula>C12&lt;0</formula>
    </cfRule>
  </conditionalFormatting>
  <conditionalFormatting sqref="D12">
    <cfRule type="expression" priority="93" dxfId="1">
      <formula>D12&lt;0</formula>
    </cfRule>
  </conditionalFormatting>
  <conditionalFormatting sqref="E12">
    <cfRule type="expression" priority="94" dxfId="1">
      <formula>E12&lt;0</formula>
    </cfRule>
  </conditionalFormatting>
  <conditionalFormatting sqref="F12">
    <cfRule type="expression" priority="95" dxfId="1">
      <formula>F12&lt;0</formula>
    </cfRule>
  </conditionalFormatting>
  <conditionalFormatting sqref="G12">
    <cfRule type="expression" priority="96" dxfId="1">
      <formula>G12&lt;0</formula>
    </cfRule>
  </conditionalFormatting>
  <conditionalFormatting sqref="H12">
    <cfRule type="expression" priority="97" dxfId="1">
      <formula>H12&lt;0</formula>
    </cfRule>
  </conditionalFormatting>
  <conditionalFormatting sqref="I12">
    <cfRule type="expression" priority="98" dxfId="1">
      <formula>I12&lt;0</formula>
    </cfRule>
  </conditionalFormatting>
  <conditionalFormatting sqref="J12">
    <cfRule type="expression" priority="99" dxfId="1">
      <formula>J12&lt;0</formula>
    </cfRule>
  </conditionalFormatting>
  <conditionalFormatting sqref="K12">
    <cfRule type="expression" priority="100" dxfId="1">
      <formula>K12&lt;0</formula>
    </cfRule>
  </conditionalFormatting>
  <conditionalFormatting sqref="L12">
    <cfRule type="expression" priority="101" dxfId="1">
      <formula>L12&lt;0</formula>
    </cfRule>
  </conditionalFormatting>
  <conditionalFormatting sqref="M12">
    <cfRule type="expression" priority="102" dxfId="1">
      <formula>M12&lt;0</formula>
    </cfRule>
  </conditionalFormatting>
  <conditionalFormatting sqref="N12">
    <cfRule type="expression" priority="103" dxfId="1">
      <formula>N12&lt;0</formula>
    </cfRule>
  </conditionalFormatting>
  <conditionalFormatting sqref="O12">
    <cfRule type="expression" priority="104" dxfId="1">
      <formula>O12&lt;0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D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20" customWidth="1" min="3" max="3"/>
    <col width="5" customWidth="1" min="4" max="4"/>
  </cols>
  <sheetData>
    <row r="1" ht="15" customHeight="1"/>
    <row r="2" ht="32" customHeight="1">
      <c r="B2" s="1" t="inlineStr">
        <is>
          <t>Profit &amp; Loss Statement — Al Reef Al Janoubi</t>
        </is>
      </c>
    </row>
    <row r="3" ht="8" customHeight="1"/>
    <row r="5" ht="28" customHeight="1">
      <c r="B5" s="35" t="inlineStr">
        <is>
          <t>REVENUE</t>
        </is>
      </c>
      <c r="C5" s="3" t="n"/>
      <c r="D5" s="3" t="n"/>
    </row>
    <row r="6" ht="22" customHeight="1">
      <c r="B6" s="37" t="inlineStr">
        <is>
          <t>Rental Income</t>
        </is>
      </c>
      <c r="C6" s="38">
        <f>IFERROR('Revenue Analysis'!O5,0)</f>
        <v/>
      </c>
    </row>
    <row r="7" ht="22" customHeight="1">
      <c r="B7" s="37" t="inlineStr">
        <is>
          <t>Late Fee Income</t>
        </is>
      </c>
      <c r="C7" s="38">
        <f>IFERROR('Revenue Analysis'!O6,0)</f>
        <v/>
      </c>
    </row>
    <row r="8" ht="22" customHeight="1">
      <c r="B8" s="37" t="inlineStr">
        <is>
          <t>Other Income</t>
        </is>
      </c>
      <c r="C8" s="38">
        <f>IFERROR('Revenue Analysis'!O8,0)</f>
        <v/>
      </c>
    </row>
    <row r="9" ht="26" customHeight="1">
      <c r="B9" s="19" t="inlineStr">
        <is>
          <t>Total Revenue</t>
        </is>
      </c>
      <c r="C9" s="39">
        <f>IFERROR(SUM(C6:C8),0)</f>
        <v/>
      </c>
      <c r="D9" s="40" t="n"/>
    </row>
    <row r="11" ht="28" customHeight="1">
      <c r="B11" s="35" t="inlineStr">
        <is>
          <t>COST OF OPERATIONS</t>
        </is>
      </c>
      <c r="C11" s="3" t="n"/>
      <c r="D11" s="3" t="n"/>
    </row>
    <row r="12" ht="22" customHeight="1">
      <c r="B12" s="37" t="inlineStr">
        <is>
          <t>Manpower/Staff Costs</t>
        </is>
      </c>
      <c r="C12" s="38">
        <f>IFERROR(SUMPRODUCT(('Expenses'!C5:C304="Manpower/Staff")*('Expenses'!E5:E304)),0)</f>
        <v/>
      </c>
    </row>
    <row r="13" ht="22" customHeight="1">
      <c r="B13" s="37" t="inlineStr">
        <is>
          <t>Maintenance Costs</t>
        </is>
      </c>
      <c r="C13" s="38">
        <f>IFERROR(SUMPRODUCT(('Expenses'!C5:C304="Maintenance")*('Expenses'!E5:E304)),0)</f>
        <v/>
      </c>
    </row>
    <row r="14" ht="22" customHeight="1">
      <c r="B14" s="37" t="inlineStr">
        <is>
          <t>Municipality Fees</t>
        </is>
      </c>
      <c r="C14" s="38">
        <f>IFERROR(SUMPRODUCT(('Expenses'!C5:C304="Municipality Fees")*('Expenses'!E5:E304)),0)</f>
        <v/>
      </c>
    </row>
    <row r="15" ht="22" customHeight="1">
      <c r="B15" s="37" t="inlineStr">
        <is>
          <t>Leasing Commissions</t>
        </is>
      </c>
      <c r="C15" s="38">
        <f>IFERROR(SUMPRODUCT(('Expenses'!C5:C304="Leasing Commission")*('Expenses'!E5:E304)),0)</f>
        <v/>
      </c>
    </row>
    <row r="16" ht="22" customHeight="1">
      <c r="B16" s="37" t="inlineStr">
        <is>
          <t>Insurance</t>
        </is>
      </c>
      <c r="C16" s="38">
        <f>IFERROR(SUMPRODUCT(('Expenses'!C5:C304="Insurance")*('Expenses'!E5:E304)),0)</f>
        <v/>
      </c>
    </row>
    <row r="17" ht="22" customHeight="1">
      <c r="B17" s="37" t="inlineStr">
        <is>
          <t>Utilities</t>
        </is>
      </c>
      <c r="C17" s="38">
        <f>IFERROR(SUMPRODUCT(('Expenses'!C5:C304="Utilities")*('Expenses'!E5:E304)),0)</f>
        <v/>
      </c>
    </row>
    <row r="18" ht="26" customHeight="1">
      <c r="B18" s="19" t="inlineStr">
        <is>
          <t>Total Cost of Operations</t>
        </is>
      </c>
      <c r="C18" s="39">
        <f>IFERROR(SUM(C12:C17),0)</f>
        <v/>
      </c>
      <c r="D18" s="40" t="n"/>
    </row>
    <row r="20" ht="26" customHeight="1">
      <c r="B20" s="19" t="inlineStr">
        <is>
          <t>Gross Profit</t>
        </is>
      </c>
      <c r="C20" s="39">
        <f>IFERROR(C9-C18,0)</f>
        <v/>
      </c>
      <c r="D20" s="40" t="n"/>
    </row>
    <row r="21" ht="22" customHeight="1">
      <c r="B21" s="7" t="inlineStr">
        <is>
          <t>Gross Margin %</t>
        </is>
      </c>
      <c r="C21" s="41">
        <f>IFERROR(C20/C9,0)</f>
        <v/>
      </c>
    </row>
    <row r="23" ht="28" customHeight="1">
      <c r="B23" s="35" t="inlineStr">
        <is>
          <t>OPERATING EXPENSES</t>
        </is>
      </c>
      <c r="C23" s="3" t="n"/>
      <c r="D23" s="3" t="n"/>
    </row>
    <row r="24" ht="22" customHeight="1">
      <c r="B24" s="37" t="inlineStr">
        <is>
          <t>Marketing</t>
        </is>
      </c>
      <c r="C24" s="38">
        <f>IFERROR(SUMPRODUCT(('Expenses'!C5:C304="Marketing")*('Expenses'!E5:E304)),0)</f>
        <v/>
      </c>
    </row>
    <row r="25" ht="22" customHeight="1">
      <c r="B25" s="37" t="inlineStr">
        <is>
          <t>Legal &amp; Professional</t>
        </is>
      </c>
      <c r="C25" s="38">
        <f>IFERROR(SUMPRODUCT(('Expenses'!C5:C304="Legal")*('Expenses'!E5:E304)),0)</f>
        <v/>
      </c>
    </row>
    <row r="26" ht="22" customHeight="1">
      <c r="B26" s="37" t="inlineStr">
        <is>
          <t>Cleaning &amp; Security</t>
        </is>
      </c>
      <c r="C26" s="38">
        <f>IFERROR(SUMPRODUCT(('Expenses'!C5:C304="Cleaning")*('Expenses'!E5:E304)),0)</f>
        <v/>
      </c>
    </row>
    <row r="27" ht="22" customHeight="1">
      <c r="B27" s="37" t="inlineStr">
        <is>
          <t>Security Costs</t>
        </is>
      </c>
      <c r="C27" s="38">
        <f>IFERROR(SUMPRODUCT(('Expenses'!C5:C304="Security")*('Expenses'!E5:E304)),0)</f>
        <v/>
      </c>
    </row>
    <row r="28" ht="22" customHeight="1">
      <c r="B28" s="37" t="inlineStr">
        <is>
          <t>Pest Control</t>
        </is>
      </c>
      <c r="C28" s="38">
        <f>IFERROR(SUMPRODUCT(('Expenses'!C5:C304="Pest Control")*('Expenses'!E5:E304)),0)</f>
        <v/>
      </c>
    </row>
    <row r="29" ht="22" customHeight="1">
      <c r="B29" s="37" t="inlineStr">
        <is>
          <t>Elevator Service</t>
        </is>
      </c>
      <c r="C29" s="38">
        <f>IFERROR(SUMPRODUCT(('Expenses'!C5:C304="Elevator Service")*('Expenses'!E5:E304)),0)</f>
        <v/>
      </c>
    </row>
    <row r="30" ht="22" customHeight="1">
      <c r="B30" s="37" t="inlineStr">
        <is>
          <t>Other</t>
        </is>
      </c>
      <c r="C30" s="38">
        <f>IFERROR(SUMPRODUCT(('Expenses'!C5:C304="Other")*('Expenses'!E5:E304)),0)</f>
        <v/>
      </c>
    </row>
    <row r="31" ht="26" customHeight="1">
      <c r="B31" s="19" t="inlineStr">
        <is>
          <t>Total Operating Expenses</t>
        </is>
      </c>
      <c r="C31" s="39">
        <f>IFERROR(SUM(C24:C30),0)</f>
        <v/>
      </c>
      <c r="D31" s="40" t="n"/>
    </row>
    <row r="33" ht="26" customHeight="1">
      <c r="B33" s="19" t="inlineStr">
        <is>
          <t>Net Profit</t>
        </is>
      </c>
      <c r="C33" s="39">
        <f>IFERROR(C20-C31,0)</f>
        <v/>
      </c>
      <c r="D33" s="40" t="n"/>
    </row>
    <row r="34" ht="22" customHeight="1">
      <c r="B34" s="7" t="inlineStr">
        <is>
          <t>Net Margin %</t>
        </is>
      </c>
      <c r="C34" s="41">
        <f>IFERROR(C33/C9,0)</f>
        <v/>
      </c>
    </row>
    <row r="37" ht="28" customHeight="1">
      <c r="B37" s="35" t="inlineStr">
        <is>
          <t>WATERFALL SUMMARY</t>
        </is>
      </c>
      <c r="C37" s="3" t="n"/>
      <c r="D37" s="3" t="n"/>
    </row>
    <row r="38" ht="22" customHeight="1">
      <c r="B38" s="33" t="inlineStr">
        <is>
          <t>Total Revenue</t>
        </is>
      </c>
      <c r="C38" s="42">
        <f>C9</f>
        <v/>
      </c>
    </row>
    <row r="39" ht="22" customHeight="1">
      <c r="B39" s="33" t="inlineStr">
        <is>
          <t>Less: Cost of Operations</t>
        </is>
      </c>
      <c r="C39" s="43">
        <f>-C18</f>
        <v/>
      </c>
    </row>
    <row r="40" ht="22" customHeight="1">
      <c r="B40" s="33" t="inlineStr">
        <is>
          <t>Gross Profit</t>
        </is>
      </c>
      <c r="C40" s="42">
        <f>C20</f>
        <v/>
      </c>
    </row>
    <row r="41" ht="22" customHeight="1">
      <c r="B41" s="33" t="inlineStr">
        <is>
          <t>Less: Operating Expenses</t>
        </is>
      </c>
      <c r="C41" s="43">
        <f>-C31</f>
        <v/>
      </c>
    </row>
    <row r="42" ht="22" customHeight="1">
      <c r="B42" s="33" t="inlineStr">
        <is>
          <t>Net Profit</t>
        </is>
      </c>
      <c r="C42" s="44">
        <f>C33</f>
        <v/>
      </c>
    </row>
  </sheetData>
  <mergeCells count="1">
    <mergeCell ref="B2:D2"/>
  </mergeCells>
  <conditionalFormatting sqref="C5:C42">
    <cfRule type="expression" priority="1" dxfId="1">
      <formula>C5&lt;0</formula>
    </cfRule>
    <cfRule type="expression" priority="2" dxfId="0">
      <formula>AND(C5&gt;0,ROW()&gt;5)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D4A3E"/>
    <outlinePr summaryBelow="1" summaryRight="1"/>
    <pageSetUpPr fitToPage="1"/>
  </sheetPr>
  <dimension ref="B2:M16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2" customWidth="1" min="3" max="3"/>
    <col width="14" customWidth="1" min="4" max="4"/>
    <col width="14" customWidth="1" min="5" max="5"/>
    <col width="18" customWidth="1" min="6" max="6"/>
    <col width="16" customWidth="1" min="7" max="7"/>
    <col width="20" customWidth="1" min="8" max="8"/>
    <col width="16" customWidth="1" min="9" max="9"/>
    <col width="16" customWidth="1" min="10" max="10"/>
    <col width="18" customWidth="1" min="11" max="11"/>
    <col width="20" customWidth="1" min="12" max="12"/>
    <col width="24" customWidth="1" min="13" max="13"/>
  </cols>
  <sheetData>
    <row r="1" ht="15" customHeight="1"/>
    <row r="2" ht="32" customHeight="1">
      <c r="B2" s="1" t="inlineStr">
        <is>
          <t>Lease Contract Tracker</t>
        </is>
      </c>
    </row>
    <row r="3" ht="8" customHeight="1"/>
    <row r="4" ht="28" customHeight="1">
      <c r="B4" s="10" t="inlineStr">
        <is>
          <t>Unit ID</t>
        </is>
      </c>
      <c r="C4" s="10" t="inlineStr">
        <is>
          <t>Tenant Name</t>
        </is>
      </c>
      <c r="D4" s="10" t="inlineStr">
        <is>
          <t>Contract Start</t>
        </is>
      </c>
      <c r="E4" s="10" t="inlineStr">
        <is>
          <t>Contract End</t>
        </is>
      </c>
      <c r="F4" s="10" t="inlineStr">
        <is>
          <t>Duration (months)</t>
        </is>
      </c>
      <c r="G4" s="10" t="inlineStr">
        <is>
          <t>Monthly Rent</t>
        </is>
      </c>
      <c r="H4" s="10" t="inlineStr">
        <is>
          <t>Total Contract Value</t>
        </is>
      </c>
      <c r="I4" s="10" t="inlineStr">
        <is>
          <t>Days Remaining</t>
        </is>
      </c>
      <c r="J4" s="10" t="inlineStr">
        <is>
          <t>Status</t>
        </is>
      </c>
      <c r="K4" s="10" t="inlineStr">
        <is>
          <t>Renewal Status</t>
        </is>
      </c>
      <c r="L4" s="10" t="inlineStr">
        <is>
          <t>New Rent (if renewed)</t>
        </is>
      </c>
      <c r="M4" s="10" t="inlineStr">
        <is>
          <t>Notes</t>
        </is>
      </c>
    </row>
    <row r="5" ht="22" customHeight="1">
      <c r="B5" s="11" t="n"/>
      <c r="C5" s="11" t="n"/>
      <c r="D5" s="14" t="n"/>
      <c r="E5" s="14" t="n"/>
      <c r="F5" s="12">
        <f>IFERROR((E5-D5)/30,0)</f>
        <v/>
      </c>
      <c r="G5" s="13" t="n"/>
      <c r="H5" s="13">
        <f>IFERROR(G5*F5,0)</f>
        <v/>
      </c>
      <c r="I5" s="12">
        <f>IFERROR(MAX(0,E5-TODAY()),0)</f>
        <v/>
      </c>
      <c r="J5" s="11">
        <f>IF(I5&lt;=0,"Expired",IF(I5&lt;=30,"Expiring Soon",IF(I5&lt;=90,"Renewal Due","Active")))</f>
        <v/>
      </c>
      <c r="K5" s="11" t="n"/>
      <c r="L5" s="13" t="n"/>
      <c r="M5" s="11" t="n"/>
    </row>
    <row r="6" ht="22" customHeight="1">
      <c r="B6" s="15" t="n"/>
      <c r="C6" s="15" t="n"/>
      <c r="D6" s="18" t="n"/>
      <c r="E6" s="18" t="n"/>
      <c r="F6" s="16">
        <f>IFERROR((E6-D6)/30,0)</f>
        <v/>
      </c>
      <c r="G6" s="17" t="n"/>
      <c r="H6" s="17">
        <f>IFERROR(G6*F6,0)</f>
        <v/>
      </c>
      <c r="I6" s="16">
        <f>IFERROR(MAX(0,E6-TODAY()),0)</f>
        <v/>
      </c>
      <c r="J6" s="15">
        <f>IF(I6&lt;=0,"Expired",IF(I6&lt;=30,"Expiring Soon",IF(I6&lt;=90,"Renewal Due","Active")))</f>
        <v/>
      </c>
      <c r="K6" s="15" t="n"/>
      <c r="L6" s="17" t="n"/>
      <c r="M6" s="15" t="n"/>
    </row>
    <row r="7" ht="22" customHeight="1">
      <c r="B7" s="11" t="n"/>
      <c r="C7" s="11" t="n"/>
      <c r="D7" s="14" t="n"/>
      <c r="E7" s="14" t="n"/>
      <c r="F7" s="12">
        <f>IFERROR((E7-D7)/30,0)</f>
        <v/>
      </c>
      <c r="G7" s="13" t="n"/>
      <c r="H7" s="13">
        <f>IFERROR(G7*F7,0)</f>
        <v/>
      </c>
      <c r="I7" s="12">
        <f>IFERROR(MAX(0,E7-TODAY()),0)</f>
        <v/>
      </c>
      <c r="J7" s="11">
        <f>IF(I7&lt;=0,"Expired",IF(I7&lt;=30,"Expiring Soon",IF(I7&lt;=90,"Renewal Due","Active")))</f>
        <v/>
      </c>
      <c r="K7" s="11" t="n"/>
      <c r="L7" s="13" t="n"/>
      <c r="M7" s="11" t="n"/>
    </row>
    <row r="8" ht="22" customHeight="1">
      <c r="B8" s="15" t="n"/>
      <c r="C8" s="15" t="n"/>
      <c r="D8" s="18" t="n"/>
      <c r="E8" s="18" t="n"/>
      <c r="F8" s="16">
        <f>IFERROR((E8-D8)/30,0)</f>
        <v/>
      </c>
      <c r="G8" s="17" t="n"/>
      <c r="H8" s="17">
        <f>IFERROR(G8*F8,0)</f>
        <v/>
      </c>
      <c r="I8" s="16">
        <f>IFERROR(MAX(0,E8-TODAY()),0)</f>
        <v/>
      </c>
      <c r="J8" s="15">
        <f>IF(I8&lt;=0,"Expired",IF(I8&lt;=30,"Expiring Soon",IF(I8&lt;=90,"Renewal Due","Active")))</f>
        <v/>
      </c>
      <c r="K8" s="15" t="n"/>
      <c r="L8" s="17" t="n"/>
      <c r="M8" s="15" t="n"/>
    </row>
    <row r="9" ht="22" customHeight="1">
      <c r="B9" s="11" t="n"/>
      <c r="C9" s="11" t="n"/>
      <c r="D9" s="14" t="n"/>
      <c r="E9" s="14" t="n"/>
      <c r="F9" s="12">
        <f>IFERROR((E9-D9)/30,0)</f>
        <v/>
      </c>
      <c r="G9" s="13" t="n"/>
      <c r="H9" s="13">
        <f>IFERROR(G9*F9,0)</f>
        <v/>
      </c>
      <c r="I9" s="12">
        <f>IFERROR(MAX(0,E9-TODAY()),0)</f>
        <v/>
      </c>
      <c r="J9" s="11">
        <f>IF(I9&lt;=0,"Expired",IF(I9&lt;=30,"Expiring Soon",IF(I9&lt;=90,"Renewal Due","Active")))</f>
        <v/>
      </c>
      <c r="K9" s="11" t="n"/>
      <c r="L9" s="13" t="n"/>
      <c r="M9" s="11" t="n"/>
    </row>
    <row r="10" ht="22" customHeight="1">
      <c r="B10" s="15" t="n"/>
      <c r="C10" s="15" t="n"/>
      <c r="D10" s="18" t="n"/>
      <c r="E10" s="18" t="n"/>
      <c r="F10" s="16">
        <f>IFERROR((E10-D10)/30,0)</f>
        <v/>
      </c>
      <c r="G10" s="17" t="n"/>
      <c r="H10" s="17">
        <f>IFERROR(G10*F10,0)</f>
        <v/>
      </c>
      <c r="I10" s="16">
        <f>IFERROR(MAX(0,E10-TODAY()),0)</f>
        <v/>
      </c>
      <c r="J10" s="15">
        <f>IF(I10&lt;=0,"Expired",IF(I10&lt;=30,"Expiring Soon",IF(I10&lt;=90,"Renewal Due","Active")))</f>
        <v/>
      </c>
      <c r="K10" s="15" t="n"/>
      <c r="L10" s="17" t="n"/>
      <c r="M10" s="15" t="n"/>
    </row>
    <row r="11" ht="22" customHeight="1">
      <c r="B11" s="11" t="n"/>
      <c r="C11" s="11" t="n"/>
      <c r="D11" s="14" t="n"/>
      <c r="E11" s="14" t="n"/>
      <c r="F11" s="12">
        <f>IFERROR((E11-D11)/30,0)</f>
        <v/>
      </c>
      <c r="G11" s="13" t="n"/>
      <c r="H11" s="13">
        <f>IFERROR(G11*F11,0)</f>
        <v/>
      </c>
      <c r="I11" s="12">
        <f>IFERROR(MAX(0,E11-TODAY()),0)</f>
        <v/>
      </c>
      <c r="J11" s="11">
        <f>IF(I11&lt;=0,"Expired",IF(I11&lt;=30,"Expiring Soon",IF(I11&lt;=90,"Renewal Due","Active")))</f>
        <v/>
      </c>
      <c r="K11" s="11" t="n"/>
      <c r="L11" s="13" t="n"/>
      <c r="M11" s="11" t="n"/>
    </row>
    <row r="12" ht="22" customHeight="1">
      <c r="B12" s="15" t="n"/>
      <c r="C12" s="15" t="n"/>
      <c r="D12" s="18" t="n"/>
      <c r="E12" s="18" t="n"/>
      <c r="F12" s="16">
        <f>IFERROR((E12-D12)/30,0)</f>
        <v/>
      </c>
      <c r="G12" s="17" t="n"/>
      <c r="H12" s="17">
        <f>IFERROR(G12*F12,0)</f>
        <v/>
      </c>
      <c r="I12" s="16">
        <f>IFERROR(MAX(0,E12-TODAY()),0)</f>
        <v/>
      </c>
      <c r="J12" s="15">
        <f>IF(I12&lt;=0,"Expired",IF(I12&lt;=30,"Expiring Soon",IF(I12&lt;=90,"Renewal Due","Active")))</f>
        <v/>
      </c>
      <c r="K12" s="15" t="n"/>
      <c r="L12" s="17" t="n"/>
      <c r="M12" s="15" t="n"/>
    </row>
    <row r="13" ht="22" customHeight="1">
      <c r="B13" s="11" t="n"/>
      <c r="C13" s="11" t="n"/>
      <c r="D13" s="14" t="n"/>
      <c r="E13" s="14" t="n"/>
      <c r="F13" s="12">
        <f>IFERROR((E13-D13)/30,0)</f>
        <v/>
      </c>
      <c r="G13" s="13" t="n"/>
      <c r="H13" s="13">
        <f>IFERROR(G13*F13,0)</f>
        <v/>
      </c>
      <c r="I13" s="12">
        <f>IFERROR(MAX(0,E13-TODAY()),0)</f>
        <v/>
      </c>
      <c r="J13" s="11">
        <f>IF(I13&lt;=0,"Expired",IF(I13&lt;=30,"Expiring Soon",IF(I13&lt;=90,"Renewal Due","Active")))</f>
        <v/>
      </c>
      <c r="K13" s="11" t="n"/>
      <c r="L13" s="13" t="n"/>
      <c r="M13" s="11" t="n"/>
    </row>
    <row r="14" ht="22" customHeight="1">
      <c r="B14" s="15" t="n"/>
      <c r="C14" s="15" t="n"/>
      <c r="D14" s="18" t="n"/>
      <c r="E14" s="18" t="n"/>
      <c r="F14" s="16">
        <f>IFERROR((E14-D14)/30,0)</f>
        <v/>
      </c>
      <c r="G14" s="17" t="n"/>
      <c r="H14" s="17">
        <f>IFERROR(G14*F14,0)</f>
        <v/>
      </c>
      <c r="I14" s="16">
        <f>IFERROR(MAX(0,E14-TODAY()),0)</f>
        <v/>
      </c>
      <c r="J14" s="15">
        <f>IF(I14&lt;=0,"Expired",IF(I14&lt;=30,"Expiring Soon",IF(I14&lt;=90,"Renewal Due","Active")))</f>
        <v/>
      </c>
      <c r="K14" s="15" t="n"/>
      <c r="L14" s="17" t="n"/>
      <c r="M14" s="15" t="n"/>
    </row>
    <row r="15" ht="22" customHeight="1">
      <c r="B15" s="11" t="n"/>
      <c r="C15" s="11" t="n"/>
      <c r="D15" s="14" t="n"/>
      <c r="E15" s="14" t="n"/>
      <c r="F15" s="12">
        <f>IFERROR((E15-D15)/30,0)</f>
        <v/>
      </c>
      <c r="G15" s="13" t="n"/>
      <c r="H15" s="13">
        <f>IFERROR(G15*F15,0)</f>
        <v/>
      </c>
      <c r="I15" s="12">
        <f>IFERROR(MAX(0,E15-TODAY()),0)</f>
        <v/>
      </c>
      <c r="J15" s="11">
        <f>IF(I15&lt;=0,"Expired",IF(I15&lt;=30,"Expiring Soon",IF(I15&lt;=90,"Renewal Due","Active")))</f>
        <v/>
      </c>
      <c r="K15" s="11" t="n"/>
      <c r="L15" s="13" t="n"/>
      <c r="M15" s="11" t="n"/>
    </row>
    <row r="16" ht="22" customHeight="1">
      <c r="B16" s="15" t="n"/>
      <c r="C16" s="15" t="n"/>
      <c r="D16" s="18" t="n"/>
      <c r="E16" s="18" t="n"/>
      <c r="F16" s="16">
        <f>IFERROR((E16-D16)/30,0)</f>
        <v/>
      </c>
      <c r="G16" s="17" t="n"/>
      <c r="H16" s="17">
        <f>IFERROR(G16*F16,0)</f>
        <v/>
      </c>
      <c r="I16" s="16">
        <f>IFERROR(MAX(0,E16-TODAY()),0)</f>
        <v/>
      </c>
      <c r="J16" s="15">
        <f>IF(I16&lt;=0,"Expired",IF(I16&lt;=30,"Expiring Soon",IF(I16&lt;=90,"Renewal Due","Active")))</f>
        <v/>
      </c>
      <c r="K16" s="15" t="n"/>
      <c r="L16" s="17" t="n"/>
      <c r="M16" s="15" t="n"/>
    </row>
    <row r="17" ht="22" customHeight="1">
      <c r="B17" s="11" t="n"/>
      <c r="C17" s="11" t="n"/>
      <c r="D17" s="14" t="n"/>
      <c r="E17" s="14" t="n"/>
      <c r="F17" s="12">
        <f>IFERROR((E17-D17)/30,0)</f>
        <v/>
      </c>
      <c r="G17" s="13" t="n"/>
      <c r="H17" s="13">
        <f>IFERROR(G17*F17,0)</f>
        <v/>
      </c>
      <c r="I17" s="12">
        <f>IFERROR(MAX(0,E17-TODAY()),0)</f>
        <v/>
      </c>
      <c r="J17" s="11">
        <f>IF(I17&lt;=0,"Expired",IF(I17&lt;=30,"Expiring Soon",IF(I17&lt;=90,"Renewal Due","Active")))</f>
        <v/>
      </c>
      <c r="K17" s="11" t="n"/>
      <c r="L17" s="13" t="n"/>
      <c r="M17" s="11" t="n"/>
    </row>
    <row r="18" ht="22" customHeight="1">
      <c r="B18" s="15" t="n"/>
      <c r="C18" s="15" t="n"/>
      <c r="D18" s="18" t="n"/>
      <c r="E18" s="18" t="n"/>
      <c r="F18" s="16">
        <f>IFERROR((E18-D18)/30,0)</f>
        <v/>
      </c>
      <c r="G18" s="17" t="n"/>
      <c r="H18" s="17">
        <f>IFERROR(G18*F18,0)</f>
        <v/>
      </c>
      <c r="I18" s="16">
        <f>IFERROR(MAX(0,E18-TODAY()),0)</f>
        <v/>
      </c>
      <c r="J18" s="15">
        <f>IF(I18&lt;=0,"Expired",IF(I18&lt;=30,"Expiring Soon",IF(I18&lt;=90,"Renewal Due","Active")))</f>
        <v/>
      </c>
      <c r="K18" s="15" t="n"/>
      <c r="L18" s="17" t="n"/>
      <c r="M18" s="15" t="n"/>
    </row>
    <row r="19" ht="22" customHeight="1">
      <c r="B19" s="11" t="n"/>
      <c r="C19" s="11" t="n"/>
      <c r="D19" s="14" t="n"/>
      <c r="E19" s="14" t="n"/>
      <c r="F19" s="12">
        <f>IFERROR((E19-D19)/30,0)</f>
        <v/>
      </c>
      <c r="G19" s="13" t="n"/>
      <c r="H19" s="13">
        <f>IFERROR(G19*F19,0)</f>
        <v/>
      </c>
      <c r="I19" s="12">
        <f>IFERROR(MAX(0,E19-TODAY()),0)</f>
        <v/>
      </c>
      <c r="J19" s="11">
        <f>IF(I19&lt;=0,"Expired",IF(I19&lt;=30,"Expiring Soon",IF(I19&lt;=90,"Renewal Due","Active")))</f>
        <v/>
      </c>
      <c r="K19" s="11" t="n"/>
      <c r="L19" s="13" t="n"/>
      <c r="M19" s="11" t="n"/>
    </row>
    <row r="20" ht="22" customHeight="1">
      <c r="B20" s="15" t="n"/>
      <c r="C20" s="15" t="n"/>
      <c r="D20" s="18" t="n"/>
      <c r="E20" s="18" t="n"/>
      <c r="F20" s="16">
        <f>IFERROR((E20-D20)/30,0)</f>
        <v/>
      </c>
      <c r="G20" s="17" t="n"/>
      <c r="H20" s="17">
        <f>IFERROR(G20*F20,0)</f>
        <v/>
      </c>
      <c r="I20" s="16">
        <f>IFERROR(MAX(0,E20-TODAY()),0)</f>
        <v/>
      </c>
      <c r="J20" s="15">
        <f>IF(I20&lt;=0,"Expired",IF(I20&lt;=30,"Expiring Soon",IF(I20&lt;=90,"Renewal Due","Active")))</f>
        <v/>
      </c>
      <c r="K20" s="15" t="n"/>
      <c r="L20" s="17" t="n"/>
      <c r="M20" s="15" t="n"/>
    </row>
    <row r="21" ht="22" customHeight="1">
      <c r="B21" s="11" t="n"/>
      <c r="C21" s="11" t="n"/>
      <c r="D21" s="14" t="n"/>
      <c r="E21" s="14" t="n"/>
      <c r="F21" s="12">
        <f>IFERROR((E21-D21)/30,0)</f>
        <v/>
      </c>
      <c r="G21" s="13" t="n"/>
      <c r="H21" s="13">
        <f>IFERROR(G21*F21,0)</f>
        <v/>
      </c>
      <c r="I21" s="12">
        <f>IFERROR(MAX(0,E21-TODAY()),0)</f>
        <v/>
      </c>
      <c r="J21" s="11">
        <f>IF(I21&lt;=0,"Expired",IF(I21&lt;=30,"Expiring Soon",IF(I21&lt;=90,"Renewal Due","Active")))</f>
        <v/>
      </c>
      <c r="K21" s="11" t="n"/>
      <c r="L21" s="13" t="n"/>
      <c r="M21" s="11" t="n"/>
    </row>
    <row r="22" ht="22" customHeight="1">
      <c r="B22" s="15" t="n"/>
      <c r="C22" s="15" t="n"/>
      <c r="D22" s="18" t="n"/>
      <c r="E22" s="18" t="n"/>
      <c r="F22" s="16">
        <f>IFERROR((E22-D22)/30,0)</f>
        <v/>
      </c>
      <c r="G22" s="17" t="n"/>
      <c r="H22" s="17">
        <f>IFERROR(G22*F22,0)</f>
        <v/>
      </c>
      <c r="I22" s="16">
        <f>IFERROR(MAX(0,E22-TODAY()),0)</f>
        <v/>
      </c>
      <c r="J22" s="15">
        <f>IF(I22&lt;=0,"Expired",IF(I22&lt;=30,"Expiring Soon",IF(I22&lt;=90,"Renewal Due","Active")))</f>
        <v/>
      </c>
      <c r="K22" s="15" t="n"/>
      <c r="L22" s="17" t="n"/>
      <c r="M22" s="15" t="n"/>
    </row>
    <row r="23" ht="22" customHeight="1">
      <c r="B23" s="11" t="n"/>
      <c r="C23" s="11" t="n"/>
      <c r="D23" s="14" t="n"/>
      <c r="E23" s="14" t="n"/>
      <c r="F23" s="12">
        <f>IFERROR((E23-D23)/30,0)</f>
        <v/>
      </c>
      <c r="G23" s="13" t="n"/>
      <c r="H23" s="13">
        <f>IFERROR(G23*F23,0)</f>
        <v/>
      </c>
      <c r="I23" s="12">
        <f>IFERROR(MAX(0,E23-TODAY()),0)</f>
        <v/>
      </c>
      <c r="J23" s="11">
        <f>IF(I23&lt;=0,"Expired",IF(I23&lt;=30,"Expiring Soon",IF(I23&lt;=90,"Renewal Due","Active")))</f>
        <v/>
      </c>
      <c r="K23" s="11" t="n"/>
      <c r="L23" s="13" t="n"/>
      <c r="M23" s="11" t="n"/>
    </row>
    <row r="24" ht="22" customHeight="1">
      <c r="B24" s="15" t="n"/>
      <c r="C24" s="15" t="n"/>
      <c r="D24" s="18" t="n"/>
      <c r="E24" s="18" t="n"/>
      <c r="F24" s="16">
        <f>IFERROR((E24-D24)/30,0)</f>
        <v/>
      </c>
      <c r="G24" s="17" t="n"/>
      <c r="H24" s="17">
        <f>IFERROR(G24*F24,0)</f>
        <v/>
      </c>
      <c r="I24" s="16">
        <f>IFERROR(MAX(0,E24-TODAY()),0)</f>
        <v/>
      </c>
      <c r="J24" s="15">
        <f>IF(I24&lt;=0,"Expired",IF(I24&lt;=30,"Expiring Soon",IF(I24&lt;=90,"Renewal Due","Active")))</f>
        <v/>
      </c>
      <c r="K24" s="15" t="n"/>
      <c r="L24" s="17" t="n"/>
      <c r="M24" s="15" t="n"/>
    </row>
    <row r="25" ht="22" customHeight="1">
      <c r="B25" s="11" t="n"/>
      <c r="C25" s="11" t="n"/>
      <c r="D25" s="14" t="n"/>
      <c r="E25" s="14" t="n"/>
      <c r="F25" s="12">
        <f>IFERROR((E25-D25)/30,0)</f>
        <v/>
      </c>
      <c r="G25" s="13" t="n"/>
      <c r="H25" s="13">
        <f>IFERROR(G25*F25,0)</f>
        <v/>
      </c>
      <c r="I25" s="12">
        <f>IFERROR(MAX(0,E25-TODAY()),0)</f>
        <v/>
      </c>
      <c r="J25" s="11">
        <f>IF(I25&lt;=0,"Expired",IF(I25&lt;=30,"Expiring Soon",IF(I25&lt;=90,"Renewal Due","Active")))</f>
        <v/>
      </c>
      <c r="K25" s="11" t="n"/>
      <c r="L25" s="13" t="n"/>
      <c r="M25" s="11" t="n"/>
    </row>
    <row r="26" ht="22" customHeight="1">
      <c r="B26" s="15" t="n"/>
      <c r="C26" s="15" t="n"/>
      <c r="D26" s="18" t="n"/>
      <c r="E26" s="18" t="n"/>
      <c r="F26" s="16">
        <f>IFERROR((E26-D26)/30,0)</f>
        <v/>
      </c>
      <c r="G26" s="17" t="n"/>
      <c r="H26" s="17">
        <f>IFERROR(G26*F26,0)</f>
        <v/>
      </c>
      <c r="I26" s="16">
        <f>IFERROR(MAX(0,E26-TODAY()),0)</f>
        <v/>
      </c>
      <c r="J26" s="15">
        <f>IF(I26&lt;=0,"Expired",IF(I26&lt;=30,"Expiring Soon",IF(I26&lt;=90,"Renewal Due","Active")))</f>
        <v/>
      </c>
      <c r="K26" s="15" t="n"/>
      <c r="L26" s="17" t="n"/>
      <c r="M26" s="15" t="n"/>
    </row>
    <row r="27" ht="22" customHeight="1">
      <c r="B27" s="11" t="n"/>
      <c r="C27" s="11" t="n"/>
      <c r="D27" s="14" t="n"/>
      <c r="E27" s="14" t="n"/>
      <c r="F27" s="12">
        <f>IFERROR((E27-D27)/30,0)</f>
        <v/>
      </c>
      <c r="G27" s="13" t="n"/>
      <c r="H27" s="13">
        <f>IFERROR(G27*F27,0)</f>
        <v/>
      </c>
      <c r="I27" s="12">
        <f>IFERROR(MAX(0,E27-TODAY()),0)</f>
        <v/>
      </c>
      <c r="J27" s="11">
        <f>IF(I27&lt;=0,"Expired",IF(I27&lt;=30,"Expiring Soon",IF(I27&lt;=90,"Renewal Due","Active")))</f>
        <v/>
      </c>
      <c r="K27" s="11" t="n"/>
      <c r="L27" s="13" t="n"/>
      <c r="M27" s="11" t="n"/>
    </row>
    <row r="28" ht="22" customHeight="1">
      <c r="B28" s="15" t="n"/>
      <c r="C28" s="15" t="n"/>
      <c r="D28" s="18" t="n"/>
      <c r="E28" s="18" t="n"/>
      <c r="F28" s="16">
        <f>IFERROR((E28-D28)/30,0)</f>
        <v/>
      </c>
      <c r="G28" s="17" t="n"/>
      <c r="H28" s="17">
        <f>IFERROR(G28*F28,0)</f>
        <v/>
      </c>
      <c r="I28" s="16">
        <f>IFERROR(MAX(0,E28-TODAY()),0)</f>
        <v/>
      </c>
      <c r="J28" s="15">
        <f>IF(I28&lt;=0,"Expired",IF(I28&lt;=30,"Expiring Soon",IF(I28&lt;=90,"Renewal Due","Active")))</f>
        <v/>
      </c>
      <c r="K28" s="15" t="n"/>
      <c r="L28" s="17" t="n"/>
      <c r="M28" s="15" t="n"/>
    </row>
    <row r="29" ht="22" customHeight="1">
      <c r="B29" s="11" t="n"/>
      <c r="C29" s="11" t="n"/>
      <c r="D29" s="14" t="n"/>
      <c r="E29" s="14" t="n"/>
      <c r="F29" s="12">
        <f>IFERROR((E29-D29)/30,0)</f>
        <v/>
      </c>
      <c r="G29" s="13" t="n"/>
      <c r="H29" s="13">
        <f>IFERROR(G29*F29,0)</f>
        <v/>
      </c>
      <c r="I29" s="12">
        <f>IFERROR(MAX(0,E29-TODAY()),0)</f>
        <v/>
      </c>
      <c r="J29" s="11">
        <f>IF(I29&lt;=0,"Expired",IF(I29&lt;=30,"Expiring Soon",IF(I29&lt;=90,"Renewal Due","Active")))</f>
        <v/>
      </c>
      <c r="K29" s="11" t="n"/>
      <c r="L29" s="13" t="n"/>
      <c r="M29" s="11" t="n"/>
    </row>
    <row r="30" ht="22" customHeight="1">
      <c r="B30" s="15" t="n"/>
      <c r="C30" s="15" t="n"/>
      <c r="D30" s="18" t="n"/>
      <c r="E30" s="18" t="n"/>
      <c r="F30" s="16">
        <f>IFERROR((E30-D30)/30,0)</f>
        <v/>
      </c>
      <c r="G30" s="17" t="n"/>
      <c r="H30" s="17">
        <f>IFERROR(G30*F30,0)</f>
        <v/>
      </c>
      <c r="I30" s="16">
        <f>IFERROR(MAX(0,E30-TODAY()),0)</f>
        <v/>
      </c>
      <c r="J30" s="15">
        <f>IF(I30&lt;=0,"Expired",IF(I30&lt;=30,"Expiring Soon",IF(I30&lt;=90,"Renewal Due","Active")))</f>
        <v/>
      </c>
      <c r="K30" s="15" t="n"/>
      <c r="L30" s="17" t="n"/>
      <c r="M30" s="15" t="n"/>
    </row>
    <row r="31" ht="22" customHeight="1">
      <c r="B31" s="11" t="n"/>
      <c r="C31" s="11" t="n"/>
      <c r="D31" s="14" t="n"/>
      <c r="E31" s="14" t="n"/>
      <c r="F31" s="12">
        <f>IFERROR((E31-D31)/30,0)</f>
        <v/>
      </c>
      <c r="G31" s="13" t="n"/>
      <c r="H31" s="13">
        <f>IFERROR(G31*F31,0)</f>
        <v/>
      </c>
      <c r="I31" s="12">
        <f>IFERROR(MAX(0,E31-TODAY()),0)</f>
        <v/>
      </c>
      <c r="J31" s="11">
        <f>IF(I31&lt;=0,"Expired",IF(I31&lt;=30,"Expiring Soon",IF(I31&lt;=90,"Renewal Due","Active")))</f>
        <v/>
      </c>
      <c r="K31" s="11" t="n"/>
      <c r="L31" s="13" t="n"/>
      <c r="M31" s="11" t="n"/>
    </row>
    <row r="32" ht="22" customHeight="1">
      <c r="B32" s="15" t="n"/>
      <c r="C32" s="15" t="n"/>
      <c r="D32" s="18" t="n"/>
      <c r="E32" s="18" t="n"/>
      <c r="F32" s="16">
        <f>IFERROR((E32-D32)/30,0)</f>
        <v/>
      </c>
      <c r="G32" s="17" t="n"/>
      <c r="H32" s="17">
        <f>IFERROR(G32*F32,0)</f>
        <v/>
      </c>
      <c r="I32" s="16">
        <f>IFERROR(MAX(0,E32-TODAY()),0)</f>
        <v/>
      </c>
      <c r="J32" s="15">
        <f>IF(I32&lt;=0,"Expired",IF(I32&lt;=30,"Expiring Soon",IF(I32&lt;=90,"Renewal Due","Active")))</f>
        <v/>
      </c>
      <c r="K32" s="15" t="n"/>
      <c r="L32" s="17" t="n"/>
      <c r="M32" s="15" t="n"/>
    </row>
    <row r="33" ht="22" customHeight="1">
      <c r="B33" s="11" t="n"/>
      <c r="C33" s="11" t="n"/>
      <c r="D33" s="14" t="n"/>
      <c r="E33" s="14" t="n"/>
      <c r="F33" s="12">
        <f>IFERROR((E33-D33)/30,0)</f>
        <v/>
      </c>
      <c r="G33" s="13" t="n"/>
      <c r="H33" s="13">
        <f>IFERROR(G33*F33,0)</f>
        <v/>
      </c>
      <c r="I33" s="12">
        <f>IFERROR(MAX(0,E33-TODAY()),0)</f>
        <v/>
      </c>
      <c r="J33" s="11">
        <f>IF(I33&lt;=0,"Expired",IF(I33&lt;=30,"Expiring Soon",IF(I33&lt;=90,"Renewal Due","Active")))</f>
        <v/>
      </c>
      <c r="K33" s="11" t="n"/>
      <c r="L33" s="13" t="n"/>
      <c r="M33" s="11" t="n"/>
    </row>
    <row r="34" ht="22" customHeight="1">
      <c r="B34" s="15" t="n"/>
      <c r="C34" s="15" t="n"/>
      <c r="D34" s="18" t="n"/>
      <c r="E34" s="18" t="n"/>
      <c r="F34" s="16">
        <f>IFERROR((E34-D34)/30,0)</f>
        <v/>
      </c>
      <c r="G34" s="17" t="n"/>
      <c r="H34" s="17">
        <f>IFERROR(G34*F34,0)</f>
        <v/>
      </c>
      <c r="I34" s="16">
        <f>IFERROR(MAX(0,E34-TODAY()),0)</f>
        <v/>
      </c>
      <c r="J34" s="15">
        <f>IF(I34&lt;=0,"Expired",IF(I34&lt;=30,"Expiring Soon",IF(I34&lt;=90,"Renewal Due","Active")))</f>
        <v/>
      </c>
      <c r="K34" s="15" t="n"/>
      <c r="L34" s="17" t="n"/>
      <c r="M34" s="15" t="n"/>
    </row>
    <row r="35" ht="22" customHeight="1">
      <c r="B35" s="11" t="n"/>
      <c r="C35" s="11" t="n"/>
      <c r="D35" s="14" t="n"/>
      <c r="E35" s="14" t="n"/>
      <c r="F35" s="12">
        <f>IFERROR((E35-D35)/30,0)</f>
        <v/>
      </c>
      <c r="G35" s="13" t="n"/>
      <c r="H35" s="13">
        <f>IFERROR(G35*F35,0)</f>
        <v/>
      </c>
      <c r="I35" s="12">
        <f>IFERROR(MAX(0,E35-TODAY()),0)</f>
        <v/>
      </c>
      <c r="J35" s="11">
        <f>IF(I35&lt;=0,"Expired",IF(I35&lt;=30,"Expiring Soon",IF(I35&lt;=90,"Renewal Due","Active")))</f>
        <v/>
      </c>
      <c r="K35" s="11" t="n"/>
      <c r="L35" s="13" t="n"/>
      <c r="M35" s="11" t="n"/>
    </row>
    <row r="36" ht="22" customHeight="1">
      <c r="B36" s="15" t="n"/>
      <c r="C36" s="15" t="n"/>
      <c r="D36" s="18" t="n"/>
      <c r="E36" s="18" t="n"/>
      <c r="F36" s="16">
        <f>IFERROR((E36-D36)/30,0)</f>
        <v/>
      </c>
      <c r="G36" s="17" t="n"/>
      <c r="H36" s="17">
        <f>IFERROR(G36*F36,0)</f>
        <v/>
      </c>
      <c r="I36" s="16">
        <f>IFERROR(MAX(0,E36-TODAY()),0)</f>
        <v/>
      </c>
      <c r="J36" s="15">
        <f>IF(I36&lt;=0,"Expired",IF(I36&lt;=30,"Expiring Soon",IF(I36&lt;=90,"Renewal Due","Active")))</f>
        <v/>
      </c>
      <c r="K36" s="15" t="n"/>
      <c r="L36" s="17" t="n"/>
      <c r="M36" s="15" t="n"/>
    </row>
    <row r="37" ht="22" customHeight="1">
      <c r="B37" s="11" t="n"/>
      <c r="C37" s="11" t="n"/>
      <c r="D37" s="14" t="n"/>
      <c r="E37" s="14" t="n"/>
      <c r="F37" s="12">
        <f>IFERROR((E37-D37)/30,0)</f>
        <v/>
      </c>
      <c r="G37" s="13" t="n"/>
      <c r="H37" s="13">
        <f>IFERROR(G37*F37,0)</f>
        <v/>
      </c>
      <c r="I37" s="12">
        <f>IFERROR(MAX(0,E37-TODAY()),0)</f>
        <v/>
      </c>
      <c r="J37" s="11">
        <f>IF(I37&lt;=0,"Expired",IF(I37&lt;=30,"Expiring Soon",IF(I37&lt;=90,"Renewal Due","Active")))</f>
        <v/>
      </c>
      <c r="K37" s="11" t="n"/>
      <c r="L37" s="13" t="n"/>
      <c r="M37" s="11" t="n"/>
    </row>
    <row r="38" ht="22" customHeight="1">
      <c r="B38" s="15" t="n"/>
      <c r="C38" s="15" t="n"/>
      <c r="D38" s="18" t="n"/>
      <c r="E38" s="18" t="n"/>
      <c r="F38" s="16">
        <f>IFERROR((E38-D38)/30,0)</f>
        <v/>
      </c>
      <c r="G38" s="17" t="n"/>
      <c r="H38" s="17">
        <f>IFERROR(G38*F38,0)</f>
        <v/>
      </c>
      <c r="I38" s="16">
        <f>IFERROR(MAX(0,E38-TODAY()),0)</f>
        <v/>
      </c>
      <c r="J38" s="15">
        <f>IF(I38&lt;=0,"Expired",IF(I38&lt;=30,"Expiring Soon",IF(I38&lt;=90,"Renewal Due","Active")))</f>
        <v/>
      </c>
      <c r="K38" s="15" t="n"/>
      <c r="L38" s="17" t="n"/>
      <c r="M38" s="15" t="n"/>
    </row>
    <row r="39" ht="22" customHeight="1">
      <c r="B39" s="11" t="n"/>
      <c r="C39" s="11" t="n"/>
      <c r="D39" s="14" t="n"/>
      <c r="E39" s="14" t="n"/>
      <c r="F39" s="12">
        <f>IFERROR((E39-D39)/30,0)</f>
        <v/>
      </c>
      <c r="G39" s="13" t="n"/>
      <c r="H39" s="13">
        <f>IFERROR(G39*F39,0)</f>
        <v/>
      </c>
      <c r="I39" s="12">
        <f>IFERROR(MAX(0,E39-TODAY()),0)</f>
        <v/>
      </c>
      <c r="J39" s="11">
        <f>IF(I39&lt;=0,"Expired",IF(I39&lt;=30,"Expiring Soon",IF(I39&lt;=90,"Renewal Due","Active")))</f>
        <v/>
      </c>
      <c r="K39" s="11" t="n"/>
      <c r="L39" s="13" t="n"/>
      <c r="M39" s="11" t="n"/>
    </row>
    <row r="40" ht="22" customHeight="1">
      <c r="B40" s="15" t="n"/>
      <c r="C40" s="15" t="n"/>
      <c r="D40" s="18" t="n"/>
      <c r="E40" s="18" t="n"/>
      <c r="F40" s="16">
        <f>IFERROR((E40-D40)/30,0)</f>
        <v/>
      </c>
      <c r="G40" s="17" t="n"/>
      <c r="H40" s="17">
        <f>IFERROR(G40*F40,0)</f>
        <v/>
      </c>
      <c r="I40" s="16">
        <f>IFERROR(MAX(0,E40-TODAY()),0)</f>
        <v/>
      </c>
      <c r="J40" s="15">
        <f>IF(I40&lt;=0,"Expired",IF(I40&lt;=30,"Expiring Soon",IF(I40&lt;=90,"Renewal Due","Active")))</f>
        <v/>
      </c>
      <c r="K40" s="15" t="n"/>
      <c r="L40" s="17" t="n"/>
      <c r="M40" s="15" t="n"/>
    </row>
    <row r="41" ht="22" customHeight="1">
      <c r="B41" s="11" t="n"/>
      <c r="C41" s="11" t="n"/>
      <c r="D41" s="14" t="n"/>
      <c r="E41" s="14" t="n"/>
      <c r="F41" s="12">
        <f>IFERROR((E41-D41)/30,0)</f>
        <v/>
      </c>
      <c r="G41" s="13" t="n"/>
      <c r="H41" s="13">
        <f>IFERROR(G41*F41,0)</f>
        <v/>
      </c>
      <c r="I41" s="12">
        <f>IFERROR(MAX(0,E41-TODAY()),0)</f>
        <v/>
      </c>
      <c r="J41" s="11">
        <f>IF(I41&lt;=0,"Expired",IF(I41&lt;=30,"Expiring Soon",IF(I41&lt;=90,"Renewal Due","Active")))</f>
        <v/>
      </c>
      <c r="K41" s="11" t="n"/>
      <c r="L41" s="13" t="n"/>
      <c r="M41" s="11" t="n"/>
    </row>
    <row r="42" ht="22" customHeight="1">
      <c r="B42" s="15" t="n"/>
      <c r="C42" s="15" t="n"/>
      <c r="D42" s="18" t="n"/>
      <c r="E42" s="18" t="n"/>
      <c r="F42" s="16">
        <f>IFERROR((E42-D42)/30,0)</f>
        <v/>
      </c>
      <c r="G42" s="17" t="n"/>
      <c r="H42" s="17">
        <f>IFERROR(G42*F42,0)</f>
        <v/>
      </c>
      <c r="I42" s="16">
        <f>IFERROR(MAX(0,E42-TODAY()),0)</f>
        <v/>
      </c>
      <c r="J42" s="15">
        <f>IF(I42&lt;=0,"Expired",IF(I42&lt;=30,"Expiring Soon",IF(I42&lt;=90,"Renewal Due","Active")))</f>
        <v/>
      </c>
      <c r="K42" s="15" t="n"/>
      <c r="L42" s="17" t="n"/>
      <c r="M42" s="15" t="n"/>
    </row>
    <row r="43" ht="22" customHeight="1">
      <c r="B43" s="11" t="n"/>
      <c r="C43" s="11" t="n"/>
      <c r="D43" s="14" t="n"/>
      <c r="E43" s="14" t="n"/>
      <c r="F43" s="12">
        <f>IFERROR((E43-D43)/30,0)</f>
        <v/>
      </c>
      <c r="G43" s="13" t="n"/>
      <c r="H43" s="13">
        <f>IFERROR(G43*F43,0)</f>
        <v/>
      </c>
      <c r="I43" s="12">
        <f>IFERROR(MAX(0,E43-TODAY()),0)</f>
        <v/>
      </c>
      <c r="J43" s="11">
        <f>IF(I43&lt;=0,"Expired",IF(I43&lt;=30,"Expiring Soon",IF(I43&lt;=90,"Renewal Due","Active")))</f>
        <v/>
      </c>
      <c r="K43" s="11" t="n"/>
      <c r="L43" s="13" t="n"/>
      <c r="M43" s="11" t="n"/>
    </row>
    <row r="44" ht="22" customHeight="1">
      <c r="B44" s="15" t="n"/>
      <c r="C44" s="15" t="n"/>
      <c r="D44" s="18" t="n"/>
      <c r="E44" s="18" t="n"/>
      <c r="F44" s="16">
        <f>IFERROR((E44-D44)/30,0)</f>
        <v/>
      </c>
      <c r="G44" s="17" t="n"/>
      <c r="H44" s="17">
        <f>IFERROR(G44*F44,0)</f>
        <v/>
      </c>
      <c r="I44" s="16">
        <f>IFERROR(MAX(0,E44-TODAY()),0)</f>
        <v/>
      </c>
      <c r="J44" s="15">
        <f>IF(I44&lt;=0,"Expired",IF(I44&lt;=30,"Expiring Soon",IF(I44&lt;=90,"Renewal Due","Active")))</f>
        <v/>
      </c>
      <c r="K44" s="15" t="n"/>
      <c r="L44" s="17" t="n"/>
      <c r="M44" s="15" t="n"/>
    </row>
    <row r="45" ht="22" customHeight="1">
      <c r="B45" s="11" t="n"/>
      <c r="C45" s="11" t="n"/>
      <c r="D45" s="14" t="n"/>
      <c r="E45" s="14" t="n"/>
      <c r="F45" s="12">
        <f>IFERROR((E45-D45)/30,0)</f>
        <v/>
      </c>
      <c r="G45" s="13" t="n"/>
      <c r="H45" s="13">
        <f>IFERROR(G45*F45,0)</f>
        <v/>
      </c>
      <c r="I45" s="12">
        <f>IFERROR(MAX(0,E45-TODAY()),0)</f>
        <v/>
      </c>
      <c r="J45" s="11">
        <f>IF(I45&lt;=0,"Expired",IF(I45&lt;=30,"Expiring Soon",IF(I45&lt;=90,"Renewal Due","Active")))</f>
        <v/>
      </c>
      <c r="K45" s="11" t="n"/>
      <c r="L45" s="13" t="n"/>
      <c r="M45" s="11" t="n"/>
    </row>
    <row r="46" ht="22" customHeight="1">
      <c r="B46" s="15" t="n"/>
      <c r="C46" s="15" t="n"/>
      <c r="D46" s="18" t="n"/>
      <c r="E46" s="18" t="n"/>
      <c r="F46" s="16">
        <f>IFERROR((E46-D46)/30,0)</f>
        <v/>
      </c>
      <c r="G46" s="17" t="n"/>
      <c r="H46" s="17">
        <f>IFERROR(G46*F46,0)</f>
        <v/>
      </c>
      <c r="I46" s="16">
        <f>IFERROR(MAX(0,E46-TODAY()),0)</f>
        <v/>
      </c>
      <c r="J46" s="15">
        <f>IF(I46&lt;=0,"Expired",IF(I46&lt;=30,"Expiring Soon",IF(I46&lt;=90,"Renewal Due","Active")))</f>
        <v/>
      </c>
      <c r="K46" s="15" t="n"/>
      <c r="L46" s="17" t="n"/>
      <c r="M46" s="15" t="n"/>
    </row>
    <row r="47" ht="22" customHeight="1">
      <c r="B47" s="11" t="n"/>
      <c r="C47" s="11" t="n"/>
      <c r="D47" s="14" t="n"/>
      <c r="E47" s="14" t="n"/>
      <c r="F47" s="12">
        <f>IFERROR((E47-D47)/30,0)</f>
        <v/>
      </c>
      <c r="G47" s="13" t="n"/>
      <c r="H47" s="13">
        <f>IFERROR(G47*F47,0)</f>
        <v/>
      </c>
      <c r="I47" s="12">
        <f>IFERROR(MAX(0,E47-TODAY()),0)</f>
        <v/>
      </c>
      <c r="J47" s="11">
        <f>IF(I47&lt;=0,"Expired",IF(I47&lt;=30,"Expiring Soon",IF(I47&lt;=90,"Renewal Due","Active")))</f>
        <v/>
      </c>
      <c r="K47" s="11" t="n"/>
      <c r="L47" s="13" t="n"/>
      <c r="M47" s="11" t="n"/>
    </row>
    <row r="48" ht="22" customHeight="1">
      <c r="B48" s="15" t="n"/>
      <c r="C48" s="15" t="n"/>
      <c r="D48" s="18" t="n"/>
      <c r="E48" s="18" t="n"/>
      <c r="F48" s="16">
        <f>IFERROR((E48-D48)/30,0)</f>
        <v/>
      </c>
      <c r="G48" s="17" t="n"/>
      <c r="H48" s="17">
        <f>IFERROR(G48*F48,0)</f>
        <v/>
      </c>
      <c r="I48" s="16">
        <f>IFERROR(MAX(0,E48-TODAY()),0)</f>
        <v/>
      </c>
      <c r="J48" s="15">
        <f>IF(I48&lt;=0,"Expired",IF(I48&lt;=30,"Expiring Soon",IF(I48&lt;=90,"Renewal Due","Active")))</f>
        <v/>
      </c>
      <c r="K48" s="15" t="n"/>
      <c r="L48" s="17" t="n"/>
      <c r="M48" s="15" t="n"/>
    </row>
    <row r="49" ht="22" customHeight="1">
      <c r="B49" s="11" t="n"/>
      <c r="C49" s="11" t="n"/>
      <c r="D49" s="14" t="n"/>
      <c r="E49" s="14" t="n"/>
      <c r="F49" s="12">
        <f>IFERROR((E49-D49)/30,0)</f>
        <v/>
      </c>
      <c r="G49" s="13" t="n"/>
      <c r="H49" s="13">
        <f>IFERROR(G49*F49,0)</f>
        <v/>
      </c>
      <c r="I49" s="12">
        <f>IFERROR(MAX(0,E49-TODAY()),0)</f>
        <v/>
      </c>
      <c r="J49" s="11">
        <f>IF(I49&lt;=0,"Expired",IF(I49&lt;=30,"Expiring Soon",IF(I49&lt;=90,"Renewal Due","Active")))</f>
        <v/>
      </c>
      <c r="K49" s="11" t="n"/>
      <c r="L49" s="13" t="n"/>
      <c r="M49" s="11" t="n"/>
    </row>
    <row r="50" ht="22" customHeight="1">
      <c r="B50" s="15" t="n"/>
      <c r="C50" s="15" t="n"/>
      <c r="D50" s="18" t="n"/>
      <c r="E50" s="18" t="n"/>
      <c r="F50" s="16">
        <f>IFERROR((E50-D50)/30,0)</f>
        <v/>
      </c>
      <c r="G50" s="17" t="n"/>
      <c r="H50" s="17">
        <f>IFERROR(G50*F50,0)</f>
        <v/>
      </c>
      <c r="I50" s="16">
        <f>IFERROR(MAX(0,E50-TODAY()),0)</f>
        <v/>
      </c>
      <c r="J50" s="15">
        <f>IF(I50&lt;=0,"Expired",IF(I50&lt;=30,"Expiring Soon",IF(I50&lt;=90,"Renewal Due","Active")))</f>
        <v/>
      </c>
      <c r="K50" s="15" t="n"/>
      <c r="L50" s="17" t="n"/>
      <c r="M50" s="15" t="n"/>
    </row>
    <row r="51" ht="22" customHeight="1">
      <c r="B51" s="11" t="n"/>
      <c r="C51" s="11" t="n"/>
      <c r="D51" s="14" t="n"/>
      <c r="E51" s="14" t="n"/>
      <c r="F51" s="12">
        <f>IFERROR((E51-D51)/30,0)</f>
        <v/>
      </c>
      <c r="G51" s="13" t="n"/>
      <c r="H51" s="13">
        <f>IFERROR(G51*F51,0)</f>
        <v/>
      </c>
      <c r="I51" s="12">
        <f>IFERROR(MAX(0,E51-TODAY()),0)</f>
        <v/>
      </c>
      <c r="J51" s="11">
        <f>IF(I51&lt;=0,"Expired",IF(I51&lt;=30,"Expiring Soon",IF(I51&lt;=90,"Renewal Due","Active")))</f>
        <v/>
      </c>
      <c r="K51" s="11" t="n"/>
      <c r="L51" s="13" t="n"/>
      <c r="M51" s="11" t="n"/>
    </row>
    <row r="52" ht="22" customHeight="1">
      <c r="B52" s="15" t="n"/>
      <c r="C52" s="15" t="n"/>
      <c r="D52" s="18" t="n"/>
      <c r="E52" s="18" t="n"/>
      <c r="F52" s="16">
        <f>IFERROR((E52-D52)/30,0)</f>
        <v/>
      </c>
      <c r="G52" s="17" t="n"/>
      <c r="H52" s="17">
        <f>IFERROR(G52*F52,0)</f>
        <v/>
      </c>
      <c r="I52" s="16">
        <f>IFERROR(MAX(0,E52-TODAY()),0)</f>
        <v/>
      </c>
      <c r="J52" s="15">
        <f>IF(I52&lt;=0,"Expired",IF(I52&lt;=30,"Expiring Soon",IF(I52&lt;=90,"Renewal Due","Active")))</f>
        <v/>
      </c>
      <c r="K52" s="15" t="n"/>
      <c r="L52" s="17" t="n"/>
      <c r="M52" s="15" t="n"/>
    </row>
    <row r="53" ht="22" customHeight="1">
      <c r="B53" s="11" t="n"/>
      <c r="C53" s="11" t="n"/>
      <c r="D53" s="14" t="n"/>
      <c r="E53" s="14" t="n"/>
      <c r="F53" s="12">
        <f>IFERROR((E53-D53)/30,0)</f>
        <v/>
      </c>
      <c r="G53" s="13" t="n"/>
      <c r="H53" s="13">
        <f>IFERROR(G53*F53,0)</f>
        <v/>
      </c>
      <c r="I53" s="12">
        <f>IFERROR(MAX(0,E53-TODAY()),0)</f>
        <v/>
      </c>
      <c r="J53" s="11">
        <f>IF(I53&lt;=0,"Expired",IF(I53&lt;=30,"Expiring Soon",IF(I53&lt;=90,"Renewal Due","Active")))</f>
        <v/>
      </c>
      <c r="K53" s="11" t="n"/>
      <c r="L53" s="13" t="n"/>
      <c r="M53" s="11" t="n"/>
    </row>
    <row r="54" ht="22" customHeight="1">
      <c r="B54" s="15" t="n"/>
      <c r="C54" s="15" t="n"/>
      <c r="D54" s="18" t="n"/>
      <c r="E54" s="18" t="n"/>
      <c r="F54" s="16">
        <f>IFERROR((E54-D54)/30,0)</f>
        <v/>
      </c>
      <c r="G54" s="17" t="n"/>
      <c r="H54" s="17">
        <f>IFERROR(G54*F54,0)</f>
        <v/>
      </c>
      <c r="I54" s="16">
        <f>IFERROR(MAX(0,E54-TODAY()),0)</f>
        <v/>
      </c>
      <c r="J54" s="15">
        <f>IF(I54&lt;=0,"Expired",IF(I54&lt;=30,"Expiring Soon",IF(I54&lt;=90,"Renewal Due","Active")))</f>
        <v/>
      </c>
      <c r="K54" s="15" t="n"/>
      <c r="L54" s="17" t="n"/>
      <c r="M54" s="15" t="n"/>
    </row>
    <row r="55" ht="22" customHeight="1">
      <c r="B55" s="11" t="n"/>
      <c r="C55" s="11" t="n"/>
      <c r="D55" s="14" t="n"/>
      <c r="E55" s="14" t="n"/>
      <c r="F55" s="12">
        <f>IFERROR((E55-D55)/30,0)</f>
        <v/>
      </c>
      <c r="G55" s="13" t="n"/>
      <c r="H55" s="13">
        <f>IFERROR(G55*F55,0)</f>
        <v/>
      </c>
      <c r="I55" s="12">
        <f>IFERROR(MAX(0,E55-TODAY()),0)</f>
        <v/>
      </c>
      <c r="J55" s="11">
        <f>IF(I55&lt;=0,"Expired",IF(I55&lt;=30,"Expiring Soon",IF(I55&lt;=90,"Renewal Due","Active")))</f>
        <v/>
      </c>
      <c r="K55" s="11" t="n"/>
      <c r="L55" s="13" t="n"/>
      <c r="M55" s="11" t="n"/>
    </row>
    <row r="56" ht="22" customHeight="1">
      <c r="B56" s="15" t="n"/>
      <c r="C56" s="15" t="n"/>
      <c r="D56" s="18" t="n"/>
      <c r="E56" s="18" t="n"/>
      <c r="F56" s="16">
        <f>IFERROR((E56-D56)/30,0)</f>
        <v/>
      </c>
      <c r="G56" s="17" t="n"/>
      <c r="H56" s="17">
        <f>IFERROR(G56*F56,0)</f>
        <v/>
      </c>
      <c r="I56" s="16">
        <f>IFERROR(MAX(0,E56-TODAY()),0)</f>
        <v/>
      </c>
      <c r="J56" s="15">
        <f>IF(I56&lt;=0,"Expired",IF(I56&lt;=30,"Expiring Soon",IF(I56&lt;=90,"Renewal Due","Active")))</f>
        <v/>
      </c>
      <c r="K56" s="15" t="n"/>
      <c r="L56" s="17" t="n"/>
      <c r="M56" s="15" t="n"/>
    </row>
    <row r="57" ht="22" customHeight="1">
      <c r="B57" s="11" t="n"/>
      <c r="C57" s="11" t="n"/>
      <c r="D57" s="14" t="n"/>
      <c r="E57" s="14" t="n"/>
      <c r="F57" s="12">
        <f>IFERROR((E57-D57)/30,0)</f>
        <v/>
      </c>
      <c r="G57" s="13" t="n"/>
      <c r="H57" s="13">
        <f>IFERROR(G57*F57,0)</f>
        <v/>
      </c>
      <c r="I57" s="12">
        <f>IFERROR(MAX(0,E57-TODAY()),0)</f>
        <v/>
      </c>
      <c r="J57" s="11">
        <f>IF(I57&lt;=0,"Expired",IF(I57&lt;=30,"Expiring Soon",IF(I57&lt;=90,"Renewal Due","Active")))</f>
        <v/>
      </c>
      <c r="K57" s="11" t="n"/>
      <c r="L57" s="13" t="n"/>
      <c r="M57" s="11" t="n"/>
    </row>
    <row r="58" ht="22" customHeight="1">
      <c r="B58" s="15" t="n"/>
      <c r="C58" s="15" t="n"/>
      <c r="D58" s="18" t="n"/>
      <c r="E58" s="18" t="n"/>
      <c r="F58" s="16">
        <f>IFERROR((E58-D58)/30,0)</f>
        <v/>
      </c>
      <c r="G58" s="17" t="n"/>
      <c r="H58" s="17">
        <f>IFERROR(G58*F58,0)</f>
        <v/>
      </c>
      <c r="I58" s="16">
        <f>IFERROR(MAX(0,E58-TODAY()),0)</f>
        <v/>
      </c>
      <c r="J58" s="15">
        <f>IF(I58&lt;=0,"Expired",IF(I58&lt;=30,"Expiring Soon",IF(I58&lt;=90,"Renewal Due","Active")))</f>
        <v/>
      </c>
      <c r="K58" s="15" t="n"/>
      <c r="L58" s="17" t="n"/>
      <c r="M58" s="15" t="n"/>
    </row>
    <row r="59" ht="22" customHeight="1">
      <c r="B59" s="11" t="n"/>
      <c r="C59" s="11" t="n"/>
      <c r="D59" s="14" t="n"/>
      <c r="E59" s="14" t="n"/>
      <c r="F59" s="12">
        <f>IFERROR((E59-D59)/30,0)</f>
        <v/>
      </c>
      <c r="G59" s="13" t="n"/>
      <c r="H59" s="13">
        <f>IFERROR(G59*F59,0)</f>
        <v/>
      </c>
      <c r="I59" s="12">
        <f>IFERROR(MAX(0,E59-TODAY()),0)</f>
        <v/>
      </c>
      <c r="J59" s="11">
        <f>IF(I59&lt;=0,"Expired",IF(I59&lt;=30,"Expiring Soon",IF(I59&lt;=90,"Renewal Due","Active")))</f>
        <v/>
      </c>
      <c r="K59" s="11" t="n"/>
      <c r="L59" s="13" t="n"/>
      <c r="M59" s="11" t="n"/>
    </row>
    <row r="60" ht="22" customHeight="1">
      <c r="B60" s="15" t="n"/>
      <c r="C60" s="15" t="n"/>
      <c r="D60" s="18" t="n"/>
      <c r="E60" s="18" t="n"/>
      <c r="F60" s="16">
        <f>IFERROR((E60-D60)/30,0)</f>
        <v/>
      </c>
      <c r="G60" s="17" t="n"/>
      <c r="H60" s="17">
        <f>IFERROR(G60*F60,0)</f>
        <v/>
      </c>
      <c r="I60" s="16">
        <f>IFERROR(MAX(0,E60-TODAY()),0)</f>
        <v/>
      </c>
      <c r="J60" s="15">
        <f>IF(I60&lt;=0,"Expired",IF(I60&lt;=30,"Expiring Soon",IF(I60&lt;=90,"Renewal Due","Active")))</f>
        <v/>
      </c>
      <c r="K60" s="15" t="n"/>
      <c r="L60" s="17" t="n"/>
      <c r="M60" s="15" t="n"/>
    </row>
    <row r="61" ht="22" customHeight="1">
      <c r="B61" s="11" t="n"/>
      <c r="C61" s="11" t="n"/>
      <c r="D61" s="14" t="n"/>
      <c r="E61" s="14" t="n"/>
      <c r="F61" s="12">
        <f>IFERROR((E61-D61)/30,0)</f>
        <v/>
      </c>
      <c r="G61" s="13" t="n"/>
      <c r="H61" s="13">
        <f>IFERROR(G61*F61,0)</f>
        <v/>
      </c>
      <c r="I61" s="12">
        <f>IFERROR(MAX(0,E61-TODAY()),0)</f>
        <v/>
      </c>
      <c r="J61" s="11">
        <f>IF(I61&lt;=0,"Expired",IF(I61&lt;=30,"Expiring Soon",IF(I61&lt;=90,"Renewal Due","Active")))</f>
        <v/>
      </c>
      <c r="K61" s="11" t="n"/>
      <c r="L61" s="13" t="n"/>
      <c r="M61" s="11" t="n"/>
    </row>
    <row r="62" ht="22" customHeight="1">
      <c r="B62" s="15" t="n"/>
      <c r="C62" s="15" t="n"/>
      <c r="D62" s="18" t="n"/>
      <c r="E62" s="18" t="n"/>
      <c r="F62" s="16">
        <f>IFERROR((E62-D62)/30,0)</f>
        <v/>
      </c>
      <c r="G62" s="17" t="n"/>
      <c r="H62" s="17">
        <f>IFERROR(G62*F62,0)</f>
        <v/>
      </c>
      <c r="I62" s="16">
        <f>IFERROR(MAX(0,E62-TODAY()),0)</f>
        <v/>
      </c>
      <c r="J62" s="15">
        <f>IF(I62&lt;=0,"Expired",IF(I62&lt;=30,"Expiring Soon",IF(I62&lt;=90,"Renewal Due","Active")))</f>
        <v/>
      </c>
      <c r="K62" s="15" t="n"/>
      <c r="L62" s="17" t="n"/>
      <c r="M62" s="15" t="n"/>
    </row>
    <row r="63" ht="22" customHeight="1">
      <c r="B63" s="11" t="n"/>
      <c r="C63" s="11" t="n"/>
      <c r="D63" s="14" t="n"/>
      <c r="E63" s="14" t="n"/>
      <c r="F63" s="12">
        <f>IFERROR((E63-D63)/30,0)</f>
        <v/>
      </c>
      <c r="G63" s="13" t="n"/>
      <c r="H63" s="13">
        <f>IFERROR(G63*F63,0)</f>
        <v/>
      </c>
      <c r="I63" s="12">
        <f>IFERROR(MAX(0,E63-TODAY()),0)</f>
        <v/>
      </c>
      <c r="J63" s="11">
        <f>IF(I63&lt;=0,"Expired",IF(I63&lt;=30,"Expiring Soon",IF(I63&lt;=90,"Renewal Due","Active")))</f>
        <v/>
      </c>
      <c r="K63" s="11" t="n"/>
      <c r="L63" s="13" t="n"/>
      <c r="M63" s="11" t="n"/>
    </row>
    <row r="64" ht="22" customHeight="1">
      <c r="B64" s="15" t="n"/>
      <c r="C64" s="15" t="n"/>
      <c r="D64" s="18" t="n"/>
      <c r="E64" s="18" t="n"/>
      <c r="F64" s="16">
        <f>IFERROR((E64-D64)/30,0)</f>
        <v/>
      </c>
      <c r="G64" s="17" t="n"/>
      <c r="H64" s="17">
        <f>IFERROR(G64*F64,0)</f>
        <v/>
      </c>
      <c r="I64" s="16">
        <f>IFERROR(MAX(0,E64-TODAY()),0)</f>
        <v/>
      </c>
      <c r="J64" s="15">
        <f>IF(I64&lt;=0,"Expired",IF(I64&lt;=30,"Expiring Soon",IF(I64&lt;=90,"Renewal Due","Active")))</f>
        <v/>
      </c>
      <c r="K64" s="15" t="n"/>
      <c r="L64" s="17" t="n"/>
      <c r="M64" s="15" t="n"/>
    </row>
    <row r="65" ht="22" customHeight="1">
      <c r="B65" s="11" t="n"/>
      <c r="C65" s="11" t="n"/>
      <c r="D65" s="14" t="n"/>
      <c r="E65" s="14" t="n"/>
      <c r="F65" s="12">
        <f>IFERROR((E65-D65)/30,0)</f>
        <v/>
      </c>
      <c r="G65" s="13" t="n"/>
      <c r="H65" s="13">
        <f>IFERROR(G65*F65,0)</f>
        <v/>
      </c>
      <c r="I65" s="12">
        <f>IFERROR(MAX(0,E65-TODAY()),0)</f>
        <v/>
      </c>
      <c r="J65" s="11">
        <f>IF(I65&lt;=0,"Expired",IF(I65&lt;=30,"Expiring Soon",IF(I65&lt;=90,"Renewal Due","Active")))</f>
        <v/>
      </c>
      <c r="K65" s="11" t="n"/>
      <c r="L65" s="13" t="n"/>
      <c r="M65" s="11" t="n"/>
    </row>
    <row r="66" ht="22" customHeight="1">
      <c r="B66" s="15" t="n"/>
      <c r="C66" s="15" t="n"/>
      <c r="D66" s="18" t="n"/>
      <c r="E66" s="18" t="n"/>
      <c r="F66" s="16">
        <f>IFERROR((E66-D66)/30,0)</f>
        <v/>
      </c>
      <c r="G66" s="17" t="n"/>
      <c r="H66" s="17">
        <f>IFERROR(G66*F66,0)</f>
        <v/>
      </c>
      <c r="I66" s="16">
        <f>IFERROR(MAX(0,E66-TODAY()),0)</f>
        <v/>
      </c>
      <c r="J66" s="15">
        <f>IF(I66&lt;=0,"Expired",IF(I66&lt;=30,"Expiring Soon",IF(I66&lt;=90,"Renewal Due","Active")))</f>
        <v/>
      </c>
      <c r="K66" s="15" t="n"/>
      <c r="L66" s="17" t="n"/>
      <c r="M66" s="15" t="n"/>
    </row>
    <row r="67" ht="22" customHeight="1">
      <c r="B67" s="11" t="n"/>
      <c r="C67" s="11" t="n"/>
      <c r="D67" s="14" t="n"/>
      <c r="E67" s="14" t="n"/>
      <c r="F67" s="12">
        <f>IFERROR((E67-D67)/30,0)</f>
        <v/>
      </c>
      <c r="G67" s="13" t="n"/>
      <c r="H67" s="13">
        <f>IFERROR(G67*F67,0)</f>
        <v/>
      </c>
      <c r="I67" s="12">
        <f>IFERROR(MAX(0,E67-TODAY()),0)</f>
        <v/>
      </c>
      <c r="J67" s="11">
        <f>IF(I67&lt;=0,"Expired",IF(I67&lt;=30,"Expiring Soon",IF(I67&lt;=90,"Renewal Due","Active")))</f>
        <v/>
      </c>
      <c r="K67" s="11" t="n"/>
      <c r="L67" s="13" t="n"/>
      <c r="M67" s="11" t="n"/>
    </row>
    <row r="68" ht="22" customHeight="1">
      <c r="B68" s="15" t="n"/>
      <c r="C68" s="15" t="n"/>
      <c r="D68" s="18" t="n"/>
      <c r="E68" s="18" t="n"/>
      <c r="F68" s="16">
        <f>IFERROR((E68-D68)/30,0)</f>
        <v/>
      </c>
      <c r="G68" s="17" t="n"/>
      <c r="H68" s="17">
        <f>IFERROR(G68*F68,0)</f>
        <v/>
      </c>
      <c r="I68" s="16">
        <f>IFERROR(MAX(0,E68-TODAY()),0)</f>
        <v/>
      </c>
      <c r="J68" s="15">
        <f>IF(I68&lt;=0,"Expired",IF(I68&lt;=30,"Expiring Soon",IF(I68&lt;=90,"Renewal Due","Active")))</f>
        <v/>
      </c>
      <c r="K68" s="15" t="n"/>
      <c r="L68" s="17" t="n"/>
      <c r="M68" s="15" t="n"/>
    </row>
    <row r="69" ht="22" customHeight="1">
      <c r="B69" s="11" t="n"/>
      <c r="C69" s="11" t="n"/>
      <c r="D69" s="14" t="n"/>
      <c r="E69" s="14" t="n"/>
      <c r="F69" s="12">
        <f>IFERROR((E69-D69)/30,0)</f>
        <v/>
      </c>
      <c r="G69" s="13" t="n"/>
      <c r="H69" s="13">
        <f>IFERROR(G69*F69,0)</f>
        <v/>
      </c>
      <c r="I69" s="12">
        <f>IFERROR(MAX(0,E69-TODAY()),0)</f>
        <v/>
      </c>
      <c r="J69" s="11">
        <f>IF(I69&lt;=0,"Expired",IF(I69&lt;=30,"Expiring Soon",IF(I69&lt;=90,"Renewal Due","Active")))</f>
        <v/>
      </c>
      <c r="K69" s="11" t="n"/>
      <c r="L69" s="13" t="n"/>
      <c r="M69" s="11" t="n"/>
    </row>
    <row r="70" ht="22" customHeight="1">
      <c r="B70" s="15" t="n"/>
      <c r="C70" s="15" t="n"/>
      <c r="D70" s="18" t="n"/>
      <c r="E70" s="18" t="n"/>
      <c r="F70" s="16">
        <f>IFERROR((E70-D70)/30,0)</f>
        <v/>
      </c>
      <c r="G70" s="17" t="n"/>
      <c r="H70" s="17">
        <f>IFERROR(G70*F70,0)</f>
        <v/>
      </c>
      <c r="I70" s="16">
        <f>IFERROR(MAX(0,E70-TODAY()),0)</f>
        <v/>
      </c>
      <c r="J70" s="15">
        <f>IF(I70&lt;=0,"Expired",IF(I70&lt;=30,"Expiring Soon",IF(I70&lt;=90,"Renewal Due","Active")))</f>
        <v/>
      </c>
      <c r="K70" s="15" t="n"/>
      <c r="L70" s="17" t="n"/>
      <c r="M70" s="15" t="n"/>
    </row>
    <row r="71" ht="22" customHeight="1">
      <c r="B71" s="11" t="n"/>
      <c r="C71" s="11" t="n"/>
      <c r="D71" s="14" t="n"/>
      <c r="E71" s="14" t="n"/>
      <c r="F71" s="12">
        <f>IFERROR((E71-D71)/30,0)</f>
        <v/>
      </c>
      <c r="G71" s="13" t="n"/>
      <c r="H71" s="13">
        <f>IFERROR(G71*F71,0)</f>
        <v/>
      </c>
      <c r="I71" s="12">
        <f>IFERROR(MAX(0,E71-TODAY()),0)</f>
        <v/>
      </c>
      <c r="J71" s="11">
        <f>IF(I71&lt;=0,"Expired",IF(I71&lt;=30,"Expiring Soon",IF(I71&lt;=90,"Renewal Due","Active")))</f>
        <v/>
      </c>
      <c r="K71" s="11" t="n"/>
      <c r="L71" s="13" t="n"/>
      <c r="M71" s="11" t="n"/>
    </row>
    <row r="72" ht="22" customHeight="1">
      <c r="B72" s="15" t="n"/>
      <c r="C72" s="15" t="n"/>
      <c r="D72" s="18" t="n"/>
      <c r="E72" s="18" t="n"/>
      <c r="F72" s="16">
        <f>IFERROR((E72-D72)/30,0)</f>
        <v/>
      </c>
      <c r="G72" s="17" t="n"/>
      <c r="H72" s="17">
        <f>IFERROR(G72*F72,0)</f>
        <v/>
      </c>
      <c r="I72" s="16">
        <f>IFERROR(MAX(0,E72-TODAY()),0)</f>
        <v/>
      </c>
      <c r="J72" s="15">
        <f>IF(I72&lt;=0,"Expired",IF(I72&lt;=30,"Expiring Soon",IF(I72&lt;=90,"Renewal Due","Active")))</f>
        <v/>
      </c>
      <c r="K72" s="15" t="n"/>
      <c r="L72" s="17" t="n"/>
      <c r="M72" s="15" t="n"/>
    </row>
    <row r="73" ht="22" customHeight="1">
      <c r="B73" s="11" t="n"/>
      <c r="C73" s="11" t="n"/>
      <c r="D73" s="14" t="n"/>
      <c r="E73" s="14" t="n"/>
      <c r="F73" s="12">
        <f>IFERROR((E73-D73)/30,0)</f>
        <v/>
      </c>
      <c r="G73" s="13" t="n"/>
      <c r="H73" s="13">
        <f>IFERROR(G73*F73,0)</f>
        <v/>
      </c>
      <c r="I73" s="12">
        <f>IFERROR(MAX(0,E73-TODAY()),0)</f>
        <v/>
      </c>
      <c r="J73" s="11">
        <f>IF(I73&lt;=0,"Expired",IF(I73&lt;=30,"Expiring Soon",IF(I73&lt;=90,"Renewal Due","Active")))</f>
        <v/>
      </c>
      <c r="K73" s="11" t="n"/>
      <c r="L73" s="13" t="n"/>
      <c r="M73" s="11" t="n"/>
    </row>
    <row r="74" ht="22" customHeight="1">
      <c r="B74" s="15" t="n"/>
      <c r="C74" s="15" t="n"/>
      <c r="D74" s="18" t="n"/>
      <c r="E74" s="18" t="n"/>
      <c r="F74" s="16">
        <f>IFERROR((E74-D74)/30,0)</f>
        <v/>
      </c>
      <c r="G74" s="17" t="n"/>
      <c r="H74" s="17">
        <f>IFERROR(G74*F74,0)</f>
        <v/>
      </c>
      <c r="I74" s="16">
        <f>IFERROR(MAX(0,E74-TODAY()),0)</f>
        <v/>
      </c>
      <c r="J74" s="15">
        <f>IF(I74&lt;=0,"Expired",IF(I74&lt;=30,"Expiring Soon",IF(I74&lt;=90,"Renewal Due","Active")))</f>
        <v/>
      </c>
      <c r="K74" s="15" t="n"/>
      <c r="L74" s="17" t="n"/>
      <c r="M74" s="15" t="n"/>
    </row>
    <row r="75" ht="22" customHeight="1">
      <c r="B75" s="11" t="n"/>
      <c r="C75" s="11" t="n"/>
      <c r="D75" s="14" t="n"/>
      <c r="E75" s="14" t="n"/>
      <c r="F75" s="12">
        <f>IFERROR((E75-D75)/30,0)</f>
        <v/>
      </c>
      <c r="G75" s="13" t="n"/>
      <c r="H75" s="13">
        <f>IFERROR(G75*F75,0)</f>
        <v/>
      </c>
      <c r="I75" s="12">
        <f>IFERROR(MAX(0,E75-TODAY()),0)</f>
        <v/>
      </c>
      <c r="J75" s="11">
        <f>IF(I75&lt;=0,"Expired",IF(I75&lt;=30,"Expiring Soon",IF(I75&lt;=90,"Renewal Due","Active")))</f>
        <v/>
      </c>
      <c r="K75" s="11" t="n"/>
      <c r="L75" s="13" t="n"/>
      <c r="M75" s="11" t="n"/>
    </row>
    <row r="76" ht="22" customHeight="1">
      <c r="B76" s="15" t="n"/>
      <c r="C76" s="15" t="n"/>
      <c r="D76" s="18" t="n"/>
      <c r="E76" s="18" t="n"/>
      <c r="F76" s="16">
        <f>IFERROR((E76-D76)/30,0)</f>
        <v/>
      </c>
      <c r="G76" s="17" t="n"/>
      <c r="H76" s="17">
        <f>IFERROR(G76*F76,0)</f>
        <v/>
      </c>
      <c r="I76" s="16">
        <f>IFERROR(MAX(0,E76-TODAY()),0)</f>
        <v/>
      </c>
      <c r="J76" s="15">
        <f>IF(I76&lt;=0,"Expired",IF(I76&lt;=30,"Expiring Soon",IF(I76&lt;=90,"Renewal Due","Active")))</f>
        <v/>
      </c>
      <c r="K76" s="15" t="n"/>
      <c r="L76" s="17" t="n"/>
      <c r="M76" s="15" t="n"/>
    </row>
    <row r="77" ht="22" customHeight="1">
      <c r="B77" s="11" t="n"/>
      <c r="C77" s="11" t="n"/>
      <c r="D77" s="14" t="n"/>
      <c r="E77" s="14" t="n"/>
      <c r="F77" s="12">
        <f>IFERROR((E77-D77)/30,0)</f>
        <v/>
      </c>
      <c r="G77" s="13" t="n"/>
      <c r="H77" s="13">
        <f>IFERROR(G77*F77,0)</f>
        <v/>
      </c>
      <c r="I77" s="12">
        <f>IFERROR(MAX(0,E77-TODAY()),0)</f>
        <v/>
      </c>
      <c r="J77" s="11">
        <f>IF(I77&lt;=0,"Expired",IF(I77&lt;=30,"Expiring Soon",IF(I77&lt;=90,"Renewal Due","Active")))</f>
        <v/>
      </c>
      <c r="K77" s="11" t="n"/>
      <c r="L77" s="13" t="n"/>
      <c r="M77" s="11" t="n"/>
    </row>
    <row r="78" ht="22" customHeight="1">
      <c r="B78" s="15" t="n"/>
      <c r="C78" s="15" t="n"/>
      <c r="D78" s="18" t="n"/>
      <c r="E78" s="18" t="n"/>
      <c r="F78" s="16">
        <f>IFERROR((E78-D78)/30,0)</f>
        <v/>
      </c>
      <c r="G78" s="17" t="n"/>
      <c r="H78" s="17">
        <f>IFERROR(G78*F78,0)</f>
        <v/>
      </c>
      <c r="I78" s="16">
        <f>IFERROR(MAX(0,E78-TODAY()),0)</f>
        <v/>
      </c>
      <c r="J78" s="15">
        <f>IF(I78&lt;=0,"Expired",IF(I78&lt;=30,"Expiring Soon",IF(I78&lt;=90,"Renewal Due","Active")))</f>
        <v/>
      </c>
      <c r="K78" s="15" t="n"/>
      <c r="L78" s="17" t="n"/>
      <c r="M78" s="15" t="n"/>
    </row>
    <row r="79" ht="22" customHeight="1">
      <c r="B79" s="11" t="n"/>
      <c r="C79" s="11" t="n"/>
      <c r="D79" s="14" t="n"/>
      <c r="E79" s="14" t="n"/>
      <c r="F79" s="12">
        <f>IFERROR((E79-D79)/30,0)</f>
        <v/>
      </c>
      <c r="G79" s="13" t="n"/>
      <c r="H79" s="13">
        <f>IFERROR(G79*F79,0)</f>
        <v/>
      </c>
      <c r="I79" s="12">
        <f>IFERROR(MAX(0,E79-TODAY()),0)</f>
        <v/>
      </c>
      <c r="J79" s="11">
        <f>IF(I79&lt;=0,"Expired",IF(I79&lt;=30,"Expiring Soon",IF(I79&lt;=90,"Renewal Due","Active")))</f>
        <v/>
      </c>
      <c r="K79" s="11" t="n"/>
      <c r="L79" s="13" t="n"/>
      <c r="M79" s="11" t="n"/>
    </row>
    <row r="80" ht="22" customHeight="1">
      <c r="B80" s="15" t="n"/>
      <c r="C80" s="15" t="n"/>
      <c r="D80" s="18" t="n"/>
      <c r="E80" s="18" t="n"/>
      <c r="F80" s="16">
        <f>IFERROR((E80-D80)/30,0)</f>
        <v/>
      </c>
      <c r="G80" s="17" t="n"/>
      <c r="H80" s="17">
        <f>IFERROR(G80*F80,0)</f>
        <v/>
      </c>
      <c r="I80" s="16">
        <f>IFERROR(MAX(0,E80-TODAY()),0)</f>
        <v/>
      </c>
      <c r="J80" s="15">
        <f>IF(I80&lt;=0,"Expired",IF(I80&lt;=30,"Expiring Soon",IF(I80&lt;=90,"Renewal Due","Active")))</f>
        <v/>
      </c>
      <c r="K80" s="15" t="n"/>
      <c r="L80" s="17" t="n"/>
      <c r="M80" s="15" t="n"/>
    </row>
    <row r="81" ht="22" customHeight="1">
      <c r="B81" s="11" t="n"/>
      <c r="C81" s="11" t="n"/>
      <c r="D81" s="14" t="n"/>
      <c r="E81" s="14" t="n"/>
      <c r="F81" s="12">
        <f>IFERROR((E81-D81)/30,0)</f>
        <v/>
      </c>
      <c r="G81" s="13" t="n"/>
      <c r="H81" s="13">
        <f>IFERROR(G81*F81,0)</f>
        <v/>
      </c>
      <c r="I81" s="12">
        <f>IFERROR(MAX(0,E81-TODAY()),0)</f>
        <v/>
      </c>
      <c r="J81" s="11">
        <f>IF(I81&lt;=0,"Expired",IF(I81&lt;=30,"Expiring Soon",IF(I81&lt;=90,"Renewal Due","Active")))</f>
        <v/>
      </c>
      <c r="K81" s="11" t="n"/>
      <c r="L81" s="13" t="n"/>
      <c r="M81" s="11" t="n"/>
    </row>
    <row r="82" ht="22" customHeight="1">
      <c r="B82" s="15" t="n"/>
      <c r="C82" s="15" t="n"/>
      <c r="D82" s="18" t="n"/>
      <c r="E82" s="18" t="n"/>
      <c r="F82" s="16">
        <f>IFERROR((E82-D82)/30,0)</f>
        <v/>
      </c>
      <c r="G82" s="17" t="n"/>
      <c r="H82" s="17">
        <f>IFERROR(G82*F82,0)</f>
        <v/>
      </c>
      <c r="I82" s="16">
        <f>IFERROR(MAX(0,E82-TODAY()),0)</f>
        <v/>
      </c>
      <c r="J82" s="15">
        <f>IF(I82&lt;=0,"Expired",IF(I82&lt;=30,"Expiring Soon",IF(I82&lt;=90,"Renewal Due","Active")))</f>
        <v/>
      </c>
      <c r="K82" s="15" t="n"/>
      <c r="L82" s="17" t="n"/>
      <c r="M82" s="15" t="n"/>
    </row>
    <row r="83" ht="22" customHeight="1">
      <c r="B83" s="11" t="n"/>
      <c r="C83" s="11" t="n"/>
      <c r="D83" s="14" t="n"/>
      <c r="E83" s="14" t="n"/>
      <c r="F83" s="12">
        <f>IFERROR((E83-D83)/30,0)</f>
        <v/>
      </c>
      <c r="G83" s="13" t="n"/>
      <c r="H83" s="13">
        <f>IFERROR(G83*F83,0)</f>
        <v/>
      </c>
      <c r="I83" s="12">
        <f>IFERROR(MAX(0,E83-TODAY()),0)</f>
        <v/>
      </c>
      <c r="J83" s="11">
        <f>IF(I83&lt;=0,"Expired",IF(I83&lt;=30,"Expiring Soon",IF(I83&lt;=90,"Renewal Due","Active")))</f>
        <v/>
      </c>
      <c r="K83" s="11" t="n"/>
      <c r="L83" s="13" t="n"/>
      <c r="M83" s="11" t="n"/>
    </row>
    <row r="84" ht="22" customHeight="1">
      <c r="B84" s="15" t="n"/>
      <c r="C84" s="15" t="n"/>
      <c r="D84" s="18" t="n"/>
      <c r="E84" s="18" t="n"/>
      <c r="F84" s="16">
        <f>IFERROR((E84-D84)/30,0)</f>
        <v/>
      </c>
      <c r="G84" s="17" t="n"/>
      <c r="H84" s="17">
        <f>IFERROR(G84*F84,0)</f>
        <v/>
      </c>
      <c r="I84" s="16">
        <f>IFERROR(MAX(0,E84-TODAY()),0)</f>
        <v/>
      </c>
      <c r="J84" s="15">
        <f>IF(I84&lt;=0,"Expired",IF(I84&lt;=30,"Expiring Soon",IF(I84&lt;=90,"Renewal Due","Active")))</f>
        <v/>
      </c>
      <c r="K84" s="15" t="n"/>
      <c r="L84" s="17" t="n"/>
      <c r="M84" s="15" t="n"/>
    </row>
    <row r="85" ht="22" customHeight="1">
      <c r="B85" s="11" t="n"/>
      <c r="C85" s="11" t="n"/>
      <c r="D85" s="14" t="n"/>
      <c r="E85" s="14" t="n"/>
      <c r="F85" s="12">
        <f>IFERROR((E85-D85)/30,0)</f>
        <v/>
      </c>
      <c r="G85" s="13" t="n"/>
      <c r="H85" s="13">
        <f>IFERROR(G85*F85,0)</f>
        <v/>
      </c>
      <c r="I85" s="12">
        <f>IFERROR(MAX(0,E85-TODAY()),0)</f>
        <v/>
      </c>
      <c r="J85" s="11">
        <f>IF(I85&lt;=0,"Expired",IF(I85&lt;=30,"Expiring Soon",IF(I85&lt;=90,"Renewal Due","Active")))</f>
        <v/>
      </c>
      <c r="K85" s="11" t="n"/>
      <c r="L85" s="13" t="n"/>
      <c r="M85" s="11" t="n"/>
    </row>
    <row r="86" ht="22" customHeight="1">
      <c r="B86" s="15" t="n"/>
      <c r="C86" s="15" t="n"/>
      <c r="D86" s="18" t="n"/>
      <c r="E86" s="18" t="n"/>
      <c r="F86" s="16">
        <f>IFERROR((E86-D86)/30,0)</f>
        <v/>
      </c>
      <c r="G86" s="17" t="n"/>
      <c r="H86" s="17">
        <f>IFERROR(G86*F86,0)</f>
        <v/>
      </c>
      <c r="I86" s="16">
        <f>IFERROR(MAX(0,E86-TODAY()),0)</f>
        <v/>
      </c>
      <c r="J86" s="15">
        <f>IF(I86&lt;=0,"Expired",IF(I86&lt;=30,"Expiring Soon",IF(I86&lt;=90,"Renewal Due","Active")))</f>
        <v/>
      </c>
      <c r="K86" s="15" t="n"/>
      <c r="L86" s="17" t="n"/>
      <c r="M86" s="15" t="n"/>
    </row>
    <row r="87" ht="22" customHeight="1">
      <c r="B87" s="11" t="n"/>
      <c r="C87" s="11" t="n"/>
      <c r="D87" s="14" t="n"/>
      <c r="E87" s="14" t="n"/>
      <c r="F87" s="12">
        <f>IFERROR((E87-D87)/30,0)</f>
        <v/>
      </c>
      <c r="G87" s="13" t="n"/>
      <c r="H87" s="13">
        <f>IFERROR(G87*F87,0)</f>
        <v/>
      </c>
      <c r="I87" s="12">
        <f>IFERROR(MAX(0,E87-TODAY()),0)</f>
        <v/>
      </c>
      <c r="J87" s="11">
        <f>IF(I87&lt;=0,"Expired",IF(I87&lt;=30,"Expiring Soon",IF(I87&lt;=90,"Renewal Due","Active")))</f>
        <v/>
      </c>
      <c r="K87" s="11" t="n"/>
      <c r="L87" s="13" t="n"/>
      <c r="M87" s="11" t="n"/>
    </row>
    <row r="88" ht="22" customHeight="1">
      <c r="B88" s="15" t="n"/>
      <c r="C88" s="15" t="n"/>
      <c r="D88" s="18" t="n"/>
      <c r="E88" s="18" t="n"/>
      <c r="F88" s="16">
        <f>IFERROR((E88-D88)/30,0)</f>
        <v/>
      </c>
      <c r="G88" s="17" t="n"/>
      <c r="H88" s="17">
        <f>IFERROR(G88*F88,0)</f>
        <v/>
      </c>
      <c r="I88" s="16">
        <f>IFERROR(MAX(0,E88-TODAY()),0)</f>
        <v/>
      </c>
      <c r="J88" s="15">
        <f>IF(I88&lt;=0,"Expired",IF(I88&lt;=30,"Expiring Soon",IF(I88&lt;=90,"Renewal Due","Active")))</f>
        <v/>
      </c>
      <c r="K88" s="15" t="n"/>
      <c r="L88" s="17" t="n"/>
      <c r="M88" s="15" t="n"/>
    </row>
    <row r="89" ht="22" customHeight="1">
      <c r="B89" s="11" t="n"/>
      <c r="C89" s="11" t="n"/>
      <c r="D89" s="14" t="n"/>
      <c r="E89" s="14" t="n"/>
      <c r="F89" s="12">
        <f>IFERROR((E89-D89)/30,0)</f>
        <v/>
      </c>
      <c r="G89" s="13" t="n"/>
      <c r="H89" s="13">
        <f>IFERROR(G89*F89,0)</f>
        <v/>
      </c>
      <c r="I89" s="12">
        <f>IFERROR(MAX(0,E89-TODAY()),0)</f>
        <v/>
      </c>
      <c r="J89" s="11">
        <f>IF(I89&lt;=0,"Expired",IF(I89&lt;=30,"Expiring Soon",IF(I89&lt;=90,"Renewal Due","Active")))</f>
        <v/>
      </c>
      <c r="K89" s="11" t="n"/>
      <c r="L89" s="13" t="n"/>
      <c r="M89" s="11" t="n"/>
    </row>
    <row r="90" ht="22" customHeight="1">
      <c r="B90" s="15" t="n"/>
      <c r="C90" s="15" t="n"/>
      <c r="D90" s="18" t="n"/>
      <c r="E90" s="18" t="n"/>
      <c r="F90" s="16">
        <f>IFERROR((E90-D90)/30,0)</f>
        <v/>
      </c>
      <c r="G90" s="17" t="n"/>
      <c r="H90" s="17">
        <f>IFERROR(G90*F90,0)</f>
        <v/>
      </c>
      <c r="I90" s="16">
        <f>IFERROR(MAX(0,E90-TODAY()),0)</f>
        <v/>
      </c>
      <c r="J90" s="15">
        <f>IF(I90&lt;=0,"Expired",IF(I90&lt;=30,"Expiring Soon",IF(I90&lt;=90,"Renewal Due","Active")))</f>
        <v/>
      </c>
      <c r="K90" s="15" t="n"/>
      <c r="L90" s="17" t="n"/>
      <c r="M90" s="15" t="n"/>
    </row>
    <row r="91" ht="22" customHeight="1">
      <c r="B91" s="11" t="n"/>
      <c r="C91" s="11" t="n"/>
      <c r="D91" s="14" t="n"/>
      <c r="E91" s="14" t="n"/>
      <c r="F91" s="12">
        <f>IFERROR((E91-D91)/30,0)</f>
        <v/>
      </c>
      <c r="G91" s="13" t="n"/>
      <c r="H91" s="13">
        <f>IFERROR(G91*F91,0)</f>
        <v/>
      </c>
      <c r="I91" s="12">
        <f>IFERROR(MAX(0,E91-TODAY()),0)</f>
        <v/>
      </c>
      <c r="J91" s="11">
        <f>IF(I91&lt;=0,"Expired",IF(I91&lt;=30,"Expiring Soon",IF(I91&lt;=90,"Renewal Due","Active")))</f>
        <v/>
      </c>
      <c r="K91" s="11" t="n"/>
      <c r="L91" s="13" t="n"/>
      <c r="M91" s="11" t="n"/>
    </row>
    <row r="92" ht="22" customHeight="1">
      <c r="B92" s="15" t="n"/>
      <c r="C92" s="15" t="n"/>
      <c r="D92" s="18" t="n"/>
      <c r="E92" s="18" t="n"/>
      <c r="F92" s="16">
        <f>IFERROR((E92-D92)/30,0)</f>
        <v/>
      </c>
      <c r="G92" s="17" t="n"/>
      <c r="H92" s="17">
        <f>IFERROR(G92*F92,0)</f>
        <v/>
      </c>
      <c r="I92" s="16">
        <f>IFERROR(MAX(0,E92-TODAY()),0)</f>
        <v/>
      </c>
      <c r="J92" s="15">
        <f>IF(I92&lt;=0,"Expired",IF(I92&lt;=30,"Expiring Soon",IF(I92&lt;=90,"Renewal Due","Active")))</f>
        <v/>
      </c>
      <c r="K92" s="15" t="n"/>
      <c r="L92" s="17" t="n"/>
      <c r="M92" s="15" t="n"/>
    </row>
    <row r="93" ht="22" customHeight="1">
      <c r="B93" s="11" t="n"/>
      <c r="C93" s="11" t="n"/>
      <c r="D93" s="14" t="n"/>
      <c r="E93" s="14" t="n"/>
      <c r="F93" s="12">
        <f>IFERROR((E93-D93)/30,0)</f>
        <v/>
      </c>
      <c r="G93" s="13" t="n"/>
      <c r="H93" s="13">
        <f>IFERROR(G93*F93,0)</f>
        <v/>
      </c>
      <c r="I93" s="12">
        <f>IFERROR(MAX(0,E93-TODAY()),0)</f>
        <v/>
      </c>
      <c r="J93" s="11">
        <f>IF(I93&lt;=0,"Expired",IF(I93&lt;=30,"Expiring Soon",IF(I93&lt;=90,"Renewal Due","Active")))</f>
        <v/>
      </c>
      <c r="K93" s="11" t="n"/>
      <c r="L93" s="13" t="n"/>
      <c r="M93" s="11" t="n"/>
    </row>
    <row r="94" ht="22" customHeight="1">
      <c r="B94" s="15" t="n"/>
      <c r="C94" s="15" t="n"/>
      <c r="D94" s="18" t="n"/>
      <c r="E94" s="18" t="n"/>
      <c r="F94" s="16">
        <f>IFERROR((E94-D94)/30,0)</f>
        <v/>
      </c>
      <c r="G94" s="17" t="n"/>
      <c r="H94" s="17">
        <f>IFERROR(G94*F94,0)</f>
        <v/>
      </c>
      <c r="I94" s="16">
        <f>IFERROR(MAX(0,E94-TODAY()),0)</f>
        <v/>
      </c>
      <c r="J94" s="15">
        <f>IF(I94&lt;=0,"Expired",IF(I94&lt;=30,"Expiring Soon",IF(I94&lt;=90,"Renewal Due","Active")))</f>
        <v/>
      </c>
      <c r="K94" s="15" t="n"/>
      <c r="L94" s="17" t="n"/>
      <c r="M94" s="15" t="n"/>
    </row>
    <row r="95" ht="22" customHeight="1">
      <c r="B95" s="11" t="n"/>
      <c r="C95" s="11" t="n"/>
      <c r="D95" s="14" t="n"/>
      <c r="E95" s="14" t="n"/>
      <c r="F95" s="12">
        <f>IFERROR((E95-D95)/30,0)</f>
        <v/>
      </c>
      <c r="G95" s="13" t="n"/>
      <c r="H95" s="13">
        <f>IFERROR(G95*F95,0)</f>
        <v/>
      </c>
      <c r="I95" s="12">
        <f>IFERROR(MAX(0,E95-TODAY()),0)</f>
        <v/>
      </c>
      <c r="J95" s="11">
        <f>IF(I95&lt;=0,"Expired",IF(I95&lt;=30,"Expiring Soon",IF(I95&lt;=90,"Renewal Due","Active")))</f>
        <v/>
      </c>
      <c r="K95" s="11" t="n"/>
      <c r="L95" s="13" t="n"/>
      <c r="M95" s="11" t="n"/>
    </row>
    <row r="96" ht="22" customHeight="1">
      <c r="B96" s="15" t="n"/>
      <c r="C96" s="15" t="n"/>
      <c r="D96" s="18" t="n"/>
      <c r="E96" s="18" t="n"/>
      <c r="F96" s="16">
        <f>IFERROR((E96-D96)/30,0)</f>
        <v/>
      </c>
      <c r="G96" s="17" t="n"/>
      <c r="H96" s="17">
        <f>IFERROR(G96*F96,0)</f>
        <v/>
      </c>
      <c r="I96" s="16">
        <f>IFERROR(MAX(0,E96-TODAY()),0)</f>
        <v/>
      </c>
      <c r="J96" s="15">
        <f>IF(I96&lt;=0,"Expired",IF(I96&lt;=30,"Expiring Soon",IF(I96&lt;=90,"Renewal Due","Active")))</f>
        <v/>
      </c>
      <c r="K96" s="15" t="n"/>
      <c r="L96" s="17" t="n"/>
      <c r="M96" s="15" t="n"/>
    </row>
    <row r="97" ht="22" customHeight="1">
      <c r="B97" s="11" t="n"/>
      <c r="C97" s="11" t="n"/>
      <c r="D97" s="14" t="n"/>
      <c r="E97" s="14" t="n"/>
      <c r="F97" s="12">
        <f>IFERROR((E97-D97)/30,0)</f>
        <v/>
      </c>
      <c r="G97" s="13" t="n"/>
      <c r="H97" s="13">
        <f>IFERROR(G97*F97,0)</f>
        <v/>
      </c>
      <c r="I97" s="12">
        <f>IFERROR(MAX(0,E97-TODAY()),0)</f>
        <v/>
      </c>
      <c r="J97" s="11">
        <f>IF(I97&lt;=0,"Expired",IF(I97&lt;=30,"Expiring Soon",IF(I97&lt;=90,"Renewal Due","Active")))</f>
        <v/>
      </c>
      <c r="K97" s="11" t="n"/>
      <c r="L97" s="13" t="n"/>
      <c r="M97" s="11" t="n"/>
    </row>
    <row r="98" ht="22" customHeight="1">
      <c r="B98" s="15" t="n"/>
      <c r="C98" s="15" t="n"/>
      <c r="D98" s="18" t="n"/>
      <c r="E98" s="18" t="n"/>
      <c r="F98" s="16">
        <f>IFERROR((E98-D98)/30,0)</f>
        <v/>
      </c>
      <c r="G98" s="17" t="n"/>
      <c r="H98" s="17">
        <f>IFERROR(G98*F98,0)</f>
        <v/>
      </c>
      <c r="I98" s="16">
        <f>IFERROR(MAX(0,E98-TODAY()),0)</f>
        <v/>
      </c>
      <c r="J98" s="15">
        <f>IF(I98&lt;=0,"Expired",IF(I98&lt;=30,"Expiring Soon",IF(I98&lt;=90,"Renewal Due","Active")))</f>
        <v/>
      </c>
      <c r="K98" s="15" t="n"/>
      <c r="L98" s="17" t="n"/>
      <c r="M98" s="15" t="n"/>
    </row>
    <row r="99" ht="22" customHeight="1">
      <c r="B99" s="11" t="n"/>
      <c r="C99" s="11" t="n"/>
      <c r="D99" s="14" t="n"/>
      <c r="E99" s="14" t="n"/>
      <c r="F99" s="12">
        <f>IFERROR((E99-D99)/30,0)</f>
        <v/>
      </c>
      <c r="G99" s="13" t="n"/>
      <c r="H99" s="13">
        <f>IFERROR(G99*F99,0)</f>
        <v/>
      </c>
      <c r="I99" s="12">
        <f>IFERROR(MAX(0,E99-TODAY()),0)</f>
        <v/>
      </c>
      <c r="J99" s="11">
        <f>IF(I99&lt;=0,"Expired",IF(I99&lt;=30,"Expiring Soon",IF(I99&lt;=90,"Renewal Due","Active")))</f>
        <v/>
      </c>
      <c r="K99" s="11" t="n"/>
      <c r="L99" s="13" t="n"/>
      <c r="M99" s="11" t="n"/>
    </row>
    <row r="100" ht="22" customHeight="1">
      <c r="B100" s="15" t="n"/>
      <c r="C100" s="15" t="n"/>
      <c r="D100" s="18" t="n"/>
      <c r="E100" s="18" t="n"/>
      <c r="F100" s="16">
        <f>IFERROR((E100-D100)/30,0)</f>
        <v/>
      </c>
      <c r="G100" s="17" t="n"/>
      <c r="H100" s="17">
        <f>IFERROR(G100*F100,0)</f>
        <v/>
      </c>
      <c r="I100" s="16">
        <f>IFERROR(MAX(0,E100-TODAY()),0)</f>
        <v/>
      </c>
      <c r="J100" s="15">
        <f>IF(I100&lt;=0,"Expired",IF(I100&lt;=30,"Expiring Soon",IF(I100&lt;=90,"Renewal Due","Active")))</f>
        <v/>
      </c>
      <c r="K100" s="15" t="n"/>
      <c r="L100" s="17" t="n"/>
      <c r="M100" s="15" t="n"/>
    </row>
    <row r="101" ht="22" customHeight="1">
      <c r="B101" s="11" t="n"/>
      <c r="C101" s="11" t="n"/>
      <c r="D101" s="14" t="n"/>
      <c r="E101" s="14" t="n"/>
      <c r="F101" s="12">
        <f>IFERROR((E101-D101)/30,0)</f>
        <v/>
      </c>
      <c r="G101" s="13" t="n"/>
      <c r="H101" s="13">
        <f>IFERROR(G101*F101,0)</f>
        <v/>
      </c>
      <c r="I101" s="12">
        <f>IFERROR(MAX(0,E101-TODAY()),0)</f>
        <v/>
      </c>
      <c r="J101" s="11">
        <f>IF(I101&lt;=0,"Expired",IF(I101&lt;=30,"Expiring Soon",IF(I101&lt;=90,"Renewal Due","Active")))</f>
        <v/>
      </c>
      <c r="K101" s="11" t="n"/>
      <c r="L101" s="13" t="n"/>
      <c r="M101" s="11" t="n"/>
    </row>
    <row r="102" ht="22" customHeight="1">
      <c r="B102" s="15" t="n"/>
      <c r="C102" s="15" t="n"/>
      <c r="D102" s="18" t="n"/>
      <c r="E102" s="18" t="n"/>
      <c r="F102" s="16">
        <f>IFERROR((E102-D102)/30,0)</f>
        <v/>
      </c>
      <c r="G102" s="17" t="n"/>
      <c r="H102" s="17">
        <f>IFERROR(G102*F102,0)</f>
        <v/>
      </c>
      <c r="I102" s="16">
        <f>IFERROR(MAX(0,E102-TODAY()),0)</f>
        <v/>
      </c>
      <c r="J102" s="15">
        <f>IF(I102&lt;=0,"Expired",IF(I102&lt;=30,"Expiring Soon",IF(I102&lt;=90,"Renewal Due","Active")))</f>
        <v/>
      </c>
      <c r="K102" s="15" t="n"/>
      <c r="L102" s="17" t="n"/>
      <c r="M102" s="15" t="n"/>
    </row>
    <row r="103" ht="22" customHeight="1">
      <c r="B103" s="11" t="n"/>
      <c r="C103" s="11" t="n"/>
      <c r="D103" s="14" t="n"/>
      <c r="E103" s="14" t="n"/>
      <c r="F103" s="12">
        <f>IFERROR((E103-D103)/30,0)</f>
        <v/>
      </c>
      <c r="G103" s="13" t="n"/>
      <c r="H103" s="13">
        <f>IFERROR(G103*F103,0)</f>
        <v/>
      </c>
      <c r="I103" s="12">
        <f>IFERROR(MAX(0,E103-TODAY()),0)</f>
        <v/>
      </c>
      <c r="J103" s="11">
        <f>IF(I103&lt;=0,"Expired",IF(I103&lt;=30,"Expiring Soon",IF(I103&lt;=90,"Renewal Due","Active")))</f>
        <v/>
      </c>
      <c r="K103" s="11" t="n"/>
      <c r="L103" s="13" t="n"/>
      <c r="M103" s="11" t="n"/>
    </row>
    <row r="104" ht="22" customHeight="1">
      <c r="B104" s="15" t="n"/>
      <c r="C104" s="15" t="n"/>
      <c r="D104" s="18" t="n"/>
      <c r="E104" s="18" t="n"/>
      <c r="F104" s="16">
        <f>IFERROR((E104-D104)/30,0)</f>
        <v/>
      </c>
      <c r="G104" s="17" t="n"/>
      <c r="H104" s="17">
        <f>IFERROR(G104*F104,0)</f>
        <v/>
      </c>
      <c r="I104" s="16">
        <f>IFERROR(MAX(0,E104-TODAY()),0)</f>
        <v/>
      </c>
      <c r="J104" s="15">
        <f>IF(I104&lt;=0,"Expired",IF(I104&lt;=30,"Expiring Soon",IF(I104&lt;=90,"Renewal Due","Active")))</f>
        <v/>
      </c>
      <c r="K104" s="15" t="n"/>
      <c r="L104" s="17" t="n"/>
      <c r="M104" s="15" t="n"/>
    </row>
    <row r="105" ht="22" customHeight="1">
      <c r="B105" s="11" t="n"/>
      <c r="C105" s="11" t="n"/>
      <c r="D105" s="14" t="n"/>
      <c r="E105" s="14" t="n"/>
      <c r="F105" s="12">
        <f>IFERROR((E105-D105)/30,0)</f>
        <v/>
      </c>
      <c r="G105" s="13" t="n"/>
      <c r="H105" s="13">
        <f>IFERROR(G105*F105,0)</f>
        <v/>
      </c>
      <c r="I105" s="12">
        <f>IFERROR(MAX(0,E105-TODAY()),0)</f>
        <v/>
      </c>
      <c r="J105" s="11">
        <f>IF(I105&lt;=0,"Expired",IF(I105&lt;=30,"Expiring Soon",IF(I105&lt;=90,"Renewal Due","Active")))</f>
        <v/>
      </c>
      <c r="K105" s="11" t="n"/>
      <c r="L105" s="13" t="n"/>
      <c r="M105" s="11" t="n"/>
    </row>
    <row r="106" ht="22" customHeight="1">
      <c r="B106" s="15" t="n"/>
      <c r="C106" s="15" t="n"/>
      <c r="D106" s="18" t="n"/>
      <c r="E106" s="18" t="n"/>
      <c r="F106" s="16">
        <f>IFERROR((E106-D106)/30,0)</f>
        <v/>
      </c>
      <c r="G106" s="17" t="n"/>
      <c r="H106" s="17">
        <f>IFERROR(G106*F106,0)</f>
        <v/>
      </c>
      <c r="I106" s="16">
        <f>IFERROR(MAX(0,E106-TODAY()),0)</f>
        <v/>
      </c>
      <c r="J106" s="15">
        <f>IF(I106&lt;=0,"Expired",IF(I106&lt;=30,"Expiring Soon",IF(I106&lt;=90,"Renewal Due","Active")))</f>
        <v/>
      </c>
      <c r="K106" s="15" t="n"/>
      <c r="L106" s="17" t="n"/>
      <c r="M106" s="15" t="n"/>
    </row>
    <row r="107" ht="22" customHeight="1">
      <c r="B107" s="11" t="n"/>
      <c r="C107" s="11" t="n"/>
      <c r="D107" s="14" t="n"/>
      <c r="E107" s="14" t="n"/>
      <c r="F107" s="12">
        <f>IFERROR((E107-D107)/30,0)</f>
        <v/>
      </c>
      <c r="G107" s="13" t="n"/>
      <c r="H107" s="13">
        <f>IFERROR(G107*F107,0)</f>
        <v/>
      </c>
      <c r="I107" s="12">
        <f>IFERROR(MAX(0,E107-TODAY()),0)</f>
        <v/>
      </c>
      <c r="J107" s="11">
        <f>IF(I107&lt;=0,"Expired",IF(I107&lt;=30,"Expiring Soon",IF(I107&lt;=90,"Renewal Due","Active")))</f>
        <v/>
      </c>
      <c r="K107" s="11" t="n"/>
      <c r="L107" s="13" t="n"/>
      <c r="M107" s="11" t="n"/>
    </row>
    <row r="108" ht="22" customHeight="1">
      <c r="B108" s="15" t="n"/>
      <c r="C108" s="15" t="n"/>
      <c r="D108" s="18" t="n"/>
      <c r="E108" s="18" t="n"/>
      <c r="F108" s="16">
        <f>IFERROR((E108-D108)/30,0)</f>
        <v/>
      </c>
      <c r="G108" s="17" t="n"/>
      <c r="H108" s="17">
        <f>IFERROR(G108*F108,0)</f>
        <v/>
      </c>
      <c r="I108" s="16">
        <f>IFERROR(MAX(0,E108-TODAY()),0)</f>
        <v/>
      </c>
      <c r="J108" s="15">
        <f>IF(I108&lt;=0,"Expired",IF(I108&lt;=30,"Expiring Soon",IF(I108&lt;=90,"Renewal Due","Active")))</f>
        <v/>
      </c>
      <c r="K108" s="15" t="n"/>
      <c r="L108" s="17" t="n"/>
      <c r="M108" s="15" t="n"/>
    </row>
    <row r="109" ht="22" customHeight="1">
      <c r="B109" s="11" t="n"/>
      <c r="C109" s="11" t="n"/>
      <c r="D109" s="14" t="n"/>
      <c r="E109" s="14" t="n"/>
      <c r="F109" s="12">
        <f>IFERROR((E109-D109)/30,0)</f>
        <v/>
      </c>
      <c r="G109" s="13" t="n"/>
      <c r="H109" s="13">
        <f>IFERROR(G109*F109,0)</f>
        <v/>
      </c>
      <c r="I109" s="12">
        <f>IFERROR(MAX(0,E109-TODAY()),0)</f>
        <v/>
      </c>
      <c r="J109" s="11">
        <f>IF(I109&lt;=0,"Expired",IF(I109&lt;=30,"Expiring Soon",IF(I109&lt;=90,"Renewal Due","Active")))</f>
        <v/>
      </c>
      <c r="K109" s="11" t="n"/>
      <c r="L109" s="13" t="n"/>
      <c r="M109" s="11" t="n"/>
    </row>
    <row r="110" ht="22" customHeight="1">
      <c r="B110" s="15" t="n"/>
      <c r="C110" s="15" t="n"/>
      <c r="D110" s="18" t="n"/>
      <c r="E110" s="18" t="n"/>
      <c r="F110" s="16">
        <f>IFERROR((E110-D110)/30,0)</f>
        <v/>
      </c>
      <c r="G110" s="17" t="n"/>
      <c r="H110" s="17">
        <f>IFERROR(G110*F110,0)</f>
        <v/>
      </c>
      <c r="I110" s="16">
        <f>IFERROR(MAX(0,E110-TODAY()),0)</f>
        <v/>
      </c>
      <c r="J110" s="15">
        <f>IF(I110&lt;=0,"Expired",IF(I110&lt;=30,"Expiring Soon",IF(I110&lt;=90,"Renewal Due","Active")))</f>
        <v/>
      </c>
      <c r="K110" s="15" t="n"/>
      <c r="L110" s="17" t="n"/>
      <c r="M110" s="15" t="n"/>
    </row>
    <row r="111" ht="22" customHeight="1">
      <c r="B111" s="11" t="n"/>
      <c r="C111" s="11" t="n"/>
      <c r="D111" s="14" t="n"/>
      <c r="E111" s="14" t="n"/>
      <c r="F111" s="12">
        <f>IFERROR((E111-D111)/30,0)</f>
        <v/>
      </c>
      <c r="G111" s="13" t="n"/>
      <c r="H111" s="13">
        <f>IFERROR(G111*F111,0)</f>
        <v/>
      </c>
      <c r="I111" s="12">
        <f>IFERROR(MAX(0,E111-TODAY()),0)</f>
        <v/>
      </c>
      <c r="J111" s="11">
        <f>IF(I111&lt;=0,"Expired",IF(I111&lt;=30,"Expiring Soon",IF(I111&lt;=90,"Renewal Due","Active")))</f>
        <v/>
      </c>
      <c r="K111" s="11" t="n"/>
      <c r="L111" s="13" t="n"/>
      <c r="M111" s="11" t="n"/>
    </row>
    <row r="112" ht="22" customHeight="1">
      <c r="B112" s="15" t="n"/>
      <c r="C112" s="15" t="n"/>
      <c r="D112" s="18" t="n"/>
      <c r="E112" s="18" t="n"/>
      <c r="F112" s="16">
        <f>IFERROR((E112-D112)/30,0)</f>
        <v/>
      </c>
      <c r="G112" s="17" t="n"/>
      <c r="H112" s="17">
        <f>IFERROR(G112*F112,0)</f>
        <v/>
      </c>
      <c r="I112" s="16">
        <f>IFERROR(MAX(0,E112-TODAY()),0)</f>
        <v/>
      </c>
      <c r="J112" s="15">
        <f>IF(I112&lt;=0,"Expired",IF(I112&lt;=30,"Expiring Soon",IF(I112&lt;=90,"Renewal Due","Active")))</f>
        <v/>
      </c>
      <c r="K112" s="15" t="n"/>
      <c r="L112" s="17" t="n"/>
      <c r="M112" s="15" t="n"/>
    </row>
    <row r="113" ht="22" customHeight="1">
      <c r="B113" s="11" t="n"/>
      <c r="C113" s="11" t="n"/>
      <c r="D113" s="14" t="n"/>
      <c r="E113" s="14" t="n"/>
      <c r="F113" s="12">
        <f>IFERROR((E113-D113)/30,0)</f>
        <v/>
      </c>
      <c r="G113" s="13" t="n"/>
      <c r="H113" s="13">
        <f>IFERROR(G113*F113,0)</f>
        <v/>
      </c>
      <c r="I113" s="12">
        <f>IFERROR(MAX(0,E113-TODAY()),0)</f>
        <v/>
      </c>
      <c r="J113" s="11">
        <f>IF(I113&lt;=0,"Expired",IF(I113&lt;=30,"Expiring Soon",IF(I113&lt;=90,"Renewal Due","Active")))</f>
        <v/>
      </c>
      <c r="K113" s="11" t="n"/>
      <c r="L113" s="13" t="n"/>
      <c r="M113" s="11" t="n"/>
    </row>
    <row r="114" ht="22" customHeight="1">
      <c r="B114" s="15" t="n"/>
      <c r="C114" s="15" t="n"/>
      <c r="D114" s="18" t="n"/>
      <c r="E114" s="18" t="n"/>
      <c r="F114" s="16">
        <f>IFERROR((E114-D114)/30,0)</f>
        <v/>
      </c>
      <c r="G114" s="17" t="n"/>
      <c r="H114" s="17">
        <f>IFERROR(G114*F114,0)</f>
        <v/>
      </c>
      <c r="I114" s="16">
        <f>IFERROR(MAX(0,E114-TODAY()),0)</f>
        <v/>
      </c>
      <c r="J114" s="15">
        <f>IF(I114&lt;=0,"Expired",IF(I114&lt;=30,"Expiring Soon",IF(I114&lt;=90,"Renewal Due","Active")))</f>
        <v/>
      </c>
      <c r="K114" s="15" t="n"/>
      <c r="L114" s="17" t="n"/>
      <c r="M114" s="15" t="n"/>
    </row>
    <row r="115" ht="22" customHeight="1">
      <c r="B115" s="11" t="n"/>
      <c r="C115" s="11" t="n"/>
      <c r="D115" s="14" t="n"/>
      <c r="E115" s="14" t="n"/>
      <c r="F115" s="12">
        <f>IFERROR((E115-D115)/30,0)</f>
        <v/>
      </c>
      <c r="G115" s="13" t="n"/>
      <c r="H115" s="13">
        <f>IFERROR(G115*F115,0)</f>
        <v/>
      </c>
      <c r="I115" s="12">
        <f>IFERROR(MAX(0,E115-TODAY()),0)</f>
        <v/>
      </c>
      <c r="J115" s="11">
        <f>IF(I115&lt;=0,"Expired",IF(I115&lt;=30,"Expiring Soon",IF(I115&lt;=90,"Renewal Due","Active")))</f>
        <v/>
      </c>
      <c r="K115" s="11" t="n"/>
      <c r="L115" s="13" t="n"/>
      <c r="M115" s="11" t="n"/>
    </row>
    <row r="116" ht="22" customHeight="1">
      <c r="B116" s="15" t="n"/>
      <c r="C116" s="15" t="n"/>
      <c r="D116" s="18" t="n"/>
      <c r="E116" s="18" t="n"/>
      <c r="F116" s="16">
        <f>IFERROR((E116-D116)/30,0)</f>
        <v/>
      </c>
      <c r="G116" s="17" t="n"/>
      <c r="H116" s="17">
        <f>IFERROR(G116*F116,0)</f>
        <v/>
      </c>
      <c r="I116" s="16">
        <f>IFERROR(MAX(0,E116-TODAY()),0)</f>
        <v/>
      </c>
      <c r="J116" s="15">
        <f>IF(I116&lt;=0,"Expired",IF(I116&lt;=30,"Expiring Soon",IF(I116&lt;=90,"Renewal Due","Active")))</f>
        <v/>
      </c>
      <c r="K116" s="15" t="n"/>
      <c r="L116" s="17" t="n"/>
      <c r="M116" s="15" t="n"/>
    </row>
    <row r="117" ht="22" customHeight="1">
      <c r="B117" s="11" t="n"/>
      <c r="C117" s="11" t="n"/>
      <c r="D117" s="14" t="n"/>
      <c r="E117" s="14" t="n"/>
      <c r="F117" s="12">
        <f>IFERROR((E117-D117)/30,0)</f>
        <v/>
      </c>
      <c r="G117" s="13" t="n"/>
      <c r="H117" s="13">
        <f>IFERROR(G117*F117,0)</f>
        <v/>
      </c>
      <c r="I117" s="12">
        <f>IFERROR(MAX(0,E117-TODAY()),0)</f>
        <v/>
      </c>
      <c r="J117" s="11">
        <f>IF(I117&lt;=0,"Expired",IF(I117&lt;=30,"Expiring Soon",IF(I117&lt;=90,"Renewal Due","Active")))</f>
        <v/>
      </c>
      <c r="K117" s="11" t="n"/>
      <c r="L117" s="13" t="n"/>
      <c r="M117" s="11" t="n"/>
    </row>
    <row r="118" ht="22" customHeight="1">
      <c r="B118" s="15" t="n"/>
      <c r="C118" s="15" t="n"/>
      <c r="D118" s="18" t="n"/>
      <c r="E118" s="18" t="n"/>
      <c r="F118" s="16">
        <f>IFERROR((E118-D118)/30,0)</f>
        <v/>
      </c>
      <c r="G118" s="17" t="n"/>
      <c r="H118" s="17">
        <f>IFERROR(G118*F118,0)</f>
        <v/>
      </c>
      <c r="I118" s="16">
        <f>IFERROR(MAX(0,E118-TODAY()),0)</f>
        <v/>
      </c>
      <c r="J118" s="15">
        <f>IF(I118&lt;=0,"Expired",IF(I118&lt;=30,"Expiring Soon",IF(I118&lt;=90,"Renewal Due","Active")))</f>
        <v/>
      </c>
      <c r="K118" s="15" t="n"/>
      <c r="L118" s="17" t="n"/>
      <c r="M118" s="15" t="n"/>
    </row>
    <row r="119" ht="22" customHeight="1">
      <c r="B119" s="11" t="n"/>
      <c r="C119" s="11" t="n"/>
      <c r="D119" s="14" t="n"/>
      <c r="E119" s="14" t="n"/>
      <c r="F119" s="12">
        <f>IFERROR((E119-D119)/30,0)</f>
        <v/>
      </c>
      <c r="G119" s="13" t="n"/>
      <c r="H119" s="13">
        <f>IFERROR(G119*F119,0)</f>
        <v/>
      </c>
      <c r="I119" s="12">
        <f>IFERROR(MAX(0,E119-TODAY()),0)</f>
        <v/>
      </c>
      <c r="J119" s="11">
        <f>IF(I119&lt;=0,"Expired",IF(I119&lt;=30,"Expiring Soon",IF(I119&lt;=90,"Renewal Due","Active")))</f>
        <v/>
      </c>
      <c r="K119" s="11" t="n"/>
      <c r="L119" s="13" t="n"/>
      <c r="M119" s="11" t="n"/>
    </row>
    <row r="120" ht="22" customHeight="1">
      <c r="B120" s="15" t="n"/>
      <c r="C120" s="15" t="n"/>
      <c r="D120" s="18" t="n"/>
      <c r="E120" s="18" t="n"/>
      <c r="F120" s="16">
        <f>IFERROR((E120-D120)/30,0)</f>
        <v/>
      </c>
      <c r="G120" s="17" t="n"/>
      <c r="H120" s="17">
        <f>IFERROR(G120*F120,0)</f>
        <v/>
      </c>
      <c r="I120" s="16">
        <f>IFERROR(MAX(0,E120-TODAY()),0)</f>
        <v/>
      </c>
      <c r="J120" s="15">
        <f>IF(I120&lt;=0,"Expired",IF(I120&lt;=30,"Expiring Soon",IF(I120&lt;=90,"Renewal Due","Active")))</f>
        <v/>
      </c>
      <c r="K120" s="15" t="n"/>
      <c r="L120" s="17" t="n"/>
      <c r="M120" s="15" t="n"/>
    </row>
    <row r="121" ht="22" customHeight="1">
      <c r="B121" s="11" t="n"/>
      <c r="C121" s="11" t="n"/>
      <c r="D121" s="14" t="n"/>
      <c r="E121" s="14" t="n"/>
      <c r="F121" s="12">
        <f>IFERROR((E121-D121)/30,0)</f>
        <v/>
      </c>
      <c r="G121" s="13" t="n"/>
      <c r="H121" s="13">
        <f>IFERROR(G121*F121,0)</f>
        <v/>
      </c>
      <c r="I121" s="12">
        <f>IFERROR(MAX(0,E121-TODAY()),0)</f>
        <v/>
      </c>
      <c r="J121" s="11">
        <f>IF(I121&lt;=0,"Expired",IF(I121&lt;=30,"Expiring Soon",IF(I121&lt;=90,"Renewal Due","Active")))</f>
        <v/>
      </c>
      <c r="K121" s="11" t="n"/>
      <c r="L121" s="13" t="n"/>
      <c r="M121" s="11" t="n"/>
    </row>
    <row r="122" ht="22" customHeight="1">
      <c r="B122" s="15" t="n"/>
      <c r="C122" s="15" t="n"/>
      <c r="D122" s="18" t="n"/>
      <c r="E122" s="18" t="n"/>
      <c r="F122" s="16">
        <f>IFERROR((E122-D122)/30,0)</f>
        <v/>
      </c>
      <c r="G122" s="17" t="n"/>
      <c r="H122" s="17">
        <f>IFERROR(G122*F122,0)</f>
        <v/>
      </c>
      <c r="I122" s="16">
        <f>IFERROR(MAX(0,E122-TODAY()),0)</f>
        <v/>
      </c>
      <c r="J122" s="15">
        <f>IF(I122&lt;=0,"Expired",IF(I122&lt;=30,"Expiring Soon",IF(I122&lt;=90,"Renewal Due","Active")))</f>
        <v/>
      </c>
      <c r="K122" s="15" t="n"/>
      <c r="L122" s="17" t="n"/>
      <c r="M122" s="15" t="n"/>
    </row>
    <row r="123" ht="22" customHeight="1">
      <c r="B123" s="11" t="n"/>
      <c r="C123" s="11" t="n"/>
      <c r="D123" s="14" t="n"/>
      <c r="E123" s="14" t="n"/>
      <c r="F123" s="12">
        <f>IFERROR((E123-D123)/30,0)</f>
        <v/>
      </c>
      <c r="G123" s="13" t="n"/>
      <c r="H123" s="13">
        <f>IFERROR(G123*F123,0)</f>
        <v/>
      </c>
      <c r="I123" s="12">
        <f>IFERROR(MAX(0,E123-TODAY()),0)</f>
        <v/>
      </c>
      <c r="J123" s="11">
        <f>IF(I123&lt;=0,"Expired",IF(I123&lt;=30,"Expiring Soon",IF(I123&lt;=90,"Renewal Due","Active")))</f>
        <v/>
      </c>
      <c r="K123" s="11" t="n"/>
      <c r="L123" s="13" t="n"/>
      <c r="M123" s="11" t="n"/>
    </row>
    <row r="124" ht="22" customHeight="1">
      <c r="B124" s="15" t="n"/>
      <c r="C124" s="15" t="n"/>
      <c r="D124" s="18" t="n"/>
      <c r="E124" s="18" t="n"/>
      <c r="F124" s="16">
        <f>IFERROR((E124-D124)/30,0)</f>
        <v/>
      </c>
      <c r="G124" s="17" t="n"/>
      <c r="H124" s="17">
        <f>IFERROR(G124*F124,0)</f>
        <v/>
      </c>
      <c r="I124" s="16">
        <f>IFERROR(MAX(0,E124-TODAY()),0)</f>
        <v/>
      </c>
      <c r="J124" s="15">
        <f>IF(I124&lt;=0,"Expired",IF(I124&lt;=30,"Expiring Soon",IF(I124&lt;=90,"Renewal Due","Active")))</f>
        <v/>
      </c>
      <c r="K124" s="15" t="n"/>
      <c r="L124" s="17" t="n"/>
      <c r="M124" s="15" t="n"/>
    </row>
    <row r="125" ht="22" customHeight="1">
      <c r="B125" s="11" t="n"/>
      <c r="C125" s="11" t="n"/>
      <c r="D125" s="14" t="n"/>
      <c r="E125" s="14" t="n"/>
      <c r="F125" s="12">
        <f>IFERROR((E125-D125)/30,0)</f>
        <v/>
      </c>
      <c r="G125" s="13" t="n"/>
      <c r="H125" s="13">
        <f>IFERROR(G125*F125,0)</f>
        <v/>
      </c>
      <c r="I125" s="12">
        <f>IFERROR(MAX(0,E125-TODAY()),0)</f>
        <v/>
      </c>
      <c r="J125" s="11">
        <f>IF(I125&lt;=0,"Expired",IF(I125&lt;=30,"Expiring Soon",IF(I125&lt;=90,"Renewal Due","Active")))</f>
        <v/>
      </c>
      <c r="K125" s="11" t="n"/>
      <c r="L125" s="13" t="n"/>
      <c r="M125" s="11" t="n"/>
    </row>
    <row r="126" ht="22" customHeight="1">
      <c r="B126" s="15" t="n"/>
      <c r="C126" s="15" t="n"/>
      <c r="D126" s="18" t="n"/>
      <c r="E126" s="18" t="n"/>
      <c r="F126" s="16">
        <f>IFERROR((E126-D126)/30,0)</f>
        <v/>
      </c>
      <c r="G126" s="17" t="n"/>
      <c r="H126" s="17">
        <f>IFERROR(G126*F126,0)</f>
        <v/>
      </c>
      <c r="I126" s="16">
        <f>IFERROR(MAX(0,E126-TODAY()),0)</f>
        <v/>
      </c>
      <c r="J126" s="15">
        <f>IF(I126&lt;=0,"Expired",IF(I126&lt;=30,"Expiring Soon",IF(I126&lt;=90,"Renewal Due","Active")))</f>
        <v/>
      </c>
      <c r="K126" s="15" t="n"/>
      <c r="L126" s="17" t="n"/>
      <c r="M126" s="15" t="n"/>
    </row>
    <row r="127" ht="22" customHeight="1">
      <c r="B127" s="11" t="n"/>
      <c r="C127" s="11" t="n"/>
      <c r="D127" s="14" t="n"/>
      <c r="E127" s="14" t="n"/>
      <c r="F127" s="12">
        <f>IFERROR((E127-D127)/30,0)</f>
        <v/>
      </c>
      <c r="G127" s="13" t="n"/>
      <c r="H127" s="13">
        <f>IFERROR(G127*F127,0)</f>
        <v/>
      </c>
      <c r="I127" s="12">
        <f>IFERROR(MAX(0,E127-TODAY()),0)</f>
        <v/>
      </c>
      <c r="J127" s="11">
        <f>IF(I127&lt;=0,"Expired",IF(I127&lt;=30,"Expiring Soon",IF(I127&lt;=90,"Renewal Due","Active")))</f>
        <v/>
      </c>
      <c r="K127" s="11" t="n"/>
      <c r="L127" s="13" t="n"/>
      <c r="M127" s="11" t="n"/>
    </row>
    <row r="128" ht="22" customHeight="1">
      <c r="B128" s="15" t="n"/>
      <c r="C128" s="15" t="n"/>
      <c r="D128" s="18" t="n"/>
      <c r="E128" s="18" t="n"/>
      <c r="F128" s="16">
        <f>IFERROR((E128-D128)/30,0)</f>
        <v/>
      </c>
      <c r="G128" s="17" t="n"/>
      <c r="H128" s="17">
        <f>IFERROR(G128*F128,0)</f>
        <v/>
      </c>
      <c r="I128" s="16">
        <f>IFERROR(MAX(0,E128-TODAY()),0)</f>
        <v/>
      </c>
      <c r="J128" s="15">
        <f>IF(I128&lt;=0,"Expired",IF(I128&lt;=30,"Expiring Soon",IF(I128&lt;=90,"Renewal Due","Active")))</f>
        <v/>
      </c>
      <c r="K128" s="15" t="n"/>
      <c r="L128" s="17" t="n"/>
      <c r="M128" s="15" t="n"/>
    </row>
    <row r="129" ht="22" customHeight="1">
      <c r="B129" s="11" t="n"/>
      <c r="C129" s="11" t="n"/>
      <c r="D129" s="14" t="n"/>
      <c r="E129" s="14" t="n"/>
      <c r="F129" s="12">
        <f>IFERROR((E129-D129)/30,0)</f>
        <v/>
      </c>
      <c r="G129" s="13" t="n"/>
      <c r="H129" s="13">
        <f>IFERROR(G129*F129,0)</f>
        <v/>
      </c>
      <c r="I129" s="12">
        <f>IFERROR(MAX(0,E129-TODAY()),0)</f>
        <v/>
      </c>
      <c r="J129" s="11">
        <f>IF(I129&lt;=0,"Expired",IF(I129&lt;=30,"Expiring Soon",IF(I129&lt;=90,"Renewal Due","Active")))</f>
        <v/>
      </c>
      <c r="K129" s="11" t="n"/>
      <c r="L129" s="13" t="n"/>
      <c r="M129" s="11" t="n"/>
    </row>
    <row r="130" ht="22" customHeight="1">
      <c r="B130" s="15" t="n"/>
      <c r="C130" s="15" t="n"/>
      <c r="D130" s="18" t="n"/>
      <c r="E130" s="18" t="n"/>
      <c r="F130" s="16">
        <f>IFERROR((E130-D130)/30,0)</f>
        <v/>
      </c>
      <c r="G130" s="17" t="n"/>
      <c r="H130" s="17">
        <f>IFERROR(G130*F130,0)</f>
        <v/>
      </c>
      <c r="I130" s="16">
        <f>IFERROR(MAX(0,E130-TODAY()),0)</f>
        <v/>
      </c>
      <c r="J130" s="15">
        <f>IF(I130&lt;=0,"Expired",IF(I130&lt;=30,"Expiring Soon",IF(I130&lt;=90,"Renewal Due","Active")))</f>
        <v/>
      </c>
      <c r="K130" s="15" t="n"/>
      <c r="L130" s="17" t="n"/>
      <c r="M130" s="15" t="n"/>
    </row>
    <row r="131" ht="22" customHeight="1">
      <c r="B131" s="11" t="n"/>
      <c r="C131" s="11" t="n"/>
      <c r="D131" s="14" t="n"/>
      <c r="E131" s="14" t="n"/>
      <c r="F131" s="12">
        <f>IFERROR((E131-D131)/30,0)</f>
        <v/>
      </c>
      <c r="G131" s="13" t="n"/>
      <c r="H131" s="13">
        <f>IFERROR(G131*F131,0)</f>
        <v/>
      </c>
      <c r="I131" s="12">
        <f>IFERROR(MAX(0,E131-TODAY()),0)</f>
        <v/>
      </c>
      <c r="J131" s="11">
        <f>IF(I131&lt;=0,"Expired",IF(I131&lt;=30,"Expiring Soon",IF(I131&lt;=90,"Renewal Due","Active")))</f>
        <v/>
      </c>
      <c r="K131" s="11" t="n"/>
      <c r="L131" s="13" t="n"/>
      <c r="M131" s="11" t="n"/>
    </row>
    <row r="132" ht="22" customHeight="1">
      <c r="B132" s="15" t="n"/>
      <c r="C132" s="15" t="n"/>
      <c r="D132" s="18" t="n"/>
      <c r="E132" s="18" t="n"/>
      <c r="F132" s="16">
        <f>IFERROR((E132-D132)/30,0)</f>
        <v/>
      </c>
      <c r="G132" s="17" t="n"/>
      <c r="H132" s="17">
        <f>IFERROR(G132*F132,0)</f>
        <v/>
      </c>
      <c r="I132" s="16">
        <f>IFERROR(MAX(0,E132-TODAY()),0)</f>
        <v/>
      </c>
      <c r="J132" s="15">
        <f>IF(I132&lt;=0,"Expired",IF(I132&lt;=30,"Expiring Soon",IF(I132&lt;=90,"Renewal Due","Active")))</f>
        <v/>
      </c>
      <c r="K132" s="15" t="n"/>
      <c r="L132" s="17" t="n"/>
      <c r="M132" s="15" t="n"/>
    </row>
    <row r="133" ht="22" customHeight="1">
      <c r="B133" s="11" t="n"/>
      <c r="C133" s="11" t="n"/>
      <c r="D133" s="14" t="n"/>
      <c r="E133" s="14" t="n"/>
      <c r="F133" s="12">
        <f>IFERROR((E133-D133)/30,0)</f>
        <v/>
      </c>
      <c r="G133" s="13" t="n"/>
      <c r="H133" s="13">
        <f>IFERROR(G133*F133,0)</f>
        <v/>
      </c>
      <c r="I133" s="12">
        <f>IFERROR(MAX(0,E133-TODAY()),0)</f>
        <v/>
      </c>
      <c r="J133" s="11">
        <f>IF(I133&lt;=0,"Expired",IF(I133&lt;=30,"Expiring Soon",IF(I133&lt;=90,"Renewal Due","Active")))</f>
        <v/>
      </c>
      <c r="K133" s="11" t="n"/>
      <c r="L133" s="13" t="n"/>
      <c r="M133" s="11" t="n"/>
    </row>
    <row r="134" ht="22" customHeight="1">
      <c r="B134" s="15" t="n"/>
      <c r="C134" s="15" t="n"/>
      <c r="D134" s="18" t="n"/>
      <c r="E134" s="18" t="n"/>
      <c r="F134" s="16">
        <f>IFERROR((E134-D134)/30,0)</f>
        <v/>
      </c>
      <c r="G134" s="17" t="n"/>
      <c r="H134" s="17">
        <f>IFERROR(G134*F134,0)</f>
        <v/>
      </c>
      <c r="I134" s="16">
        <f>IFERROR(MAX(0,E134-TODAY()),0)</f>
        <v/>
      </c>
      <c r="J134" s="15">
        <f>IF(I134&lt;=0,"Expired",IF(I134&lt;=30,"Expiring Soon",IF(I134&lt;=90,"Renewal Due","Active")))</f>
        <v/>
      </c>
      <c r="K134" s="15" t="n"/>
      <c r="L134" s="17" t="n"/>
      <c r="M134" s="15" t="n"/>
    </row>
    <row r="135" ht="22" customHeight="1">
      <c r="B135" s="11" t="n"/>
      <c r="C135" s="11" t="n"/>
      <c r="D135" s="14" t="n"/>
      <c r="E135" s="14" t="n"/>
      <c r="F135" s="12">
        <f>IFERROR((E135-D135)/30,0)</f>
        <v/>
      </c>
      <c r="G135" s="13" t="n"/>
      <c r="H135" s="13">
        <f>IFERROR(G135*F135,0)</f>
        <v/>
      </c>
      <c r="I135" s="12">
        <f>IFERROR(MAX(0,E135-TODAY()),0)</f>
        <v/>
      </c>
      <c r="J135" s="11">
        <f>IF(I135&lt;=0,"Expired",IF(I135&lt;=30,"Expiring Soon",IF(I135&lt;=90,"Renewal Due","Active")))</f>
        <v/>
      </c>
      <c r="K135" s="11" t="n"/>
      <c r="L135" s="13" t="n"/>
      <c r="M135" s="11" t="n"/>
    </row>
    <row r="136" ht="22" customHeight="1">
      <c r="B136" s="15" t="n"/>
      <c r="C136" s="15" t="n"/>
      <c r="D136" s="18" t="n"/>
      <c r="E136" s="18" t="n"/>
      <c r="F136" s="16">
        <f>IFERROR((E136-D136)/30,0)</f>
        <v/>
      </c>
      <c r="G136" s="17" t="n"/>
      <c r="H136" s="17">
        <f>IFERROR(G136*F136,0)</f>
        <v/>
      </c>
      <c r="I136" s="16">
        <f>IFERROR(MAX(0,E136-TODAY()),0)</f>
        <v/>
      </c>
      <c r="J136" s="15">
        <f>IF(I136&lt;=0,"Expired",IF(I136&lt;=30,"Expiring Soon",IF(I136&lt;=90,"Renewal Due","Active")))</f>
        <v/>
      </c>
      <c r="K136" s="15" t="n"/>
      <c r="L136" s="17" t="n"/>
      <c r="M136" s="15" t="n"/>
    </row>
    <row r="137" ht="22" customHeight="1">
      <c r="B137" s="11" t="n"/>
      <c r="C137" s="11" t="n"/>
      <c r="D137" s="14" t="n"/>
      <c r="E137" s="14" t="n"/>
      <c r="F137" s="12">
        <f>IFERROR((E137-D137)/30,0)</f>
        <v/>
      </c>
      <c r="G137" s="13" t="n"/>
      <c r="H137" s="13">
        <f>IFERROR(G137*F137,0)</f>
        <v/>
      </c>
      <c r="I137" s="12">
        <f>IFERROR(MAX(0,E137-TODAY()),0)</f>
        <v/>
      </c>
      <c r="J137" s="11">
        <f>IF(I137&lt;=0,"Expired",IF(I137&lt;=30,"Expiring Soon",IF(I137&lt;=90,"Renewal Due","Active")))</f>
        <v/>
      </c>
      <c r="K137" s="11" t="n"/>
      <c r="L137" s="13" t="n"/>
      <c r="M137" s="11" t="n"/>
    </row>
    <row r="138" ht="22" customHeight="1">
      <c r="B138" s="15" t="n"/>
      <c r="C138" s="15" t="n"/>
      <c r="D138" s="18" t="n"/>
      <c r="E138" s="18" t="n"/>
      <c r="F138" s="16">
        <f>IFERROR((E138-D138)/30,0)</f>
        <v/>
      </c>
      <c r="G138" s="17" t="n"/>
      <c r="H138" s="17">
        <f>IFERROR(G138*F138,0)</f>
        <v/>
      </c>
      <c r="I138" s="16">
        <f>IFERROR(MAX(0,E138-TODAY()),0)</f>
        <v/>
      </c>
      <c r="J138" s="15">
        <f>IF(I138&lt;=0,"Expired",IF(I138&lt;=30,"Expiring Soon",IF(I138&lt;=90,"Renewal Due","Active")))</f>
        <v/>
      </c>
      <c r="K138" s="15" t="n"/>
      <c r="L138" s="17" t="n"/>
      <c r="M138" s="15" t="n"/>
    </row>
    <row r="139" ht="22" customHeight="1">
      <c r="B139" s="11" t="n"/>
      <c r="C139" s="11" t="n"/>
      <c r="D139" s="14" t="n"/>
      <c r="E139" s="14" t="n"/>
      <c r="F139" s="12">
        <f>IFERROR((E139-D139)/30,0)</f>
        <v/>
      </c>
      <c r="G139" s="13" t="n"/>
      <c r="H139" s="13">
        <f>IFERROR(G139*F139,0)</f>
        <v/>
      </c>
      <c r="I139" s="12">
        <f>IFERROR(MAX(0,E139-TODAY()),0)</f>
        <v/>
      </c>
      <c r="J139" s="11">
        <f>IF(I139&lt;=0,"Expired",IF(I139&lt;=30,"Expiring Soon",IF(I139&lt;=90,"Renewal Due","Active")))</f>
        <v/>
      </c>
      <c r="K139" s="11" t="n"/>
      <c r="L139" s="13" t="n"/>
      <c r="M139" s="11" t="n"/>
    </row>
    <row r="140" ht="22" customHeight="1">
      <c r="B140" s="15" t="n"/>
      <c r="C140" s="15" t="n"/>
      <c r="D140" s="18" t="n"/>
      <c r="E140" s="18" t="n"/>
      <c r="F140" s="16">
        <f>IFERROR((E140-D140)/30,0)</f>
        <v/>
      </c>
      <c r="G140" s="17" t="n"/>
      <c r="H140" s="17">
        <f>IFERROR(G140*F140,0)</f>
        <v/>
      </c>
      <c r="I140" s="16">
        <f>IFERROR(MAX(0,E140-TODAY()),0)</f>
        <v/>
      </c>
      <c r="J140" s="15">
        <f>IF(I140&lt;=0,"Expired",IF(I140&lt;=30,"Expiring Soon",IF(I140&lt;=90,"Renewal Due","Active")))</f>
        <v/>
      </c>
      <c r="K140" s="15" t="n"/>
      <c r="L140" s="17" t="n"/>
      <c r="M140" s="15" t="n"/>
    </row>
    <row r="141" ht="22" customHeight="1">
      <c r="B141" s="11" t="n"/>
      <c r="C141" s="11" t="n"/>
      <c r="D141" s="14" t="n"/>
      <c r="E141" s="14" t="n"/>
      <c r="F141" s="12">
        <f>IFERROR((E141-D141)/30,0)</f>
        <v/>
      </c>
      <c r="G141" s="13" t="n"/>
      <c r="H141" s="13">
        <f>IFERROR(G141*F141,0)</f>
        <v/>
      </c>
      <c r="I141" s="12">
        <f>IFERROR(MAX(0,E141-TODAY()),0)</f>
        <v/>
      </c>
      <c r="J141" s="11">
        <f>IF(I141&lt;=0,"Expired",IF(I141&lt;=30,"Expiring Soon",IF(I141&lt;=90,"Renewal Due","Active")))</f>
        <v/>
      </c>
      <c r="K141" s="11" t="n"/>
      <c r="L141" s="13" t="n"/>
      <c r="M141" s="11" t="n"/>
    </row>
    <row r="142" ht="22" customHeight="1">
      <c r="B142" s="15" t="n"/>
      <c r="C142" s="15" t="n"/>
      <c r="D142" s="18" t="n"/>
      <c r="E142" s="18" t="n"/>
      <c r="F142" s="16">
        <f>IFERROR((E142-D142)/30,0)</f>
        <v/>
      </c>
      <c r="G142" s="17" t="n"/>
      <c r="H142" s="17">
        <f>IFERROR(G142*F142,0)</f>
        <v/>
      </c>
      <c r="I142" s="16">
        <f>IFERROR(MAX(0,E142-TODAY()),0)</f>
        <v/>
      </c>
      <c r="J142" s="15">
        <f>IF(I142&lt;=0,"Expired",IF(I142&lt;=30,"Expiring Soon",IF(I142&lt;=90,"Renewal Due","Active")))</f>
        <v/>
      </c>
      <c r="K142" s="15" t="n"/>
      <c r="L142" s="17" t="n"/>
      <c r="M142" s="15" t="n"/>
    </row>
    <row r="143" ht="22" customHeight="1">
      <c r="B143" s="11" t="n"/>
      <c r="C143" s="11" t="n"/>
      <c r="D143" s="14" t="n"/>
      <c r="E143" s="14" t="n"/>
      <c r="F143" s="12">
        <f>IFERROR((E143-D143)/30,0)</f>
        <v/>
      </c>
      <c r="G143" s="13" t="n"/>
      <c r="H143" s="13">
        <f>IFERROR(G143*F143,0)</f>
        <v/>
      </c>
      <c r="I143" s="12">
        <f>IFERROR(MAX(0,E143-TODAY()),0)</f>
        <v/>
      </c>
      <c r="J143" s="11">
        <f>IF(I143&lt;=0,"Expired",IF(I143&lt;=30,"Expiring Soon",IF(I143&lt;=90,"Renewal Due","Active")))</f>
        <v/>
      </c>
      <c r="K143" s="11" t="n"/>
      <c r="L143" s="13" t="n"/>
      <c r="M143" s="11" t="n"/>
    </row>
    <row r="144" ht="22" customHeight="1">
      <c r="B144" s="15" t="n"/>
      <c r="C144" s="15" t="n"/>
      <c r="D144" s="18" t="n"/>
      <c r="E144" s="18" t="n"/>
      <c r="F144" s="16">
        <f>IFERROR((E144-D144)/30,0)</f>
        <v/>
      </c>
      <c r="G144" s="17" t="n"/>
      <c r="H144" s="17">
        <f>IFERROR(G144*F144,0)</f>
        <v/>
      </c>
      <c r="I144" s="16">
        <f>IFERROR(MAX(0,E144-TODAY()),0)</f>
        <v/>
      </c>
      <c r="J144" s="15">
        <f>IF(I144&lt;=0,"Expired",IF(I144&lt;=30,"Expiring Soon",IF(I144&lt;=90,"Renewal Due","Active")))</f>
        <v/>
      </c>
      <c r="K144" s="15" t="n"/>
      <c r="L144" s="17" t="n"/>
      <c r="M144" s="15" t="n"/>
    </row>
    <row r="145" ht="22" customHeight="1">
      <c r="B145" s="11" t="n"/>
      <c r="C145" s="11" t="n"/>
      <c r="D145" s="14" t="n"/>
      <c r="E145" s="14" t="n"/>
      <c r="F145" s="12">
        <f>IFERROR((E145-D145)/30,0)</f>
        <v/>
      </c>
      <c r="G145" s="13" t="n"/>
      <c r="H145" s="13">
        <f>IFERROR(G145*F145,0)</f>
        <v/>
      </c>
      <c r="I145" s="12">
        <f>IFERROR(MAX(0,E145-TODAY()),0)</f>
        <v/>
      </c>
      <c r="J145" s="11">
        <f>IF(I145&lt;=0,"Expired",IF(I145&lt;=30,"Expiring Soon",IF(I145&lt;=90,"Renewal Due","Active")))</f>
        <v/>
      </c>
      <c r="K145" s="11" t="n"/>
      <c r="L145" s="13" t="n"/>
      <c r="M145" s="11" t="n"/>
    </row>
    <row r="146" ht="22" customHeight="1">
      <c r="B146" s="15" t="n"/>
      <c r="C146" s="15" t="n"/>
      <c r="D146" s="18" t="n"/>
      <c r="E146" s="18" t="n"/>
      <c r="F146" s="16">
        <f>IFERROR((E146-D146)/30,0)</f>
        <v/>
      </c>
      <c r="G146" s="17" t="n"/>
      <c r="H146" s="17">
        <f>IFERROR(G146*F146,0)</f>
        <v/>
      </c>
      <c r="I146" s="16">
        <f>IFERROR(MAX(0,E146-TODAY()),0)</f>
        <v/>
      </c>
      <c r="J146" s="15">
        <f>IF(I146&lt;=0,"Expired",IF(I146&lt;=30,"Expiring Soon",IF(I146&lt;=90,"Renewal Due","Active")))</f>
        <v/>
      </c>
      <c r="K146" s="15" t="n"/>
      <c r="L146" s="17" t="n"/>
      <c r="M146" s="15" t="n"/>
    </row>
    <row r="147" ht="22" customHeight="1">
      <c r="B147" s="11" t="n"/>
      <c r="C147" s="11" t="n"/>
      <c r="D147" s="14" t="n"/>
      <c r="E147" s="14" t="n"/>
      <c r="F147" s="12">
        <f>IFERROR((E147-D147)/30,0)</f>
        <v/>
      </c>
      <c r="G147" s="13" t="n"/>
      <c r="H147" s="13">
        <f>IFERROR(G147*F147,0)</f>
        <v/>
      </c>
      <c r="I147" s="12">
        <f>IFERROR(MAX(0,E147-TODAY()),0)</f>
        <v/>
      </c>
      <c r="J147" s="11">
        <f>IF(I147&lt;=0,"Expired",IF(I147&lt;=30,"Expiring Soon",IF(I147&lt;=90,"Renewal Due","Active")))</f>
        <v/>
      </c>
      <c r="K147" s="11" t="n"/>
      <c r="L147" s="13" t="n"/>
      <c r="M147" s="11" t="n"/>
    </row>
    <row r="148" ht="22" customHeight="1">
      <c r="B148" s="15" t="n"/>
      <c r="C148" s="15" t="n"/>
      <c r="D148" s="18" t="n"/>
      <c r="E148" s="18" t="n"/>
      <c r="F148" s="16">
        <f>IFERROR((E148-D148)/30,0)</f>
        <v/>
      </c>
      <c r="G148" s="17" t="n"/>
      <c r="H148" s="17">
        <f>IFERROR(G148*F148,0)</f>
        <v/>
      </c>
      <c r="I148" s="16">
        <f>IFERROR(MAX(0,E148-TODAY()),0)</f>
        <v/>
      </c>
      <c r="J148" s="15">
        <f>IF(I148&lt;=0,"Expired",IF(I148&lt;=30,"Expiring Soon",IF(I148&lt;=90,"Renewal Due","Active")))</f>
        <v/>
      </c>
      <c r="K148" s="15" t="n"/>
      <c r="L148" s="17" t="n"/>
      <c r="M148" s="15" t="n"/>
    </row>
    <row r="149" ht="22" customHeight="1">
      <c r="B149" s="11" t="n"/>
      <c r="C149" s="11" t="n"/>
      <c r="D149" s="14" t="n"/>
      <c r="E149" s="14" t="n"/>
      <c r="F149" s="12">
        <f>IFERROR((E149-D149)/30,0)</f>
        <v/>
      </c>
      <c r="G149" s="13" t="n"/>
      <c r="H149" s="13">
        <f>IFERROR(G149*F149,0)</f>
        <v/>
      </c>
      <c r="I149" s="12">
        <f>IFERROR(MAX(0,E149-TODAY()),0)</f>
        <v/>
      </c>
      <c r="J149" s="11">
        <f>IF(I149&lt;=0,"Expired",IF(I149&lt;=30,"Expiring Soon",IF(I149&lt;=90,"Renewal Due","Active")))</f>
        <v/>
      </c>
      <c r="K149" s="11" t="n"/>
      <c r="L149" s="13" t="n"/>
      <c r="M149" s="11" t="n"/>
    </row>
    <row r="150" ht="22" customHeight="1">
      <c r="B150" s="15" t="n"/>
      <c r="C150" s="15" t="n"/>
      <c r="D150" s="18" t="n"/>
      <c r="E150" s="18" t="n"/>
      <c r="F150" s="16">
        <f>IFERROR((E150-D150)/30,0)</f>
        <v/>
      </c>
      <c r="G150" s="17" t="n"/>
      <c r="H150" s="17">
        <f>IFERROR(G150*F150,0)</f>
        <v/>
      </c>
      <c r="I150" s="16">
        <f>IFERROR(MAX(0,E150-TODAY()),0)</f>
        <v/>
      </c>
      <c r="J150" s="15">
        <f>IF(I150&lt;=0,"Expired",IF(I150&lt;=30,"Expiring Soon",IF(I150&lt;=90,"Renewal Due","Active")))</f>
        <v/>
      </c>
      <c r="K150" s="15" t="n"/>
      <c r="L150" s="17" t="n"/>
      <c r="M150" s="15" t="n"/>
    </row>
    <row r="151" ht="22" customHeight="1">
      <c r="B151" s="11" t="n"/>
      <c r="C151" s="11" t="n"/>
      <c r="D151" s="14" t="n"/>
      <c r="E151" s="14" t="n"/>
      <c r="F151" s="12">
        <f>IFERROR((E151-D151)/30,0)</f>
        <v/>
      </c>
      <c r="G151" s="13" t="n"/>
      <c r="H151" s="13">
        <f>IFERROR(G151*F151,0)</f>
        <v/>
      </c>
      <c r="I151" s="12">
        <f>IFERROR(MAX(0,E151-TODAY()),0)</f>
        <v/>
      </c>
      <c r="J151" s="11">
        <f>IF(I151&lt;=0,"Expired",IF(I151&lt;=30,"Expiring Soon",IF(I151&lt;=90,"Renewal Due","Active")))</f>
        <v/>
      </c>
      <c r="K151" s="11" t="n"/>
      <c r="L151" s="13" t="n"/>
      <c r="M151" s="11" t="n"/>
    </row>
    <row r="152" ht="22" customHeight="1">
      <c r="B152" s="15" t="n"/>
      <c r="C152" s="15" t="n"/>
      <c r="D152" s="18" t="n"/>
      <c r="E152" s="18" t="n"/>
      <c r="F152" s="16">
        <f>IFERROR((E152-D152)/30,0)</f>
        <v/>
      </c>
      <c r="G152" s="17" t="n"/>
      <c r="H152" s="17">
        <f>IFERROR(G152*F152,0)</f>
        <v/>
      </c>
      <c r="I152" s="16">
        <f>IFERROR(MAX(0,E152-TODAY()),0)</f>
        <v/>
      </c>
      <c r="J152" s="15">
        <f>IF(I152&lt;=0,"Expired",IF(I152&lt;=30,"Expiring Soon",IF(I152&lt;=90,"Renewal Due","Active")))</f>
        <v/>
      </c>
      <c r="K152" s="15" t="n"/>
      <c r="L152" s="17" t="n"/>
      <c r="M152" s="15" t="n"/>
    </row>
    <row r="153" ht="22" customHeight="1">
      <c r="B153" s="11" t="n"/>
      <c r="C153" s="11" t="n"/>
      <c r="D153" s="14" t="n"/>
      <c r="E153" s="14" t="n"/>
      <c r="F153" s="12">
        <f>IFERROR((E153-D153)/30,0)</f>
        <v/>
      </c>
      <c r="G153" s="13" t="n"/>
      <c r="H153" s="13">
        <f>IFERROR(G153*F153,0)</f>
        <v/>
      </c>
      <c r="I153" s="12">
        <f>IFERROR(MAX(0,E153-TODAY()),0)</f>
        <v/>
      </c>
      <c r="J153" s="11">
        <f>IF(I153&lt;=0,"Expired",IF(I153&lt;=30,"Expiring Soon",IF(I153&lt;=90,"Renewal Due","Active")))</f>
        <v/>
      </c>
      <c r="K153" s="11" t="n"/>
      <c r="L153" s="13" t="n"/>
      <c r="M153" s="11" t="n"/>
    </row>
    <row r="154" ht="22" customHeight="1">
      <c r="B154" s="15" t="n"/>
      <c r="C154" s="15" t="n"/>
      <c r="D154" s="18" t="n"/>
      <c r="E154" s="18" t="n"/>
      <c r="F154" s="16">
        <f>IFERROR((E154-D154)/30,0)</f>
        <v/>
      </c>
      <c r="G154" s="17" t="n"/>
      <c r="H154" s="17">
        <f>IFERROR(G154*F154,0)</f>
        <v/>
      </c>
      <c r="I154" s="16">
        <f>IFERROR(MAX(0,E154-TODAY()),0)</f>
        <v/>
      </c>
      <c r="J154" s="15">
        <f>IF(I154&lt;=0,"Expired",IF(I154&lt;=30,"Expiring Soon",IF(I154&lt;=90,"Renewal Due","Active")))</f>
        <v/>
      </c>
      <c r="K154" s="15" t="n"/>
      <c r="L154" s="17" t="n"/>
      <c r="M154" s="15" t="n"/>
    </row>
    <row r="157">
      <c r="B157" s="22" t="inlineStr">
        <is>
          <t>CONTRACT SUMMARY</t>
        </is>
      </c>
    </row>
    <row r="158">
      <c r="B158" s="23" t="inlineStr">
        <is>
          <t># Active</t>
        </is>
      </c>
      <c r="C158" s="3" t="n"/>
      <c r="D158" s="26">
        <f>IFERROR(COUNTIF(J5:J154,"Active"),0)</f>
        <v/>
      </c>
      <c r="E158" s="3" t="n"/>
    </row>
    <row r="159">
      <c r="B159" s="23" t="inlineStr">
        <is>
          <t># Expiring Soon</t>
        </is>
      </c>
      <c r="C159" s="3" t="n"/>
      <c r="D159" s="26">
        <f>IFERROR(COUNTIF(J5:J154,"Expiring Soon"),0)</f>
        <v/>
      </c>
      <c r="E159" s="3" t="n"/>
    </row>
    <row r="160">
      <c r="B160" s="23" t="inlineStr">
        <is>
          <t># Renewal Due</t>
        </is>
      </c>
      <c r="C160" s="3" t="n"/>
      <c r="D160" s="26">
        <f>IFERROR(COUNTIF(J5:J154,"Renewal Due"),0)</f>
        <v/>
      </c>
      <c r="E160" s="3" t="n"/>
    </row>
    <row r="161">
      <c r="B161" s="23" t="inlineStr">
        <is>
          <t># Expired</t>
        </is>
      </c>
      <c r="C161" s="3" t="n"/>
      <c r="D161" s="26">
        <f>IFERROR(COUNTIF(J5:J154,"Expired"),0)</f>
        <v/>
      </c>
      <c r="E161" s="3" t="n"/>
    </row>
    <row r="162">
      <c r="B162" s="23" t="inlineStr">
        <is>
          <t># Total</t>
        </is>
      </c>
      <c r="C162" s="3" t="n"/>
      <c r="D162" s="26">
        <f>IFERROR(COUNTA(B5:B154)-COUNTBLANK(B5:B154),0)</f>
        <v/>
      </c>
      <c r="E162" s="3" t="n"/>
    </row>
  </sheetData>
  <mergeCells count="2">
    <mergeCell ref="B2:M2"/>
    <mergeCell ref="B157:E157"/>
  </mergeCells>
  <conditionalFormatting sqref="J5:J154">
    <cfRule type="cellIs" priority="1" operator="equal" dxfId="1">
      <formula>"Expired"</formula>
    </cfRule>
    <cfRule type="cellIs" priority="2" operator="equal" dxfId="2">
      <formula>"Expiring Soon"</formula>
    </cfRule>
    <cfRule type="cellIs" priority="3" operator="equal" dxfId="4">
      <formula>"Renewal Due"</formula>
    </cfRule>
    <cfRule type="cellIs" priority="4" operator="equal" dxfId="0">
      <formula>"Active"</formula>
    </cfRule>
  </conditionalFormatting>
  <dataValidations count="1">
    <dataValidation sqref="J5:J154" showDropDown="0" showInputMessage="0" showErrorMessage="0" allowBlank="1" prompt="Select Renewal Status" type="list">
      <formula1>"Renewed,In Negotiation,Not Renewed,Tenant Leaving"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2026-05-23T22:26:42Z</dcterms:created>
  <dcterms:modified xmlns:dcterms="http://purl.org/dc/terms/" xmlns:xsi="http://www.w3.org/2001/XMLSchema-instance" xsi:type="dcterms:W3CDTF">2026-05-23T22:26:43Z</dcterms:modified>
</cp:coreProperties>
</file>