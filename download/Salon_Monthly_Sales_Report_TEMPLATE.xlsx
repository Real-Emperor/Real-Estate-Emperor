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ales" sheetId="1" state="visible" r:id="rId1"/>
    <sheet xmlns:r="http://schemas.openxmlformats.org/officeDocument/2006/relationships" name="Service Breakdown" sheetId="2" state="visible" r:id="rId2"/>
    <sheet xmlns:r="http://schemas.openxmlformats.org/officeDocument/2006/relationships" name="Staff Performance" sheetId="3" state="visible" r:id="rId3"/>
    <sheet xmlns:r="http://schemas.openxmlformats.org/officeDocument/2006/relationships" name="Expense Tracker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Noto Sans CJK SC"/>
      <color rgb="002C2C2C"/>
      <sz val="16"/>
    </font>
    <font>
      <name val="Noto Sans CJK SC"/>
      <color rgb="00808080"/>
      <sz val="9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A1A1A"/>
      <sz val="11"/>
    </font>
    <font>
      <name val="Noto Sans CJK SC"/>
      <color rgb="002C2C2C"/>
      <sz val="11"/>
    </font>
  </fonts>
  <fills count="7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E5E5E5"/>
      </patternFill>
    </fill>
  </fills>
  <borders count="3">
    <border>
      <left/>
      <right/>
      <top/>
      <bottom/>
      <diagonal/>
    </border>
    <border>
      <bottom style="thin">
        <color rgb="00D4D4D4"/>
      </bottom>
    </border>
    <border>
      <top style="medium">
        <color rgb="00D4D4D4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right" vertical="center"/>
    </xf>
    <xf numFmtId="3" fontId="5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3" fontId="5" fillId="5" borderId="0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0" fontId="6" fillId="6" borderId="2" pivotButton="0" quotePrefix="0" xfId="0"/>
    <xf numFmtId="3" fontId="6" fillId="6" borderId="2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4" fontId="5" fillId="4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4" fontId="5" fillId="5" borderId="0" applyAlignment="1" pivotButton="0" quotePrefix="0" xfId="0">
      <alignment horizontal="right" vertical="center"/>
    </xf>
    <xf numFmtId="4" fontId="6" fillId="6" borderId="2" applyAlignment="1" pivotButton="0" quotePrefix="0" xfId="0">
      <alignment horizontal="right" vertical="center"/>
    </xf>
    <xf numFmtId="165" fontId="6" fillId="6" borderId="2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color rgb="00C0392B"/>
      </font>
      <fill>
        <patternFill>
          <bgColor rgb="00FDEDEC"/>
        </patternFill>
      </fill>
    </dxf>
    <dxf>
      <font>
        <color rgb="001B7D46"/>
      </font>
      <fill>
        <patternFill>
          <b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Daily Total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Sales'!I5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'Daily Sales'!$B$6:$B$36</f>
            </numRef>
          </cat>
          <val>
            <numRef>
              <f>'Daily Sales'!$I$6:$I$36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Payment Method Split</a:t>
            </a:r>
          </a:p>
        </rich>
      </tx>
    </title>
    <plotArea>
      <pieChart>
        <varyColors val="1"/>
        <ser>
          <idx val="0"/>
          <order val="0"/>
          <tx>
            <strRef>
              <f>'Daily Sales'!J37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C2C2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A4A4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prstDash val="solid"/>
              </a:ln>
            </spPr>
          </dPt>
          <cat>
            <numRef>
              <f>'Daily Sales'!$J$5:$L$5</f>
            </numRef>
          </cat>
          <val>
            <numRef>
              <f>'Daily Sales'!$K$37:$L$37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by Service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C2C2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A4A4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B0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0808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C2C2C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A4A4A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8B0000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808080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2C2C2C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4A4A4A"/>
              </a:solidFill>
              <a:ln xmlns:a="http://schemas.openxmlformats.org/drawingml/2006/main">
                <a:prstDash val="solid"/>
              </a:ln>
            </spPr>
          </dPt>
          <cat>
            <numRef>
              <f>'Service Breakdown'!$B$5:$B$16</f>
            </numRef>
          </cat>
          <val>
            <numRef>
              <f>'Service Breakdown'!$E$5:$E$16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Bookings by Service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'Service Breakdown'!C4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'Service Breakdown'!$B$5:$B$16</f>
            </numRef>
          </cat>
          <val>
            <numRef>
              <f>'Service Breakdown'!$C$5:$C$16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Bookings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by Staff Member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'Staff Performance'!D4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'Staff Performance'!$B$5:$B$12</f>
            </numRef>
          </cat>
          <val>
            <numRef>
              <f>'Staff Performance'!$D$5:$D$12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 Tracker'!C4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'Expense Tracker'!$B$5:$B$15</f>
            </numRef>
          </cat>
          <val>
            <numRef>
              <f>'Expense Tracker'!$C$5:$C$15</f>
            </numRef>
          </val>
        </ser>
        <ser>
          <idx val="1"/>
          <order val="1"/>
          <tx>
            <strRef>
              <f>'Expense Tracker'!D4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'Expense Tracker'!$B$5:$B$15</f>
            </numRef>
          </cat>
          <val>
            <numRef>
              <f>'Expense Tracker'!$D$5:$D$15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vs Expenses (6 Months)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Summary'!C18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'Monthly Summary'!$B$19:$B$24</f>
            </numRef>
          </cat>
          <val>
            <numRef>
              <f>'Monthly Summary'!$C$19:$C$24</f>
            </numRef>
          </val>
        </ser>
        <ser>
          <idx val="1"/>
          <order val="1"/>
          <tx>
            <strRef>
              <f>'Monthly Summary'!D18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'Monthly Summary'!$B$19:$B$24</f>
            </numRef>
          </cat>
          <val>
            <numRef>
              <f>'Monthly Summary'!$D$19:$D$24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40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18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34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25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15" customHeight="1"/>
    <row r="2" ht="32" customHeight="1">
      <c r="B2" s="1" t="inlineStr">
        <is>
          <t>Daily Sales Record — [Month/Year]</t>
        </is>
      </c>
    </row>
    <row r="3" ht="18" customHeight="1">
      <c r="B3" s="2" t="inlineStr">
        <is>
          <t>Enter daily data in the yellow-highlighted columns. All other columns calculate automatically.</t>
        </is>
      </c>
    </row>
    <row r="4" ht="8" customHeight="1"/>
    <row r="5" ht="28" customHeight="1">
      <c r="B5" s="3" t="inlineStr">
        <is>
          <t>Day</t>
        </is>
      </c>
      <c r="C5" s="3" t="inlineStr">
        <is>
          <t>Date</t>
        </is>
      </c>
      <c r="D5" s="3" t="inlineStr">
        <is>
          <t>Walk-Ins</t>
        </is>
      </c>
      <c r="E5" s="3" t="inlineStr">
        <is>
          <t>Appointments</t>
        </is>
      </c>
      <c r="F5" s="3" t="inlineStr">
        <is>
          <t>Total Clients</t>
        </is>
      </c>
      <c r="G5" s="3" t="inlineStr">
        <is>
          <t>Service Revenue</t>
        </is>
      </c>
      <c r="H5" s="3" t="inlineStr">
        <is>
          <t>Product Revenue</t>
        </is>
      </c>
      <c r="I5" s="3" t="inlineStr">
        <is>
          <t>Total Revenue</t>
        </is>
      </c>
      <c r="J5" s="3" t="inlineStr">
        <is>
          <t>Cash</t>
        </is>
      </c>
      <c r="K5" s="3" t="inlineStr">
        <is>
          <t>Card</t>
        </is>
      </c>
      <c r="L5" s="3" t="inlineStr">
        <is>
          <t>Online</t>
        </is>
      </c>
      <c r="M5" s="3" t="inlineStr">
        <is>
          <t>Total Payments</t>
        </is>
      </c>
      <c r="N5" s="3" t="inlineStr">
        <is>
          <t>Payment Variance</t>
        </is>
      </c>
    </row>
    <row r="6" ht="22" customHeight="1">
      <c r="B6" s="4" t="n">
        <v>1</v>
      </c>
      <c r="C6" s="5" t="n"/>
      <c r="D6" s="6" t="n"/>
      <c r="E6" s="6" t="n"/>
      <c r="F6" s="7">
        <f>D6+E6</f>
        <v/>
      </c>
      <c r="G6" s="6" t="n"/>
      <c r="H6" s="6" t="n"/>
      <c r="I6" s="7">
        <f>G6+H6</f>
        <v/>
      </c>
      <c r="J6" s="6" t="n"/>
      <c r="K6" s="6" t="n"/>
      <c r="L6" s="6" t="n"/>
      <c r="M6" s="7">
        <f>J6+K6+L6</f>
        <v/>
      </c>
      <c r="N6" s="7">
        <f>I6-M6</f>
        <v/>
      </c>
    </row>
    <row r="7" ht="22" customHeight="1">
      <c r="B7" s="8" t="n">
        <v>2</v>
      </c>
      <c r="C7" s="5" t="n"/>
      <c r="D7" s="6" t="n"/>
      <c r="E7" s="6" t="n"/>
      <c r="F7" s="9">
        <f>D7+E7</f>
        <v/>
      </c>
      <c r="G7" s="6" t="n"/>
      <c r="H7" s="6" t="n"/>
      <c r="I7" s="9">
        <f>G7+H7</f>
        <v/>
      </c>
      <c r="J7" s="6" t="n"/>
      <c r="K7" s="6" t="n"/>
      <c r="L7" s="6" t="n"/>
      <c r="M7" s="9">
        <f>J7+K7+L7</f>
        <v/>
      </c>
      <c r="N7" s="9">
        <f>I7-M7</f>
        <v/>
      </c>
    </row>
    <row r="8" ht="22" customHeight="1">
      <c r="B8" s="4" t="n">
        <v>3</v>
      </c>
      <c r="C8" s="5" t="n"/>
      <c r="D8" s="6" t="n"/>
      <c r="E8" s="6" t="n"/>
      <c r="F8" s="7">
        <f>D8+E8</f>
        <v/>
      </c>
      <c r="G8" s="6" t="n"/>
      <c r="H8" s="6" t="n"/>
      <c r="I8" s="7">
        <f>G8+H8</f>
        <v/>
      </c>
      <c r="J8" s="6" t="n"/>
      <c r="K8" s="6" t="n"/>
      <c r="L8" s="6" t="n"/>
      <c r="M8" s="7">
        <f>J8+K8+L8</f>
        <v/>
      </c>
      <c r="N8" s="7">
        <f>I8-M8</f>
        <v/>
      </c>
    </row>
    <row r="9" ht="22" customHeight="1">
      <c r="B9" s="8" t="n">
        <v>4</v>
      </c>
      <c r="C9" s="5" t="n"/>
      <c r="D9" s="6" t="n"/>
      <c r="E9" s="6" t="n"/>
      <c r="F9" s="9">
        <f>D9+E9</f>
        <v/>
      </c>
      <c r="G9" s="6" t="n"/>
      <c r="H9" s="6" t="n"/>
      <c r="I9" s="9">
        <f>G9+H9</f>
        <v/>
      </c>
      <c r="J9" s="6" t="n"/>
      <c r="K9" s="6" t="n"/>
      <c r="L9" s="6" t="n"/>
      <c r="M9" s="9">
        <f>J9+K9+L9</f>
        <v/>
      </c>
      <c r="N9" s="9">
        <f>I9-M9</f>
        <v/>
      </c>
    </row>
    <row r="10" ht="22" customHeight="1">
      <c r="B10" s="4" t="n">
        <v>5</v>
      </c>
      <c r="C10" s="5" t="n"/>
      <c r="D10" s="6" t="n"/>
      <c r="E10" s="6" t="n"/>
      <c r="F10" s="7">
        <f>D10+E10</f>
        <v/>
      </c>
      <c r="G10" s="6" t="n"/>
      <c r="H10" s="6" t="n"/>
      <c r="I10" s="7">
        <f>G10+H10</f>
        <v/>
      </c>
      <c r="J10" s="6" t="n"/>
      <c r="K10" s="6" t="n"/>
      <c r="L10" s="6" t="n"/>
      <c r="M10" s="7">
        <f>J10+K10+L10</f>
        <v/>
      </c>
      <c r="N10" s="7">
        <f>I10-M10</f>
        <v/>
      </c>
    </row>
    <row r="11" ht="22" customHeight="1">
      <c r="B11" s="8" t="n">
        <v>6</v>
      </c>
      <c r="C11" s="5" t="n"/>
      <c r="D11" s="6" t="n"/>
      <c r="E11" s="6" t="n"/>
      <c r="F11" s="9">
        <f>D11+E11</f>
        <v/>
      </c>
      <c r="G11" s="6" t="n"/>
      <c r="H11" s="6" t="n"/>
      <c r="I11" s="9">
        <f>G11+H11</f>
        <v/>
      </c>
      <c r="J11" s="6" t="n"/>
      <c r="K11" s="6" t="n"/>
      <c r="L11" s="6" t="n"/>
      <c r="M11" s="9">
        <f>J11+K11+L11</f>
        <v/>
      </c>
      <c r="N11" s="9">
        <f>I11-M11</f>
        <v/>
      </c>
    </row>
    <row r="12" ht="22" customHeight="1">
      <c r="B12" s="4" t="n">
        <v>7</v>
      </c>
      <c r="C12" s="5" t="n"/>
      <c r="D12" s="6" t="n"/>
      <c r="E12" s="6" t="n"/>
      <c r="F12" s="7">
        <f>D12+E12</f>
        <v/>
      </c>
      <c r="G12" s="6" t="n"/>
      <c r="H12" s="6" t="n"/>
      <c r="I12" s="7">
        <f>G12+H12</f>
        <v/>
      </c>
      <c r="J12" s="6" t="n"/>
      <c r="K12" s="6" t="n"/>
      <c r="L12" s="6" t="n"/>
      <c r="M12" s="7">
        <f>J12+K12+L12</f>
        <v/>
      </c>
      <c r="N12" s="7">
        <f>I12-M12</f>
        <v/>
      </c>
    </row>
    <row r="13" ht="22" customHeight="1">
      <c r="B13" s="8" t="n">
        <v>8</v>
      </c>
      <c r="C13" s="5" t="n"/>
      <c r="D13" s="6" t="n"/>
      <c r="E13" s="6" t="n"/>
      <c r="F13" s="9">
        <f>D13+E13</f>
        <v/>
      </c>
      <c r="G13" s="6" t="n"/>
      <c r="H13" s="6" t="n"/>
      <c r="I13" s="9">
        <f>G13+H13</f>
        <v/>
      </c>
      <c r="J13" s="6" t="n"/>
      <c r="K13" s="6" t="n"/>
      <c r="L13" s="6" t="n"/>
      <c r="M13" s="9">
        <f>J13+K13+L13</f>
        <v/>
      </c>
      <c r="N13" s="9">
        <f>I13-M13</f>
        <v/>
      </c>
    </row>
    <row r="14" ht="22" customHeight="1">
      <c r="B14" s="4" t="n">
        <v>9</v>
      </c>
      <c r="C14" s="5" t="n"/>
      <c r="D14" s="6" t="n"/>
      <c r="E14" s="6" t="n"/>
      <c r="F14" s="7">
        <f>D14+E14</f>
        <v/>
      </c>
      <c r="G14" s="6" t="n"/>
      <c r="H14" s="6" t="n"/>
      <c r="I14" s="7">
        <f>G14+H14</f>
        <v/>
      </c>
      <c r="J14" s="6" t="n"/>
      <c r="K14" s="6" t="n"/>
      <c r="L14" s="6" t="n"/>
      <c r="M14" s="7">
        <f>J14+K14+L14</f>
        <v/>
      </c>
      <c r="N14" s="7">
        <f>I14-M14</f>
        <v/>
      </c>
    </row>
    <row r="15" ht="22" customHeight="1">
      <c r="B15" s="8" t="n">
        <v>10</v>
      </c>
      <c r="C15" s="5" t="n"/>
      <c r="D15" s="6" t="n"/>
      <c r="E15" s="6" t="n"/>
      <c r="F15" s="9">
        <f>D15+E15</f>
        <v/>
      </c>
      <c r="G15" s="6" t="n"/>
      <c r="H15" s="6" t="n"/>
      <c r="I15" s="9">
        <f>G15+H15</f>
        <v/>
      </c>
      <c r="J15" s="6" t="n"/>
      <c r="K15" s="6" t="n"/>
      <c r="L15" s="6" t="n"/>
      <c r="M15" s="9">
        <f>J15+K15+L15</f>
        <v/>
      </c>
      <c r="N15" s="9">
        <f>I15-M15</f>
        <v/>
      </c>
    </row>
    <row r="16" ht="22" customHeight="1">
      <c r="B16" s="4" t="n">
        <v>11</v>
      </c>
      <c r="C16" s="5" t="n"/>
      <c r="D16" s="6" t="n"/>
      <c r="E16" s="6" t="n"/>
      <c r="F16" s="7">
        <f>D16+E16</f>
        <v/>
      </c>
      <c r="G16" s="6" t="n"/>
      <c r="H16" s="6" t="n"/>
      <c r="I16" s="7">
        <f>G16+H16</f>
        <v/>
      </c>
      <c r="J16" s="6" t="n"/>
      <c r="K16" s="6" t="n"/>
      <c r="L16" s="6" t="n"/>
      <c r="M16" s="7">
        <f>J16+K16+L16</f>
        <v/>
      </c>
      <c r="N16" s="7">
        <f>I16-M16</f>
        <v/>
      </c>
    </row>
    <row r="17" ht="22" customHeight="1">
      <c r="B17" s="8" t="n">
        <v>12</v>
      </c>
      <c r="C17" s="5" t="n"/>
      <c r="D17" s="6" t="n"/>
      <c r="E17" s="6" t="n"/>
      <c r="F17" s="9">
        <f>D17+E17</f>
        <v/>
      </c>
      <c r="G17" s="6" t="n"/>
      <c r="H17" s="6" t="n"/>
      <c r="I17" s="9">
        <f>G17+H17</f>
        <v/>
      </c>
      <c r="J17" s="6" t="n"/>
      <c r="K17" s="6" t="n"/>
      <c r="L17" s="6" t="n"/>
      <c r="M17" s="9">
        <f>J17+K17+L17</f>
        <v/>
      </c>
      <c r="N17" s="9">
        <f>I17-M17</f>
        <v/>
      </c>
    </row>
    <row r="18" ht="22" customHeight="1">
      <c r="B18" s="4" t="n">
        <v>13</v>
      </c>
      <c r="C18" s="5" t="n"/>
      <c r="D18" s="6" t="n"/>
      <c r="E18" s="6" t="n"/>
      <c r="F18" s="7">
        <f>D18+E18</f>
        <v/>
      </c>
      <c r="G18" s="6" t="n"/>
      <c r="H18" s="6" t="n"/>
      <c r="I18" s="7">
        <f>G18+H18</f>
        <v/>
      </c>
      <c r="J18" s="6" t="n"/>
      <c r="K18" s="6" t="n"/>
      <c r="L18" s="6" t="n"/>
      <c r="M18" s="7">
        <f>J18+K18+L18</f>
        <v/>
      </c>
      <c r="N18" s="7">
        <f>I18-M18</f>
        <v/>
      </c>
    </row>
    <row r="19" ht="22" customHeight="1">
      <c r="B19" s="8" t="n">
        <v>14</v>
      </c>
      <c r="C19" s="5" t="n"/>
      <c r="D19" s="6" t="n"/>
      <c r="E19" s="6" t="n"/>
      <c r="F19" s="9">
        <f>D19+E19</f>
        <v/>
      </c>
      <c r="G19" s="6" t="n"/>
      <c r="H19" s="6" t="n"/>
      <c r="I19" s="9">
        <f>G19+H19</f>
        <v/>
      </c>
      <c r="J19" s="6" t="n"/>
      <c r="K19" s="6" t="n"/>
      <c r="L19" s="6" t="n"/>
      <c r="M19" s="9">
        <f>J19+K19+L19</f>
        <v/>
      </c>
      <c r="N19" s="9">
        <f>I19-M19</f>
        <v/>
      </c>
    </row>
    <row r="20" ht="22" customHeight="1">
      <c r="B20" s="4" t="n">
        <v>15</v>
      </c>
      <c r="C20" s="5" t="n"/>
      <c r="D20" s="6" t="n"/>
      <c r="E20" s="6" t="n"/>
      <c r="F20" s="7">
        <f>D20+E20</f>
        <v/>
      </c>
      <c r="G20" s="6" t="n"/>
      <c r="H20" s="6" t="n"/>
      <c r="I20" s="7">
        <f>G20+H20</f>
        <v/>
      </c>
      <c r="J20" s="6" t="n"/>
      <c r="K20" s="6" t="n"/>
      <c r="L20" s="6" t="n"/>
      <c r="M20" s="7">
        <f>J20+K20+L20</f>
        <v/>
      </c>
      <c r="N20" s="7">
        <f>I20-M20</f>
        <v/>
      </c>
    </row>
    <row r="21" ht="22" customHeight="1">
      <c r="B21" s="8" t="n">
        <v>16</v>
      </c>
      <c r="C21" s="5" t="n"/>
      <c r="D21" s="6" t="n"/>
      <c r="E21" s="6" t="n"/>
      <c r="F21" s="9">
        <f>D21+E21</f>
        <v/>
      </c>
      <c r="G21" s="6" t="n"/>
      <c r="H21" s="6" t="n"/>
      <c r="I21" s="9">
        <f>G21+H21</f>
        <v/>
      </c>
      <c r="J21" s="6" t="n"/>
      <c r="K21" s="6" t="n"/>
      <c r="L21" s="6" t="n"/>
      <c r="M21" s="9">
        <f>J21+K21+L21</f>
        <v/>
      </c>
      <c r="N21" s="9">
        <f>I21-M21</f>
        <v/>
      </c>
    </row>
    <row r="22" ht="22" customHeight="1">
      <c r="B22" s="4" t="n">
        <v>17</v>
      </c>
      <c r="C22" s="5" t="n"/>
      <c r="D22" s="6" t="n"/>
      <c r="E22" s="6" t="n"/>
      <c r="F22" s="7">
        <f>D22+E22</f>
        <v/>
      </c>
      <c r="G22" s="6" t="n"/>
      <c r="H22" s="6" t="n"/>
      <c r="I22" s="7">
        <f>G22+H22</f>
        <v/>
      </c>
      <c r="J22" s="6" t="n"/>
      <c r="K22" s="6" t="n"/>
      <c r="L22" s="6" t="n"/>
      <c r="M22" s="7">
        <f>J22+K22+L22</f>
        <v/>
      </c>
      <c r="N22" s="7">
        <f>I22-M22</f>
        <v/>
      </c>
    </row>
    <row r="23" ht="22" customHeight="1">
      <c r="B23" s="8" t="n">
        <v>18</v>
      </c>
      <c r="C23" s="5" t="n"/>
      <c r="D23" s="6" t="n"/>
      <c r="E23" s="6" t="n"/>
      <c r="F23" s="9">
        <f>D23+E23</f>
        <v/>
      </c>
      <c r="G23" s="6" t="n"/>
      <c r="H23" s="6" t="n"/>
      <c r="I23" s="9">
        <f>G23+H23</f>
        <v/>
      </c>
      <c r="J23" s="6" t="n"/>
      <c r="K23" s="6" t="n"/>
      <c r="L23" s="6" t="n"/>
      <c r="M23" s="9">
        <f>J23+K23+L23</f>
        <v/>
      </c>
      <c r="N23" s="9">
        <f>I23-M23</f>
        <v/>
      </c>
    </row>
    <row r="24" ht="22" customHeight="1">
      <c r="B24" s="4" t="n">
        <v>19</v>
      </c>
      <c r="C24" s="5" t="n"/>
      <c r="D24" s="6" t="n"/>
      <c r="E24" s="6" t="n"/>
      <c r="F24" s="7">
        <f>D24+E24</f>
        <v/>
      </c>
      <c r="G24" s="6" t="n"/>
      <c r="H24" s="6" t="n"/>
      <c r="I24" s="7">
        <f>G24+H24</f>
        <v/>
      </c>
      <c r="J24" s="6" t="n"/>
      <c r="K24" s="6" t="n"/>
      <c r="L24" s="6" t="n"/>
      <c r="M24" s="7">
        <f>J24+K24+L24</f>
        <v/>
      </c>
      <c r="N24" s="7">
        <f>I24-M24</f>
        <v/>
      </c>
    </row>
    <row r="25" ht="22" customHeight="1">
      <c r="B25" s="8" t="n">
        <v>20</v>
      </c>
      <c r="C25" s="5" t="n"/>
      <c r="D25" s="6" t="n"/>
      <c r="E25" s="6" t="n"/>
      <c r="F25" s="9">
        <f>D25+E25</f>
        <v/>
      </c>
      <c r="G25" s="6" t="n"/>
      <c r="H25" s="6" t="n"/>
      <c r="I25" s="9">
        <f>G25+H25</f>
        <v/>
      </c>
      <c r="J25" s="6" t="n"/>
      <c r="K25" s="6" t="n"/>
      <c r="L25" s="6" t="n"/>
      <c r="M25" s="9">
        <f>J25+K25+L25</f>
        <v/>
      </c>
      <c r="N25" s="9">
        <f>I25-M25</f>
        <v/>
      </c>
    </row>
    <row r="26" ht="22" customHeight="1">
      <c r="B26" s="4" t="n">
        <v>21</v>
      </c>
      <c r="C26" s="5" t="n"/>
      <c r="D26" s="6" t="n"/>
      <c r="E26" s="6" t="n"/>
      <c r="F26" s="7">
        <f>D26+E26</f>
        <v/>
      </c>
      <c r="G26" s="6" t="n"/>
      <c r="H26" s="6" t="n"/>
      <c r="I26" s="7">
        <f>G26+H26</f>
        <v/>
      </c>
      <c r="J26" s="6" t="n"/>
      <c r="K26" s="6" t="n"/>
      <c r="L26" s="6" t="n"/>
      <c r="M26" s="7">
        <f>J26+K26+L26</f>
        <v/>
      </c>
      <c r="N26" s="7">
        <f>I26-M26</f>
        <v/>
      </c>
    </row>
    <row r="27" ht="22" customHeight="1">
      <c r="B27" s="8" t="n">
        <v>22</v>
      </c>
      <c r="C27" s="5" t="n"/>
      <c r="D27" s="6" t="n"/>
      <c r="E27" s="6" t="n"/>
      <c r="F27" s="9">
        <f>D27+E27</f>
        <v/>
      </c>
      <c r="G27" s="6" t="n"/>
      <c r="H27" s="6" t="n"/>
      <c r="I27" s="9">
        <f>G27+H27</f>
        <v/>
      </c>
      <c r="J27" s="6" t="n"/>
      <c r="K27" s="6" t="n"/>
      <c r="L27" s="6" t="n"/>
      <c r="M27" s="9">
        <f>J27+K27+L27</f>
        <v/>
      </c>
      <c r="N27" s="9">
        <f>I27-M27</f>
        <v/>
      </c>
    </row>
    <row r="28" ht="22" customHeight="1">
      <c r="B28" s="4" t="n">
        <v>23</v>
      </c>
      <c r="C28" s="5" t="n"/>
      <c r="D28" s="6" t="n"/>
      <c r="E28" s="6" t="n"/>
      <c r="F28" s="7">
        <f>D28+E28</f>
        <v/>
      </c>
      <c r="G28" s="6" t="n"/>
      <c r="H28" s="6" t="n"/>
      <c r="I28" s="7">
        <f>G28+H28</f>
        <v/>
      </c>
      <c r="J28" s="6" t="n"/>
      <c r="K28" s="6" t="n"/>
      <c r="L28" s="6" t="n"/>
      <c r="M28" s="7">
        <f>J28+K28+L28</f>
        <v/>
      </c>
      <c r="N28" s="7">
        <f>I28-M28</f>
        <v/>
      </c>
    </row>
    <row r="29" ht="22" customHeight="1">
      <c r="B29" s="8" t="n">
        <v>24</v>
      </c>
      <c r="C29" s="5" t="n"/>
      <c r="D29" s="6" t="n"/>
      <c r="E29" s="6" t="n"/>
      <c r="F29" s="9">
        <f>D29+E29</f>
        <v/>
      </c>
      <c r="G29" s="6" t="n"/>
      <c r="H29" s="6" t="n"/>
      <c r="I29" s="9">
        <f>G29+H29</f>
        <v/>
      </c>
      <c r="J29" s="6" t="n"/>
      <c r="K29" s="6" t="n"/>
      <c r="L29" s="6" t="n"/>
      <c r="M29" s="9">
        <f>J29+K29+L29</f>
        <v/>
      </c>
      <c r="N29" s="9">
        <f>I29-M29</f>
        <v/>
      </c>
    </row>
    <row r="30" ht="22" customHeight="1">
      <c r="B30" s="4" t="n">
        <v>25</v>
      </c>
      <c r="C30" s="5" t="n"/>
      <c r="D30" s="6" t="n"/>
      <c r="E30" s="6" t="n"/>
      <c r="F30" s="7">
        <f>D30+E30</f>
        <v/>
      </c>
      <c r="G30" s="6" t="n"/>
      <c r="H30" s="6" t="n"/>
      <c r="I30" s="7">
        <f>G30+H30</f>
        <v/>
      </c>
      <c r="J30" s="6" t="n"/>
      <c r="K30" s="6" t="n"/>
      <c r="L30" s="6" t="n"/>
      <c r="M30" s="7">
        <f>J30+K30+L30</f>
        <v/>
      </c>
      <c r="N30" s="7">
        <f>I30-M30</f>
        <v/>
      </c>
    </row>
    <row r="31" ht="22" customHeight="1">
      <c r="B31" s="8" t="n">
        <v>26</v>
      </c>
      <c r="C31" s="5" t="n"/>
      <c r="D31" s="6" t="n"/>
      <c r="E31" s="6" t="n"/>
      <c r="F31" s="9">
        <f>D31+E31</f>
        <v/>
      </c>
      <c r="G31" s="6" t="n"/>
      <c r="H31" s="6" t="n"/>
      <c r="I31" s="9">
        <f>G31+H31</f>
        <v/>
      </c>
      <c r="J31" s="6" t="n"/>
      <c r="K31" s="6" t="n"/>
      <c r="L31" s="6" t="n"/>
      <c r="M31" s="9">
        <f>J31+K31+L31</f>
        <v/>
      </c>
      <c r="N31" s="9">
        <f>I31-M31</f>
        <v/>
      </c>
    </row>
    <row r="32" ht="22" customHeight="1">
      <c r="B32" s="4" t="n">
        <v>27</v>
      </c>
      <c r="C32" s="5" t="n"/>
      <c r="D32" s="6" t="n"/>
      <c r="E32" s="6" t="n"/>
      <c r="F32" s="7">
        <f>D32+E32</f>
        <v/>
      </c>
      <c r="G32" s="6" t="n"/>
      <c r="H32" s="6" t="n"/>
      <c r="I32" s="7">
        <f>G32+H32</f>
        <v/>
      </c>
      <c r="J32" s="6" t="n"/>
      <c r="K32" s="6" t="n"/>
      <c r="L32" s="6" t="n"/>
      <c r="M32" s="7">
        <f>J32+K32+L32</f>
        <v/>
      </c>
      <c r="N32" s="7">
        <f>I32-M32</f>
        <v/>
      </c>
    </row>
    <row r="33" ht="22" customHeight="1">
      <c r="B33" s="8" t="n">
        <v>28</v>
      </c>
      <c r="C33" s="5" t="n"/>
      <c r="D33" s="6" t="n"/>
      <c r="E33" s="6" t="n"/>
      <c r="F33" s="9">
        <f>D33+E33</f>
        <v/>
      </c>
      <c r="G33" s="6" t="n"/>
      <c r="H33" s="6" t="n"/>
      <c r="I33" s="9">
        <f>G33+H33</f>
        <v/>
      </c>
      <c r="J33" s="6" t="n"/>
      <c r="K33" s="6" t="n"/>
      <c r="L33" s="6" t="n"/>
      <c r="M33" s="9">
        <f>J33+K33+L33</f>
        <v/>
      </c>
      <c r="N33" s="9">
        <f>I33-M33</f>
        <v/>
      </c>
    </row>
    <row r="34" ht="22" customHeight="1">
      <c r="B34" s="4" t="n">
        <v>29</v>
      </c>
      <c r="C34" s="5" t="n"/>
      <c r="D34" s="6" t="n"/>
      <c r="E34" s="6" t="n"/>
      <c r="F34" s="7">
        <f>D34+E34</f>
        <v/>
      </c>
      <c r="G34" s="6" t="n"/>
      <c r="H34" s="6" t="n"/>
      <c r="I34" s="7">
        <f>G34+H34</f>
        <v/>
      </c>
      <c r="J34" s="6" t="n"/>
      <c r="K34" s="6" t="n"/>
      <c r="L34" s="6" t="n"/>
      <c r="M34" s="7">
        <f>J34+K34+L34</f>
        <v/>
      </c>
      <c r="N34" s="7">
        <f>I34-M34</f>
        <v/>
      </c>
    </row>
    <row r="35" ht="22" customHeight="1">
      <c r="B35" s="8" t="n">
        <v>30</v>
      </c>
      <c r="C35" s="5" t="n"/>
      <c r="D35" s="6" t="n"/>
      <c r="E35" s="6" t="n"/>
      <c r="F35" s="9">
        <f>D35+E35</f>
        <v/>
      </c>
      <c r="G35" s="6" t="n"/>
      <c r="H35" s="6" t="n"/>
      <c r="I35" s="9">
        <f>G35+H35</f>
        <v/>
      </c>
      <c r="J35" s="6" t="n"/>
      <c r="K35" s="6" t="n"/>
      <c r="L35" s="6" t="n"/>
      <c r="M35" s="9">
        <f>J35+K35+L35</f>
        <v/>
      </c>
      <c r="N35" s="9">
        <f>I35-M35</f>
        <v/>
      </c>
    </row>
    <row r="36" ht="22" customHeight="1">
      <c r="B36" s="4" t="n">
        <v>31</v>
      </c>
      <c r="C36" s="5" t="n"/>
      <c r="D36" s="6" t="n"/>
      <c r="E36" s="6" t="n"/>
      <c r="F36" s="7">
        <f>D36+E36</f>
        <v/>
      </c>
      <c r="G36" s="6" t="n"/>
      <c r="H36" s="6" t="n"/>
      <c r="I36" s="7">
        <f>G36+H36</f>
        <v/>
      </c>
      <c r="J36" s="6" t="n"/>
      <c r="K36" s="6" t="n"/>
      <c r="L36" s="6" t="n"/>
      <c r="M36" s="7">
        <f>J36+K36+L36</f>
        <v/>
      </c>
      <c r="N36" s="7">
        <f>I36-M36</f>
        <v/>
      </c>
    </row>
    <row r="37" ht="26" customHeight="1">
      <c r="B37" s="10" t="inlineStr">
        <is>
          <t>TOTAL</t>
        </is>
      </c>
      <c r="C37" s="11" t="n"/>
      <c r="D37" s="12">
        <f>SUM(D6:D36)</f>
        <v/>
      </c>
      <c r="E37" s="12">
        <f>SUM(E6:E36)</f>
        <v/>
      </c>
      <c r="F37" s="12">
        <f>SUM(F6:F36)</f>
        <v/>
      </c>
      <c r="G37" s="12">
        <f>SUM(G6:G36)</f>
        <v/>
      </c>
      <c r="H37" s="12">
        <f>SUM(H6:H36)</f>
        <v/>
      </c>
      <c r="I37" s="12">
        <f>SUM(I6:I36)</f>
        <v/>
      </c>
      <c r="J37" s="12">
        <f>SUM(J6:J36)</f>
        <v/>
      </c>
      <c r="K37" s="12">
        <f>SUM(K6:K36)</f>
        <v/>
      </c>
      <c r="L37" s="12">
        <f>SUM(L6:L36)</f>
        <v/>
      </c>
      <c r="M37" s="12">
        <f>SUM(M6:M36)</f>
        <v/>
      </c>
      <c r="N37" s="12">
        <f>SUM(N6:N36)</f>
        <v/>
      </c>
    </row>
    <row r="38" ht="26" customHeight="1">
      <c r="B38" s="10" t="inlineStr">
        <is>
          <t>AVERAGE</t>
        </is>
      </c>
      <c r="C38" s="11" t="n"/>
      <c r="D38" s="12">
        <f>AVERAGE(D6:D36)</f>
        <v/>
      </c>
      <c r="E38" s="12">
        <f>AVERAGE(E6:E36)</f>
        <v/>
      </c>
      <c r="F38" s="12">
        <f>AVERAGE(F6:F36)</f>
        <v/>
      </c>
      <c r="G38" s="12">
        <f>AVERAGE(G6:G36)</f>
        <v/>
      </c>
      <c r="H38" s="12">
        <f>AVERAGE(H6:H36)</f>
        <v/>
      </c>
      <c r="I38" s="12">
        <f>AVERAGE(I6:I36)</f>
        <v/>
      </c>
      <c r="J38" s="12">
        <f>AVERAGE(J6:J36)</f>
        <v/>
      </c>
      <c r="K38" s="12">
        <f>AVERAGE(K6:K36)</f>
        <v/>
      </c>
      <c r="L38" s="12">
        <f>AVERAGE(L6:L36)</f>
        <v/>
      </c>
      <c r="M38" s="12">
        <f>AVERAGE(M6:M36)</f>
        <v/>
      </c>
      <c r="N38" s="12">
        <f>AVERAGE(N6:N36)</f>
        <v/>
      </c>
    </row>
    <row r="39" ht="26" customHeight="1">
      <c r="B39" s="10" t="inlineStr">
        <is>
          <t>BEST DAY</t>
        </is>
      </c>
      <c r="C39" s="11" t="n"/>
      <c r="D39" s="12">
        <f>MAX(D6:D36)</f>
        <v/>
      </c>
      <c r="E39" s="12">
        <f>MAX(E6:E36)</f>
        <v/>
      </c>
      <c r="F39" s="12">
        <f>MAX(F6:F36)</f>
        <v/>
      </c>
      <c r="G39" s="12">
        <f>MAX(G6:G36)</f>
        <v/>
      </c>
      <c r="H39" s="12">
        <f>MAX(H6:H36)</f>
        <v/>
      </c>
      <c r="I39" s="12">
        <f>MAX(I6:I36)</f>
        <v/>
      </c>
      <c r="J39" s="12">
        <f>MAX(J6:J36)</f>
        <v/>
      </c>
      <c r="K39" s="12">
        <f>MAX(K6:K36)</f>
        <v/>
      </c>
      <c r="L39" s="12">
        <f>MAX(L6:L36)</f>
        <v/>
      </c>
      <c r="M39" s="12">
        <f>MAX(M6:M36)</f>
        <v/>
      </c>
      <c r="N39" s="12">
        <f>MAX(N6:N36)</f>
        <v/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B59" s="2" t="inlineStr">
        <is>
          <t>Prepared by Ahmed Ali | Data Analysis Services | ahmed-ali-ops.vercel.app</t>
        </is>
      </c>
    </row>
  </sheetData>
  <mergeCells count="3">
    <mergeCell ref="B59:N59"/>
    <mergeCell ref="B3:N3"/>
    <mergeCell ref="B2:N2"/>
  </mergeCells>
  <conditionalFormatting sqref="N6:N36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8" customWidth="1" min="4" max="4"/>
    <col width="14" customWidth="1" min="5" max="5"/>
    <col width="28" customWidth="1" min="6" max="6"/>
    <col width="14" customWidth="1" min="7" max="7"/>
    <col width="14" customWidth="1" min="8" max="8"/>
  </cols>
  <sheetData>
    <row r="1" ht="15" customHeight="1"/>
    <row r="2" ht="32" customHeight="1">
      <c r="B2" s="1" t="inlineStr">
        <is>
          <t>Service Revenue Breakdown — [Month/Year]</t>
        </is>
      </c>
    </row>
    <row r="3" ht="8" customHeight="1"/>
    <row r="4" ht="28" customHeight="1">
      <c r="B4" s="3" t="inlineStr">
        <is>
          <t>Service</t>
        </is>
      </c>
      <c r="C4" s="3" t="inlineStr">
        <is>
          <t>Bookings</t>
        </is>
      </c>
      <c r="D4" s="3" t="inlineStr">
        <is>
          <t>Avg Price (AED)</t>
        </is>
      </c>
      <c r="E4" s="3" t="inlineStr">
        <is>
          <t>Revenue</t>
        </is>
      </c>
      <c r="F4" s="3" t="inlineStr">
        <is>
          <t>% of Total</t>
        </is>
      </c>
      <c r="G4" s="3" t="inlineStr">
        <is>
          <t>Target</t>
        </is>
      </c>
      <c r="H4" s="3" t="inlineStr">
        <is>
          <t>vs Target</t>
        </is>
      </c>
    </row>
    <row r="5" ht="22" customHeight="1">
      <c r="B5" s="13" t="inlineStr">
        <is>
          <t>Haircut &amp; Styling</t>
        </is>
      </c>
      <c r="C5" s="6" t="n"/>
      <c r="D5" s="6" t="n"/>
      <c r="E5" s="7">
        <f>C5*D5</f>
        <v/>
      </c>
      <c r="F5" s="14">
        <f>IFERROR(E5/SUM(E$5:E$16),0)</f>
        <v/>
      </c>
      <c r="G5" s="6" t="n"/>
      <c r="H5" s="7">
        <f>E5-G5</f>
        <v/>
      </c>
    </row>
    <row r="6" ht="22" customHeight="1">
      <c r="B6" s="15" t="inlineStr">
        <is>
          <t>Hair Coloring</t>
        </is>
      </c>
      <c r="C6" s="6" t="n"/>
      <c r="D6" s="6" t="n"/>
      <c r="E6" s="9">
        <f>C6*D6</f>
        <v/>
      </c>
      <c r="F6" s="16">
        <f>IFERROR(E6/SUM(E$5:E$16),0)</f>
        <v/>
      </c>
      <c r="G6" s="6" t="n"/>
      <c r="H6" s="9">
        <f>E6-G6</f>
        <v/>
      </c>
    </row>
    <row r="7" ht="22" customHeight="1">
      <c r="B7" s="13" t="inlineStr">
        <is>
          <t>Highlights &amp; Balayage</t>
        </is>
      </c>
      <c r="C7" s="6" t="n"/>
      <c r="D7" s="6" t="n"/>
      <c r="E7" s="7">
        <f>C7*D7</f>
        <v/>
      </c>
      <c r="F7" s="14">
        <f>IFERROR(E7/SUM(E$5:E$16),0)</f>
        <v/>
      </c>
      <c r="G7" s="6" t="n"/>
      <c r="H7" s="7">
        <f>E7-G7</f>
        <v/>
      </c>
    </row>
    <row r="8" ht="22" customHeight="1">
      <c r="B8" s="15" t="inlineStr">
        <is>
          <t>Keratin Treatment</t>
        </is>
      </c>
      <c r="C8" s="6" t="n"/>
      <c r="D8" s="6" t="n"/>
      <c r="E8" s="9">
        <f>C8*D8</f>
        <v/>
      </c>
      <c r="F8" s="16">
        <f>IFERROR(E8/SUM(E$5:E$16),0)</f>
        <v/>
      </c>
      <c r="G8" s="6" t="n"/>
      <c r="H8" s="9">
        <f>E8-G8</f>
        <v/>
      </c>
    </row>
    <row r="9" ht="22" customHeight="1">
      <c r="B9" s="13" t="inlineStr">
        <is>
          <t>Bridal Package</t>
        </is>
      </c>
      <c r="C9" s="6" t="n"/>
      <c r="D9" s="6" t="n"/>
      <c r="E9" s="7">
        <f>C9*D9</f>
        <v/>
      </c>
      <c r="F9" s="14">
        <f>IFERROR(E9/SUM(E$5:E$16),0)</f>
        <v/>
      </c>
      <c r="G9" s="6" t="n"/>
      <c r="H9" s="7">
        <f>E9-G9</f>
        <v/>
      </c>
    </row>
    <row r="10" ht="22" customHeight="1">
      <c r="B10" s="15" t="inlineStr">
        <is>
          <t>Facial Treatment</t>
        </is>
      </c>
      <c r="C10" s="6" t="n"/>
      <c r="D10" s="6" t="n"/>
      <c r="E10" s="9">
        <f>C10*D10</f>
        <v/>
      </c>
      <c r="F10" s="16">
        <f>IFERROR(E10/SUM(E$5:E$16),0)</f>
        <v/>
      </c>
      <c r="G10" s="6" t="n"/>
      <c r="H10" s="9">
        <f>E10-G10</f>
        <v/>
      </c>
    </row>
    <row r="11" ht="22" customHeight="1">
      <c r="B11" s="13" t="inlineStr">
        <is>
          <t>Manicure &amp; Pedicure</t>
        </is>
      </c>
      <c r="C11" s="6" t="n"/>
      <c r="D11" s="6" t="n"/>
      <c r="E11" s="7">
        <f>C11*D11</f>
        <v/>
      </c>
      <c r="F11" s="14">
        <f>IFERROR(E11/SUM(E$5:E$16),0)</f>
        <v/>
      </c>
      <c r="G11" s="6" t="n"/>
      <c r="H11" s="7">
        <f>E11-G11</f>
        <v/>
      </c>
    </row>
    <row r="12" ht="22" customHeight="1">
      <c r="B12" s="15" t="inlineStr">
        <is>
          <t>Henna Design</t>
        </is>
      </c>
      <c r="C12" s="6" t="n"/>
      <c r="D12" s="6" t="n"/>
      <c r="E12" s="9">
        <f>C12*D12</f>
        <v/>
      </c>
      <c r="F12" s="16">
        <f>IFERROR(E12/SUM(E$5:E$16),0)</f>
        <v/>
      </c>
      <c r="G12" s="6" t="n"/>
      <c r="H12" s="9">
        <f>E12-G12</f>
        <v/>
      </c>
    </row>
    <row r="13" ht="22" customHeight="1">
      <c r="B13" s="13" t="inlineStr">
        <is>
          <t>Hair Extensions</t>
        </is>
      </c>
      <c r="C13" s="6" t="n"/>
      <c r="D13" s="6" t="n"/>
      <c r="E13" s="7">
        <f>C13*D13</f>
        <v/>
      </c>
      <c r="F13" s="14">
        <f>IFERROR(E13/SUM(E$5:E$16),0)</f>
        <v/>
      </c>
      <c r="G13" s="6" t="n"/>
      <c r="H13" s="7">
        <f>E13-G13</f>
        <v/>
      </c>
    </row>
    <row r="14" ht="22" customHeight="1">
      <c r="B14" s="15" t="inlineStr">
        <is>
          <t>Scalp Treatment</t>
        </is>
      </c>
      <c r="C14" s="6" t="n"/>
      <c r="D14" s="6" t="n"/>
      <c r="E14" s="9">
        <f>C14*D14</f>
        <v/>
      </c>
      <c r="F14" s="16">
        <f>IFERROR(E14/SUM(E$5:E$16),0)</f>
        <v/>
      </c>
      <c r="G14" s="6" t="n"/>
      <c r="H14" s="9">
        <f>E14-G14</f>
        <v/>
      </c>
    </row>
    <row r="15" ht="22" customHeight="1">
      <c r="B15" s="13" t="inlineStr">
        <is>
          <t>Makeup</t>
        </is>
      </c>
      <c r="C15" s="6" t="n"/>
      <c r="D15" s="6" t="n"/>
      <c r="E15" s="7">
        <f>C15*D15</f>
        <v/>
      </c>
      <c r="F15" s="14">
        <f>IFERROR(E15/SUM(E$5:E$16),0)</f>
        <v/>
      </c>
      <c r="G15" s="6" t="n"/>
      <c r="H15" s="7">
        <f>E15-G15</f>
        <v/>
      </c>
    </row>
    <row r="16" ht="22" customHeight="1">
      <c r="B16" s="15" t="inlineStr">
        <is>
          <t>Other</t>
        </is>
      </c>
      <c r="C16" s="6" t="n"/>
      <c r="D16" s="6" t="n"/>
      <c r="E16" s="9">
        <f>C16*D16</f>
        <v/>
      </c>
      <c r="F16" s="16">
        <f>IFERROR(E16/SUM(E$5:E$16),0)</f>
        <v/>
      </c>
      <c r="G16" s="6" t="n"/>
      <c r="H16" s="9">
        <f>E16-G16</f>
        <v/>
      </c>
    </row>
    <row r="17" ht="26" customHeight="1">
      <c r="B17" s="10" t="inlineStr">
        <is>
          <t>TOTAL</t>
        </is>
      </c>
      <c r="C17" s="12">
        <f>SUM(C5:C16)</f>
        <v/>
      </c>
      <c r="D17" s="10" t="inlineStr">
        <is>
          <t>—</t>
        </is>
      </c>
      <c r="E17" s="12">
        <f>SUM(E5:E16)</f>
        <v/>
      </c>
      <c r="F17" s="17">
        <f>SUM(F5:F16)</f>
        <v/>
      </c>
      <c r="G17" s="12">
        <f>SUM(G5:G16)</f>
        <v/>
      </c>
      <c r="H17" s="12">
        <f>SUM(H5:H16)</f>
        <v/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>
      <c r="B51" s="2" t="inlineStr">
        <is>
          <t>Prepared by Ahmed Ali | Data Analysis Services | ahmed-ali-ops.vercel.app</t>
        </is>
      </c>
    </row>
  </sheetData>
  <mergeCells count="2">
    <mergeCell ref="B51:H51"/>
    <mergeCell ref="B2:H2"/>
  </mergeCells>
  <conditionalFormatting sqref="H5:H16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21" customWidth="1" min="5" max="5"/>
    <col width="18" customWidth="1" min="6" max="6"/>
    <col width="18" customWidth="1" min="7" max="7"/>
  </cols>
  <sheetData>
    <row r="1" ht="15" customHeight="1"/>
    <row r="2" ht="32" customHeight="1">
      <c r="B2" s="1" t="inlineStr">
        <is>
          <t>Staff Performance — [Month/Year]</t>
        </is>
      </c>
    </row>
    <row r="3" ht="8" customHeight="1"/>
    <row r="4" ht="28" customHeight="1">
      <c r="B4" s="3" t="inlineStr">
        <is>
          <t>Staff Name</t>
        </is>
      </c>
      <c r="C4" s="3" t="inlineStr">
        <is>
          <t>Clients Served</t>
        </is>
      </c>
      <c r="D4" s="3" t="inlineStr">
        <is>
          <t>Revenue Generated</t>
        </is>
      </c>
      <c r="E4" s="3" t="inlineStr">
        <is>
          <t>Avg Ticket</t>
        </is>
      </c>
      <c r="F4" s="3" t="inlineStr">
        <is>
          <t>Tips</t>
        </is>
      </c>
      <c r="G4" s="3" t="inlineStr">
        <is>
          <t>Rating (1-5)</t>
        </is>
      </c>
    </row>
    <row r="5" ht="22" customHeight="1">
      <c r="B5" s="13" t="n"/>
      <c r="C5" s="6" t="n"/>
      <c r="D5" s="6" t="n"/>
      <c r="E5" s="18">
        <f>IFERROR(D5/C5,0)</f>
        <v/>
      </c>
      <c r="F5" s="6" t="n"/>
      <c r="G5" s="19" t="n"/>
    </row>
    <row r="6" ht="22" customHeight="1">
      <c r="B6" s="15" t="n"/>
      <c r="C6" s="6" t="n"/>
      <c r="D6" s="6" t="n"/>
      <c r="E6" s="20">
        <f>IFERROR(D6/C6,0)</f>
        <v/>
      </c>
      <c r="F6" s="6" t="n"/>
      <c r="G6" s="19" t="n"/>
    </row>
    <row r="7" ht="22" customHeight="1">
      <c r="B7" s="13" t="n"/>
      <c r="C7" s="6" t="n"/>
      <c r="D7" s="6" t="n"/>
      <c r="E7" s="18">
        <f>IFERROR(D7/C7,0)</f>
        <v/>
      </c>
      <c r="F7" s="6" t="n"/>
      <c r="G7" s="19" t="n"/>
    </row>
    <row r="8" ht="22" customHeight="1">
      <c r="B8" s="15" t="n"/>
      <c r="C8" s="6" t="n"/>
      <c r="D8" s="6" t="n"/>
      <c r="E8" s="20">
        <f>IFERROR(D8/C8,0)</f>
        <v/>
      </c>
      <c r="F8" s="6" t="n"/>
      <c r="G8" s="19" t="n"/>
    </row>
    <row r="9" ht="22" customHeight="1">
      <c r="B9" s="13" t="n"/>
      <c r="C9" s="6" t="n"/>
      <c r="D9" s="6" t="n"/>
      <c r="E9" s="18">
        <f>IFERROR(D9/C9,0)</f>
        <v/>
      </c>
      <c r="F9" s="6" t="n"/>
      <c r="G9" s="19" t="n"/>
    </row>
    <row r="10" ht="22" customHeight="1">
      <c r="B10" s="15" t="n"/>
      <c r="C10" s="6" t="n"/>
      <c r="D10" s="6" t="n"/>
      <c r="E10" s="20">
        <f>IFERROR(D10/C10,0)</f>
        <v/>
      </c>
      <c r="F10" s="6" t="n"/>
      <c r="G10" s="19" t="n"/>
    </row>
    <row r="11" ht="22" customHeight="1">
      <c r="B11" s="13" t="n"/>
      <c r="C11" s="6" t="n"/>
      <c r="D11" s="6" t="n"/>
      <c r="E11" s="18">
        <f>IFERROR(D11/C11,0)</f>
        <v/>
      </c>
      <c r="F11" s="6" t="n"/>
      <c r="G11" s="19" t="n"/>
    </row>
    <row r="12" ht="22" customHeight="1">
      <c r="B12" s="15" t="n"/>
      <c r="C12" s="6" t="n"/>
      <c r="D12" s="6" t="n"/>
      <c r="E12" s="20">
        <f>IFERROR(D12/C12,0)</f>
        <v/>
      </c>
      <c r="F12" s="6" t="n"/>
      <c r="G12" s="19" t="n"/>
    </row>
    <row r="13" ht="26" customHeight="1">
      <c r="B13" s="10" t="inlineStr">
        <is>
          <t>TOTAL</t>
        </is>
      </c>
      <c r="C13" s="12">
        <f>SUM(C5:C12)</f>
        <v/>
      </c>
      <c r="D13" s="12">
        <f>SUM(D5:D12)</f>
        <v/>
      </c>
      <c r="E13" s="21">
        <f>IFERROR(D13/C13,0)</f>
        <v/>
      </c>
      <c r="F13" s="12">
        <f>SUM(F5:F12)</f>
        <v/>
      </c>
      <c r="G13" s="22">
        <f>AVERAGE(G5:G12)</f>
        <v/>
      </c>
    </row>
    <row r="14" ht="26" customHeight="1">
      <c r="B14" s="10" t="inlineStr">
        <is>
          <t>AVERAGE</t>
        </is>
      </c>
      <c r="C14" s="12">
        <f>AVERAGE(C5:C12)</f>
        <v/>
      </c>
      <c r="D14" s="12">
        <f>AVERAGE(D5:D12)</f>
        <v/>
      </c>
      <c r="E14" s="21">
        <f>AVERAGE(E5:E12)</f>
        <v/>
      </c>
      <c r="F14" s="12">
        <f>AVERAGE(F5:F12)</f>
        <v/>
      </c>
      <c r="G14" s="22">
        <f>AVERAGE(G5:G12)</f>
        <v/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>
      <c r="B30" s="2" t="inlineStr">
        <is>
          <t>Prepared by Ahmed Ali | Data Analysis Services | ahmed-ali-ops.vercel.app</t>
        </is>
      </c>
    </row>
  </sheetData>
  <mergeCells count="2">
    <mergeCell ref="B2:G2"/>
    <mergeCell ref="B30:G3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21" customWidth="1" min="6" max="6"/>
    <col width="28" customWidth="1" min="7" max="7"/>
  </cols>
  <sheetData>
    <row r="1" ht="15" customHeight="1"/>
    <row r="2" ht="32" customHeight="1">
      <c r="B2" s="1" t="inlineStr">
        <is>
          <t>Monthly Expenses — [Month/Year]</t>
        </is>
      </c>
    </row>
    <row r="3" ht="8" customHeight="1"/>
    <row r="4" ht="28" customHeight="1">
      <c r="B4" s="3" t="inlineStr">
        <is>
          <t>Category</t>
        </is>
      </c>
      <c r="C4" s="3" t="inlineStr">
        <is>
          <t>Budget (AED)</t>
        </is>
      </c>
      <c r="D4" s="3" t="inlineStr">
        <is>
          <t>Actual (AED)</t>
        </is>
      </c>
      <c r="E4" s="3" t="inlineStr">
        <is>
          <t>Variance</t>
        </is>
      </c>
      <c r="F4" s="3" t="inlineStr">
        <is>
          <t>Variance %</t>
        </is>
      </c>
      <c r="G4" s="3" t="inlineStr">
        <is>
          <t>Status</t>
        </is>
      </c>
    </row>
    <row r="5" ht="22" customHeight="1">
      <c r="B5" s="13" t="inlineStr">
        <is>
          <t>Rent</t>
        </is>
      </c>
      <c r="C5" s="6" t="n"/>
      <c r="D5" s="6" t="n"/>
      <c r="E5" s="7">
        <f>C5-D5</f>
        <v/>
      </c>
      <c r="F5" s="14">
        <f>IFERROR(E5/C5,0)</f>
        <v/>
      </c>
      <c r="G5" s="4">
        <f>IF(E5&lt;0,"Over Budget",IF(E5=0,"On Budget","Under Budget"))</f>
        <v/>
      </c>
    </row>
    <row r="6" ht="22" customHeight="1">
      <c r="B6" s="15" t="inlineStr">
        <is>
          <t>Staff Salaries</t>
        </is>
      </c>
      <c r="C6" s="6" t="n"/>
      <c r="D6" s="6" t="n"/>
      <c r="E6" s="9">
        <f>C6-D6</f>
        <v/>
      </c>
      <c r="F6" s="16">
        <f>IFERROR(E6/C6,0)</f>
        <v/>
      </c>
      <c r="G6" s="8">
        <f>IF(E6&lt;0,"Over Budget",IF(E6=0,"On Budget","Under Budget"))</f>
        <v/>
      </c>
    </row>
    <row r="7" ht="22" customHeight="1">
      <c r="B7" s="13" t="inlineStr">
        <is>
          <t>Product Supplies</t>
        </is>
      </c>
      <c r="C7" s="6" t="n"/>
      <c r="D7" s="6" t="n"/>
      <c r="E7" s="7">
        <f>C7-D7</f>
        <v/>
      </c>
      <c r="F7" s="14">
        <f>IFERROR(E7/C7,0)</f>
        <v/>
      </c>
      <c r="G7" s="4">
        <f>IF(E7&lt;0,"Over Budget",IF(E7=0,"On Budget","Under Budget"))</f>
        <v/>
      </c>
    </row>
    <row r="8" ht="22" customHeight="1">
      <c r="B8" s="15" t="inlineStr">
        <is>
          <t>Utilities</t>
        </is>
      </c>
      <c r="C8" s="6" t="n"/>
      <c r="D8" s="6" t="n"/>
      <c r="E8" s="9">
        <f>C8-D8</f>
        <v/>
      </c>
      <c r="F8" s="16">
        <f>IFERROR(E8/C8,0)</f>
        <v/>
      </c>
      <c r="G8" s="8">
        <f>IF(E8&lt;0,"Over Budget",IF(E8=0,"On Budget","Under Budget"))</f>
        <v/>
      </c>
    </row>
    <row r="9" ht="22" customHeight="1">
      <c r="B9" s="13" t="inlineStr">
        <is>
          <t>Marketing</t>
        </is>
      </c>
      <c r="C9" s="6" t="n"/>
      <c r="D9" s="6" t="n"/>
      <c r="E9" s="7">
        <f>C9-D9</f>
        <v/>
      </c>
      <c r="F9" s="14">
        <f>IFERROR(E9/C9,0)</f>
        <v/>
      </c>
      <c r="G9" s="4">
        <f>IF(E9&lt;0,"Over Budget",IF(E9=0,"On Budget","Under Budget"))</f>
        <v/>
      </c>
    </row>
    <row r="10" ht="22" customHeight="1">
      <c r="B10" s="15" t="inlineStr">
        <is>
          <t>Insurance</t>
        </is>
      </c>
      <c r="C10" s="6" t="n"/>
      <c r="D10" s="6" t="n"/>
      <c r="E10" s="9">
        <f>C10-D10</f>
        <v/>
      </c>
      <c r="F10" s="16">
        <f>IFERROR(E10/C10,0)</f>
        <v/>
      </c>
      <c r="G10" s="8">
        <f>IF(E10&lt;0,"Over Budget",IF(E10=0,"On Budget","Under Budget"))</f>
        <v/>
      </c>
    </row>
    <row r="11" ht="22" customHeight="1">
      <c r="B11" s="13" t="inlineStr">
        <is>
          <t>Maintenance</t>
        </is>
      </c>
      <c r="C11" s="6" t="n"/>
      <c r="D11" s="6" t="n"/>
      <c r="E11" s="7">
        <f>C11-D11</f>
        <v/>
      </c>
      <c r="F11" s="14">
        <f>IFERROR(E11/C11,0)</f>
        <v/>
      </c>
      <c r="G11" s="4">
        <f>IF(E11&lt;0,"Over Budget",IF(E11=0,"On Budget","Under Budget"))</f>
        <v/>
      </c>
    </row>
    <row r="12" ht="22" customHeight="1">
      <c r="B12" s="15" t="inlineStr">
        <is>
          <t>POS/Banking Fees</t>
        </is>
      </c>
      <c r="C12" s="6" t="n"/>
      <c r="D12" s="6" t="n"/>
      <c r="E12" s="9">
        <f>C12-D12</f>
        <v/>
      </c>
      <c r="F12" s="16">
        <f>IFERROR(E12/C12,0)</f>
        <v/>
      </c>
      <c r="G12" s="8">
        <f>IF(E12&lt;0,"Over Budget",IF(E12=0,"On Budget","Under Budget"))</f>
        <v/>
      </c>
    </row>
    <row r="13" ht="22" customHeight="1">
      <c r="B13" s="13" t="inlineStr">
        <is>
          <t>Delivery Commissions</t>
        </is>
      </c>
      <c r="C13" s="6" t="n"/>
      <c r="D13" s="6" t="n"/>
      <c r="E13" s="7">
        <f>C13-D13</f>
        <v/>
      </c>
      <c r="F13" s="14">
        <f>IFERROR(E13/C13,0)</f>
        <v/>
      </c>
      <c r="G13" s="4">
        <f>IF(E13&lt;0,"Over Budget",IF(E13=0,"On Budget","Under Budget"))</f>
        <v/>
      </c>
    </row>
    <row r="14" ht="22" customHeight="1">
      <c r="B14" s="15" t="inlineStr">
        <is>
          <t>Licenses &amp; Permits</t>
        </is>
      </c>
      <c r="C14" s="6" t="n"/>
      <c r="D14" s="6" t="n"/>
      <c r="E14" s="9">
        <f>C14-D14</f>
        <v/>
      </c>
      <c r="F14" s="16">
        <f>IFERROR(E14/C14,0)</f>
        <v/>
      </c>
      <c r="G14" s="8">
        <f>IF(E14&lt;0,"Over Budget",IF(E14=0,"On Budget","Under Budget"))</f>
        <v/>
      </c>
    </row>
    <row r="15" ht="22" customHeight="1">
      <c r="B15" s="13" t="inlineStr">
        <is>
          <t>Miscellaneous</t>
        </is>
      </c>
      <c r="C15" s="6" t="n"/>
      <c r="D15" s="6" t="n"/>
      <c r="E15" s="7">
        <f>C15-D15</f>
        <v/>
      </c>
      <c r="F15" s="14">
        <f>IFERROR(E15/C15,0)</f>
        <v/>
      </c>
      <c r="G15" s="4">
        <f>IF(E15&lt;0,"Over Budget",IF(E15=0,"On Budget","Under Budget"))</f>
        <v/>
      </c>
    </row>
    <row r="16" ht="26" customHeight="1">
      <c r="B16" s="10" t="inlineStr">
        <is>
          <t>TOTAL</t>
        </is>
      </c>
      <c r="C16" s="12">
        <f>SUM(C5:C15)</f>
        <v/>
      </c>
      <c r="D16" s="12">
        <f>SUM(D5:D15)</f>
        <v/>
      </c>
      <c r="E16" s="12">
        <f>SUM(E5:E15)</f>
        <v/>
      </c>
      <c r="F16" s="17">
        <f>IFERROR(E16/C16,0)</f>
        <v/>
      </c>
      <c r="G16" s="10" t="inlineStr">
        <is>
          <t>—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B34" s="2" t="inlineStr">
        <is>
          <t>Prepared by Ahmed Ali | Data Analysis Services | ahmed-ali-ops.vercel.app</t>
        </is>
      </c>
    </row>
  </sheetData>
  <mergeCells count="2">
    <mergeCell ref="B2:G2"/>
    <mergeCell ref="B34:G34"/>
  </mergeCells>
  <conditionalFormatting sqref="E5:E15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G5:G15">
    <cfRule type="cellIs" priority="3" operator="equal" dxfId="0">
      <formula>"Over Budget"</formula>
    </cfRule>
    <cfRule type="cellIs" priority="4" operator="equal" dxfId="1">
      <formula>"Under Budget"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10" customWidth="1" min="4" max="4"/>
    <col width="8" customWidth="1" min="5" max="5"/>
    <col width="8" customWidth="1" min="6" max="6"/>
  </cols>
  <sheetData>
    <row r="1" ht="15" customHeight="1"/>
    <row r="2" ht="32" customHeight="1">
      <c r="B2" s="1" t="inlineStr">
        <is>
          <t>Monthly Summary — [Month/Year]</t>
        </is>
      </c>
    </row>
    <row r="3" ht="8" customHeight="1"/>
    <row r="4" ht="28" customHeight="1">
      <c r="B4" s="3" t="inlineStr">
        <is>
          <t>Metric</t>
        </is>
      </c>
      <c r="C4" s="3" t="inlineStr">
        <is>
          <t>Value</t>
        </is>
      </c>
    </row>
    <row r="5" ht="22" customHeight="1">
      <c r="B5" s="13" t="inlineStr">
        <is>
          <t>Total Revenue</t>
        </is>
      </c>
      <c r="C5" s="7">
        <f>'Daily Sales'!I37</f>
        <v/>
      </c>
    </row>
    <row r="6" ht="22" customHeight="1">
      <c r="B6" s="15" t="inlineStr">
        <is>
          <t>Total Expenses</t>
        </is>
      </c>
      <c r="C6" s="9">
        <f>'Expense Tracker'!D16</f>
        <v/>
      </c>
    </row>
    <row r="7" ht="22" customHeight="1">
      <c r="B7" s="13" t="inlineStr">
        <is>
          <t>Net Profit</t>
        </is>
      </c>
      <c r="C7" s="7">
        <f>C5-C6</f>
        <v/>
      </c>
    </row>
    <row r="8" ht="22" customHeight="1">
      <c r="B8" s="15" t="inlineStr">
        <is>
          <t>Profit Margin</t>
        </is>
      </c>
      <c r="C8" s="16">
        <f>IFERROR(C7/C5,0)</f>
        <v/>
      </c>
    </row>
    <row r="9" ht="22" customHeight="1">
      <c r="B9" s="13" t="inlineStr">
        <is>
          <t>Total Clients</t>
        </is>
      </c>
      <c r="C9" s="23">
        <f>'Daily Sales'!F37</f>
        <v/>
      </c>
    </row>
    <row r="10" ht="22" customHeight="1">
      <c r="B10" s="15" t="inlineStr">
        <is>
          <t>Avg Revenue per Client</t>
        </is>
      </c>
      <c r="C10" s="9">
        <f>IFERROR(C5/C9,0)</f>
        <v/>
      </c>
    </row>
    <row r="11" ht="22" customHeight="1">
      <c r="B11" s="13" t="inlineStr">
        <is>
          <t>Best Day Revenue</t>
        </is>
      </c>
      <c r="C11" s="7">
        <f>MAX('Daily Sales'!I6:I36)</f>
        <v/>
      </c>
    </row>
    <row r="12" ht="22" customHeight="1">
      <c r="B12" s="15" t="inlineStr">
        <is>
          <t>Payment Variance</t>
        </is>
      </c>
      <c r="C12" s="9">
        <f>'Daily Sales'!N37</f>
        <v/>
      </c>
    </row>
    <row r="13" ht="22" customHeight="1">
      <c r="B13" s="13" t="inlineStr">
        <is>
          <t>Top Service</t>
        </is>
      </c>
      <c r="C13" s="13">
        <f>"See Service Breakdown"</f>
        <v/>
      </c>
    </row>
    <row r="14" ht="22" customHeight="1">
      <c r="B14" s="15" t="inlineStr">
        <is>
          <t>Staff Count</t>
        </is>
      </c>
      <c r="C14" s="9">
        <f>COUNTA('Staff Performance'!B5:B12)</f>
        <v/>
      </c>
    </row>
    <row r="15" ht="22" customHeight="1">
      <c r="B15" s="13" t="inlineStr">
        <is>
          <t>Avg Staff Revenue</t>
        </is>
      </c>
      <c r="C15" s="7">
        <f>IFERROR(C5/C14,0)</f>
        <v/>
      </c>
    </row>
    <row r="16"/>
    <row r="17">
      <c r="B17" s="24" t="inlineStr">
        <is>
          <t>6-Month Comparison</t>
        </is>
      </c>
    </row>
    <row r="18" ht="28" customHeight="1">
      <c r="B18" s="3" t="inlineStr">
        <is>
          <t>Month</t>
        </is>
      </c>
      <c r="C18" s="3" t="inlineStr">
        <is>
          <t>Revenue</t>
        </is>
      </c>
      <c r="D18" s="3" t="inlineStr">
        <is>
          <t>Expenses</t>
        </is>
      </c>
      <c r="E18" s="3" t="inlineStr">
        <is>
          <t>Profit</t>
        </is>
      </c>
      <c r="F18" s="3" t="inlineStr">
        <is>
          <t>Margin</t>
        </is>
      </c>
    </row>
    <row r="19" ht="22" customHeight="1">
      <c r="B19" s="25" t="n"/>
      <c r="C19" s="6" t="n"/>
      <c r="D19" s="6" t="n"/>
      <c r="E19" s="6" t="n"/>
      <c r="F19" s="26" t="n"/>
    </row>
    <row r="20" ht="22" customHeight="1">
      <c r="B20" s="25" t="n"/>
      <c r="C20" s="6" t="n"/>
      <c r="D20" s="6" t="n"/>
      <c r="E20" s="6" t="n"/>
      <c r="F20" s="26" t="n"/>
    </row>
    <row r="21" ht="22" customHeight="1">
      <c r="B21" s="25" t="n"/>
      <c r="C21" s="6" t="n"/>
      <c r="D21" s="6" t="n"/>
      <c r="E21" s="6" t="n"/>
      <c r="F21" s="26" t="n"/>
    </row>
    <row r="22" ht="22" customHeight="1">
      <c r="B22" s="25" t="n"/>
      <c r="C22" s="6" t="n"/>
      <c r="D22" s="6" t="n"/>
      <c r="E22" s="6" t="n"/>
      <c r="F22" s="26" t="n"/>
    </row>
    <row r="23" ht="22" customHeight="1">
      <c r="B23" s="25" t="n"/>
      <c r="C23" s="6" t="n"/>
      <c r="D23" s="6" t="n"/>
      <c r="E23" s="6" t="n"/>
      <c r="F23" s="26" t="n"/>
    </row>
    <row r="24" ht="22" customHeight="1">
      <c r="B24" s="25" t="n"/>
      <c r="C24" s="6" t="n"/>
      <c r="D24" s="6" t="n"/>
      <c r="E24" s="6" t="n"/>
      <c r="F24" s="26" t="n"/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B40" s="2" t="inlineStr">
        <is>
          <t>Prepared by Ahmed Ali | Data Analysis Services | ahmed-ali-ops.vercel.app</t>
        </is>
      </c>
    </row>
  </sheetData>
  <mergeCells count="3">
    <mergeCell ref="B17:F17"/>
    <mergeCell ref="B2:C2"/>
    <mergeCell ref="B40:F40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60" customWidth="1" min="3" max="3"/>
    <col width="10" customWidth="1" min="4" max="4"/>
  </cols>
  <sheetData>
    <row r="1" ht="15" customHeight="1"/>
    <row r="2" ht="32" customHeight="1">
      <c r="B2" s="1" t="inlineStr">
        <is>
          <t>How to Use This Template</t>
        </is>
      </c>
    </row>
    <row r="3" ht="8" customHeight="1"/>
    <row r="4" ht="28" customHeight="1">
      <c r="B4" s="27" t="inlineStr">
        <is>
          <t>1.</t>
        </is>
      </c>
      <c r="C4" s="28" t="inlineStr">
        <is>
          <t>Go to "Daily Sales" sheet — enter your daily numbers in the yellow cells</t>
        </is>
      </c>
    </row>
    <row r="5" ht="28" customHeight="1">
      <c r="B5" s="27" t="inlineStr">
        <is>
          <t>2.</t>
        </is>
      </c>
      <c r="C5" s="28" t="inlineStr">
        <is>
          <t>Go to "Service Breakdown" — enter bookings and average prices for each service</t>
        </is>
      </c>
    </row>
    <row r="6" ht="28" customHeight="1">
      <c r="B6" s="27" t="inlineStr">
        <is>
          <t>3.</t>
        </is>
      </c>
      <c r="C6" s="28" t="inlineStr">
        <is>
          <t>Go to "Staff Performance" — enter each staff member's data</t>
        </is>
      </c>
    </row>
    <row r="7" ht="28" customHeight="1">
      <c r="B7" s="27" t="inlineStr">
        <is>
          <t>4.</t>
        </is>
      </c>
      <c r="C7" s="28" t="inlineStr">
        <is>
          <t>Go to "Expense Tracker" — enter your budget and actual expenses</t>
        </is>
      </c>
    </row>
    <row r="8" ht="28" customHeight="1">
      <c r="B8" s="27" t="inlineStr">
        <is>
          <t>5.</t>
        </is>
      </c>
      <c r="C8" s="28" t="inlineStr">
        <is>
          <t>The "Monthly Summary" updates automatically!</t>
        </is>
      </c>
    </row>
    <row r="9" ht="28" customHeight="1">
      <c r="B9" s="27" t="inlineStr">
        <is>
          <t>6.</t>
        </is>
      </c>
      <c r="C9" s="28" t="inlineStr">
        <is>
          <t>Yellow cells = YOU fill in. White cells = AUTO-CALCULATED.</t>
        </is>
      </c>
    </row>
    <row r="11" ht="30" customHeight="1">
      <c r="B11" s="24" t="inlineStr">
        <is>
          <t>Need help? Contact Ahmed Ali | Data Analysis Services | ahmed-ali-ops.vercel.app</t>
        </is>
      </c>
    </row>
    <row r="13">
      <c r="B13" s="2" t="inlineStr">
        <is>
          <t>Prepared by Ahmed Ali | Data Analysis Services | ahmed-ali-ops.vercel.app</t>
        </is>
      </c>
    </row>
  </sheetData>
  <mergeCells count="9">
    <mergeCell ref="B11:D11"/>
    <mergeCell ref="C6:D6"/>
    <mergeCell ref="C7:D7"/>
    <mergeCell ref="C8:D8"/>
    <mergeCell ref="C5:D5"/>
    <mergeCell ref="B13:D13"/>
    <mergeCell ref="C9:D9"/>
    <mergeCell ref="B2:D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2026-05-23T16:28:45Z</dcterms:created>
  <dcterms:modified xmlns:dcterms="http://purl.org/dc/terms/" xmlns:xsi="http://www.w3.org/2001/XMLSchema-instance" xsi:type="dcterms:W3CDTF">2026-05-23T16:28:45Z</dcterms:modified>
</cp:coreProperties>
</file>