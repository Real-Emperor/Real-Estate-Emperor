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perty Registry" sheetId="2" state="visible" r:id="rId2"/>
    <sheet xmlns:r="http://schemas.openxmlformats.org/officeDocument/2006/relationships" name="Tenants" sheetId="3" state="visible" r:id="rId3"/>
    <sheet xmlns:r="http://schemas.openxmlformats.org/officeDocument/2006/relationships" name="Rent Collection" sheetId="4" state="visible" r:id="rId4"/>
    <sheet xmlns:r="http://schemas.openxmlformats.org/officeDocument/2006/relationships" name="Payment Alerts" sheetId="5" state="visible" r:id="rId5"/>
    <sheet xmlns:r="http://schemas.openxmlformats.org/officeDocument/2006/relationships" name="Maintenance" sheetId="6" state="visible" r:id="rId6"/>
    <sheet xmlns:r="http://schemas.openxmlformats.org/officeDocument/2006/relationships" name="Expenses" sheetId="7" state="visible" r:id="rId7"/>
    <sheet xmlns:r="http://schemas.openxmlformats.org/officeDocument/2006/relationships" name="Revenue Analysis" sheetId="8" state="visible" r:id="rId8"/>
    <sheet xmlns:r="http://schemas.openxmlformats.org/officeDocument/2006/relationships" name="Profit &amp; Loss" sheetId="9" state="visible" r:id="rId9"/>
    <sheet xmlns:r="http://schemas.openxmlformats.org/officeDocument/2006/relationships" name="Contracts" sheetId="10" state="visible" r:id="rId10"/>
  </sheets>
  <definedNames>
    <definedName name="_xlnm.Print_Titles" localSheetId="0">'Dashboard'!$2:$3</definedName>
    <definedName name="_xlnm.Print_Area" localSheetId="0">'Dashboard'!$A$1:$N$52</definedName>
    <definedName name="_xlnm.Print_Titles" localSheetId="1">'Property Registry'!$2:$4</definedName>
    <definedName name="_xlnm.Print_Area" localSheetId="1">'Property Registry'!$A$1:$M$60</definedName>
    <definedName name="_xlnm.Print_Titles" localSheetId="2">'Tenants'!$2:$4</definedName>
    <definedName name="_xlnm.Print_Area" localSheetId="2">'Tenants'!$A$1:$P$53</definedName>
    <definedName name="_xlnm.Print_Titles" localSheetId="3">'Rent Collection'!$2:$4</definedName>
    <definedName name="_xlnm.Print_Area" localSheetId="3">'Rent Collection'!$A$1:$O$69</definedName>
    <definedName name="_xlnm.Print_Titles" localSheetId="4">'Payment Alerts'!$3:$5</definedName>
    <definedName name="_xlnm.Print_Area" localSheetId="4">'Payment Alerts'!$A$1:$L$15</definedName>
    <definedName name="_xlnm.Print_Titles" localSheetId="5">'Maintenance'!$2:$4</definedName>
    <definedName name="_xlnm.Print_Area" localSheetId="5">'Maintenance'!$A$1:$M$20</definedName>
    <definedName name="_xlnm.Print_Titles" localSheetId="6">'Expenses'!$2:$4</definedName>
    <definedName name="_xlnm.Print_Area" localSheetId="6">'Expenses'!$A$1:$J$57</definedName>
    <definedName name="_xlnm.Print_Titles" localSheetId="7">'Revenue Analysis'!$2:$4</definedName>
    <definedName name="_xlnm.Print_Area" localSheetId="7">'Revenue Analysis'!$A$1:$O$30</definedName>
    <definedName name="_xlnm.Print_Titles" localSheetId="8">'Profit &amp; Loss'!$2:$4</definedName>
    <definedName name="_xlnm.Print_Area" localSheetId="8">'Profit &amp; Loss'!$A$1:$E$38</definedName>
    <definedName name="_xlnm.Print_Titles" localSheetId="9">'Contracts'!$2:$4</definedName>
    <definedName name="_xlnm.Print_Area" localSheetId="9">'Contracts'!$A$1:$M$61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"/>
  </numFmts>
  <fonts count="8">
    <font>
      <name val="Calibri"/>
      <family val="2"/>
      <color theme="1"/>
      <sz val="11"/>
      <scheme val="minor"/>
    </font>
    <font>
      <name val="Noto Sans CJK SC"/>
      <color rgb="002D4A3E"/>
      <sz val="16"/>
    </font>
    <font>
      <name val="Noto Sans CJK SC"/>
      <color rgb="007A9B8C"/>
      <sz val="9"/>
    </font>
    <font>
      <name val="Noto Sans CJK SC"/>
      <color rgb="002D4A3E"/>
      <sz val="22"/>
    </font>
    <font>
      <name val="Noto Sans CJK SC"/>
      <color rgb="003B5249"/>
      <sz val="11"/>
    </font>
    <font>
      <name val="Noto Sans CJK SC"/>
      <color rgb="00FFFFFF"/>
      <sz val="11"/>
    </font>
    <font>
      <name val="Noto Sans CJK SC"/>
      <color rgb="002D4A3E"/>
      <sz val="11"/>
    </font>
    <font>
      <name val="Calibri"/>
      <b val="1"/>
      <color rgb="00C2694B"/>
      <sz val="11"/>
    </font>
  </fonts>
  <fills count="6">
    <fill>
      <patternFill/>
    </fill>
    <fill>
      <patternFill patternType="gray125"/>
    </fill>
    <fill>
      <patternFill patternType="solid">
        <fgColor rgb="002D4A3E"/>
      </patternFill>
    </fill>
    <fill>
      <patternFill patternType="solid">
        <fgColor rgb="00FFFFFF"/>
      </patternFill>
    </fill>
    <fill>
      <patternFill patternType="solid">
        <fgColor rgb="00F6FAF8"/>
      </patternFill>
    </fill>
    <fill>
      <patternFill patternType="solid">
        <fgColor rgb="00E8F0EB"/>
      </patternFill>
    </fill>
  </fills>
  <borders count="4">
    <border>
      <left/>
      <right/>
      <top/>
      <bottom/>
      <diagonal/>
    </border>
    <border>
      <top style="medium">
        <color rgb="002D4A3E"/>
      </top>
    </border>
    <border>
      <bottom style="thin">
        <color rgb="00D4E3DB"/>
      </bottom>
    </border>
    <border>
      <top style="medium">
        <color rgb="00D4E3DB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4" fontId="3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166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3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6" fillId="5" borderId="3" pivotButton="0" quotePrefix="0" xfId="0"/>
    <xf numFmtId="3" fontId="6" fillId="5" borderId="3" applyAlignment="1" pivotButton="0" quotePrefix="0" xfId="0">
      <alignment horizontal="right" vertical="center"/>
    </xf>
    <xf numFmtId="4" fontId="6" fillId="5" borderId="3" applyAlignment="1" pivotButton="0" quotePrefix="0" xfId="0">
      <alignment horizontal="right" vertical="center"/>
    </xf>
    <xf numFmtId="0" fontId="6" fillId="0" borderId="0" pivotButton="0" quotePrefix="0" xfId="0"/>
    <xf numFmtId="0" fontId="4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4" fontId="6" fillId="3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/>
    </xf>
    <xf numFmtId="0" fontId="0" fillId="0" borderId="3" pivotButton="0" quotePrefix="0" xfId="0"/>
    <xf numFmtId="4" fontId="6" fillId="0" borderId="3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color rgb="005FA67A"/>
      </font>
      <fill>
        <patternFill>
          <bgColor rgb="00E8F5E9"/>
        </patternFill>
      </fill>
    </dxf>
    <dxf>
      <font>
        <color rgb="00C2694B"/>
      </font>
      <fill>
        <patternFill>
          <bgColor rgb="00FDEDEC"/>
        </patternFill>
      </fill>
    </dxf>
    <dxf>
      <font>
        <color rgb="00B89B4A"/>
      </font>
      <fill>
        <patternFill>
          <b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Occupancy by Building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'Dashboard'!C8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'Dashboard'!$C$9:$C$12</f>
            </numRef>
          </val>
        </ser>
        <ser>
          <idx val="1"/>
          <order val="1"/>
          <tx>
            <strRef>
              <f>'Dashboard'!D8</f>
            </strRef>
          </tx>
          <spPr>
            <a:solidFill xmlns:a="http://schemas.openxmlformats.org/drawingml/2006/main">
              <a:srgbClr val="B89B4A"/>
            </a:solidFill>
            <a:ln xmlns:a="http://schemas.openxmlformats.org/drawingml/2006/main">
              <a:solidFill>
                <a:srgbClr val="B89B4A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'Dashboard'!$D$9:$D$12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Units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'Dashboard'!G8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'Dashboard'!$F$9:$F$12</f>
            </numRef>
          </cat>
          <val>
            <numRef>
              <f>'Dashboard'!$G$9:$G$12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Expense Breakdown</a:t>
            </a:r>
          </a:p>
        </rich>
      </tx>
    </title>
    <plotArea>
      <pieChart>
        <varyColors val="1"/>
        <ser>
          <idx val="0"/>
          <order val="0"/>
          <tx>
            <strRef>
              <f>'Dashboard'!J8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A9B8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'Dashboard'!$I$9:$I$15</f>
            </numRef>
          </cat>
          <val>
            <numRef>
              <f>'Dashboard'!$J$9:$J$15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Unit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'Dashboard'!C14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'Dashboard'!$B$15:$B$18</f>
            </numRef>
          </cat>
          <val>
            <numRef>
              <f>'Dashboard'!$C$15:$C$18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vs Vacancy Loss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Analysis'!C31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cat>
            <numRef>
              <f>'Revenue Analysis'!$C$30:$F$30</f>
            </numRef>
          </cat>
          <val>
            <numRef>
              <f>'Revenue Analysis'!$D$31:$F$31</f>
            </numRef>
          </val>
        </ser>
        <ser>
          <idx val="1"/>
          <order val="1"/>
          <tx>
            <strRef>
              <f>'Revenue Analysis'!C32</f>
            </strRef>
          </tx>
          <spPr>
            <a:solidFill xmlns:a="http://schemas.openxmlformats.org/drawingml/2006/main">
              <a:srgbClr val="C2694B"/>
            </a:solidFill>
            <a:ln xmlns:a="http://schemas.openxmlformats.org/drawingml/2006/main">
              <a:solidFill>
                <a:srgbClr val="C2694B"/>
              </a:solidFill>
              <a:prstDash val="solid"/>
            </a:ln>
          </spPr>
          <cat>
            <numRef>
              <f>'Revenue Analysis'!$C$30:$F$30</f>
            </numRef>
          </cat>
          <val>
            <numRef>
              <f>'Revenue Analysis'!$D$32:$F$32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Contract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'Contracts'!C61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cat>
            <numRef>
              <f>'Contracts'!$B$62:$B$65</f>
            </numRef>
          </cat>
          <val>
            <numRef>
              <f>'Contracts'!$C$62:$C$65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35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35</row>
      <rowOff>0</rowOff>
    </from>
    <ext cx="504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15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53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D4A3E"/>
    <outlinePr summaryBelow="1" summaryRight="1"/>
    <pageSetUpPr/>
  </sheetPr>
  <dimension ref="B2:N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15" customHeight="1"/>
    <row r="2" ht="32" customHeight="1">
      <c r="B2" s="1" t="inlineStr">
        <is>
          <t>Al Reef Al Janoubi — Real Estate Dashboard</t>
        </is>
      </c>
    </row>
    <row r="3" ht="8" customHeight="1"/>
    <row r="4" ht="18" customHeight="1">
      <c r="B4" s="2" t="inlineStr">
        <is>
          <t>Total Units</t>
        </is>
      </c>
      <c r="D4" s="2" t="inlineStr">
        <is>
          <t>Occupied</t>
        </is>
      </c>
      <c r="F4" s="2" t="inlineStr">
        <is>
          <t>Vacant</t>
        </is>
      </c>
      <c r="H4" s="2" t="inlineStr">
        <is>
          <t>Occupancy Rate</t>
        </is>
      </c>
      <c r="J4" s="2" t="inlineStr">
        <is>
          <t>Monthly Revenue</t>
        </is>
      </c>
      <c r="L4" s="2" t="inlineStr">
        <is>
          <t>Net Profit</t>
        </is>
      </c>
    </row>
    <row r="5" ht="36" customHeight="1">
      <c r="B5" s="3" t="n">
        <v>55</v>
      </c>
      <c r="D5" s="3" t="n">
        <v>48</v>
      </c>
      <c r="F5" s="3" t="n">
        <v>7</v>
      </c>
      <c r="H5" s="4" t="n">
        <v>0.873</v>
      </c>
      <c r="J5" s="5" t="n">
        <v>185340</v>
      </c>
      <c r="L5" s="5" t="n">
        <v>95200</v>
      </c>
    </row>
    <row r="6" ht="8" customHeight="1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6" customHeight="1"/>
    <row r="8">
      <c r="B8" s="7" t="inlineStr">
        <is>
          <t>Building</t>
        </is>
      </c>
      <c r="C8" s="7" t="inlineStr">
        <is>
          <t>Occupied</t>
        </is>
      </c>
      <c r="D8" s="7" t="inlineStr">
        <is>
          <t>Vacant</t>
        </is>
      </c>
      <c r="F8" s="7" t="inlineStr">
        <is>
          <t>Month</t>
        </is>
      </c>
      <c r="G8" s="7" t="inlineStr">
        <is>
          <t>Revenue</t>
        </is>
      </c>
      <c r="I8" s="7" t="inlineStr">
        <is>
          <t>Category</t>
        </is>
      </c>
      <c r="J8" s="7" t="inlineStr">
        <is>
          <t>Amount</t>
        </is>
      </c>
    </row>
    <row r="9">
      <c r="B9" s="8" t="inlineStr">
        <is>
          <t>Building A</t>
        </is>
      </c>
      <c r="C9" s="8" t="n">
        <v>13</v>
      </c>
      <c r="D9" s="8" t="n">
        <v>2</v>
      </c>
      <c r="F9" s="8" t="inlineStr">
        <is>
          <t>Jan 2025</t>
        </is>
      </c>
      <c r="G9" s="9" t="n">
        <v>172500</v>
      </c>
      <c r="I9" s="8" t="inlineStr">
        <is>
          <t>Manpower</t>
        </is>
      </c>
      <c r="J9" s="9" t="n">
        <v>24000</v>
      </c>
    </row>
    <row r="10">
      <c r="B10" s="8" t="inlineStr">
        <is>
          <t>Building B</t>
        </is>
      </c>
      <c r="C10" s="8" t="n">
        <v>12</v>
      </c>
      <c r="D10" s="8" t="n">
        <v>2</v>
      </c>
      <c r="F10" s="8" t="inlineStr">
        <is>
          <t>Feb 2025</t>
        </is>
      </c>
      <c r="G10" s="9" t="n">
        <v>175800</v>
      </c>
      <c r="I10" s="8" t="inlineStr">
        <is>
          <t>Maintenance</t>
        </is>
      </c>
      <c r="J10" s="9" t="n">
        <v>10500</v>
      </c>
    </row>
    <row r="11">
      <c r="B11" s="8" t="inlineStr">
        <is>
          <t>Building C</t>
        </is>
      </c>
      <c r="C11" s="8" t="n">
        <v>14</v>
      </c>
      <c r="D11" s="8" t="n">
        <v>2</v>
      </c>
      <c r="F11" s="8" t="inlineStr">
        <is>
          <t>Mar 2025</t>
        </is>
      </c>
      <c r="G11" s="9" t="n">
        <v>181200</v>
      </c>
      <c r="I11" s="8" t="inlineStr">
        <is>
          <t>Municipality Fees</t>
        </is>
      </c>
      <c r="J11" s="9" t="n">
        <v>8500</v>
      </c>
    </row>
    <row r="12">
      <c r="B12" s="8" t="inlineStr">
        <is>
          <t>Building D</t>
        </is>
      </c>
      <c r="C12" s="8" t="n">
        <v>9</v>
      </c>
      <c r="D12" s="8" t="n">
        <v>1</v>
      </c>
      <c r="F12" s="8" t="inlineStr">
        <is>
          <t>Apr 2025</t>
        </is>
      </c>
      <c r="G12" s="9" t="n">
        <v>185340</v>
      </c>
      <c r="I12" s="8" t="inlineStr">
        <is>
          <t>Leasing Commissions</t>
        </is>
      </c>
      <c r="J12" s="9" t="n">
        <v>5200</v>
      </c>
    </row>
    <row r="13">
      <c r="I13" s="8" t="inlineStr">
        <is>
          <t>Insurance</t>
        </is>
      </c>
      <c r="J13" s="9" t="n">
        <v>4200</v>
      </c>
    </row>
    <row r="14">
      <c r="B14" s="7" t="inlineStr">
        <is>
          <t>Unit Type</t>
        </is>
      </c>
      <c r="C14" s="7" t="inlineStr">
        <is>
          <t>Count</t>
        </is>
      </c>
      <c r="I14" s="8" t="inlineStr">
        <is>
          <t>Utilities (DEWA)</t>
        </is>
      </c>
      <c r="J14" s="9" t="n">
        <v>6800</v>
      </c>
    </row>
    <row r="15">
      <c r="B15" s="8" t="inlineStr">
        <is>
          <t>Studio</t>
        </is>
      </c>
      <c r="C15" s="8" t="n">
        <v>28</v>
      </c>
      <c r="I15" s="8" t="inlineStr">
        <is>
          <t>Other Operating</t>
        </is>
      </c>
      <c r="J15" s="9" t="n">
        <v>13000</v>
      </c>
    </row>
    <row r="16">
      <c r="B16" s="8" t="inlineStr">
        <is>
          <t>1 Bedroom</t>
        </is>
      </c>
      <c r="C16" s="8" t="n">
        <v>23</v>
      </c>
    </row>
    <row r="17">
      <c r="B17" s="8" t="inlineStr">
        <is>
          <t>2 Bedroom</t>
        </is>
      </c>
      <c r="C17" s="8" t="n">
        <v>2</v>
      </c>
    </row>
    <row r="18">
      <c r="B18" s="8" t="inlineStr">
        <is>
          <t>Shop</t>
        </is>
      </c>
      <c r="C18" s="8" t="n">
        <v>2</v>
      </c>
    </row>
  </sheetData>
  <mergeCells count="13">
    <mergeCell ref="F4:G4"/>
    <mergeCell ref="J4:K4"/>
    <mergeCell ref="L4:M4"/>
    <mergeCell ref="J5:K5"/>
    <mergeCell ref="B5:C5"/>
    <mergeCell ref="F5:G5"/>
    <mergeCell ref="D5:E5"/>
    <mergeCell ref="H5:I5"/>
    <mergeCell ref="D4:E4"/>
    <mergeCell ref="L5:M5"/>
    <mergeCell ref="H4:I4"/>
    <mergeCell ref="B2:N2"/>
    <mergeCell ref="B4:C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D4A3E"/>
    <outlinePr summaryBelow="1" summaryRight="1"/>
    <pageSetUpPr/>
  </sheetPr>
  <dimension ref="B2:M6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8" customWidth="1" min="4" max="4"/>
    <col width="14" customWidth="1" min="5" max="5"/>
    <col width="12" customWidth="1" min="6" max="6"/>
    <col width="14" customWidth="1" min="7" max="7"/>
    <col width="14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</cols>
  <sheetData>
    <row r="1" ht="15" customHeight="1"/>
    <row r="2" ht="32" customHeight="1">
      <c r="B2" s="1" t="inlineStr">
        <is>
          <t>Property Registry — Unit Master List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Building</t>
        </is>
      </c>
      <c r="D4" s="10" t="inlineStr">
        <is>
          <t>Floor</t>
        </is>
      </c>
      <c r="E4" s="10" t="inlineStr">
        <is>
          <t>Unit Type</t>
        </is>
      </c>
      <c r="F4" s="10" t="inlineStr">
        <is>
          <t>Size (sqft)</t>
        </is>
      </c>
      <c r="G4" s="10" t="inlineStr">
        <is>
          <t>Monthly Rent</t>
        </is>
      </c>
      <c r="H4" s="10" t="inlineStr">
        <is>
          <t>Municipality Fee</t>
        </is>
      </c>
      <c r="I4" s="10" t="inlineStr">
        <is>
          <t>Status</t>
        </is>
      </c>
      <c r="J4" s="10" t="inlineStr">
        <is>
          <t>Current Tenant</t>
        </is>
      </c>
      <c r="K4" s="10" t="inlineStr">
        <is>
          <t>Contract Start</t>
        </is>
      </c>
      <c r="L4" s="10" t="inlineStr">
        <is>
          <t>Contract End</t>
        </is>
      </c>
      <c r="M4" s="10" t="inlineStr">
        <is>
          <t>Notes</t>
        </is>
      </c>
    </row>
    <row r="5" ht="22" customHeight="1">
      <c r="B5" s="11" t="inlineStr">
        <is>
          <t>A-101</t>
        </is>
      </c>
      <c r="C5" s="11" t="inlineStr">
        <is>
          <t>Building A</t>
        </is>
      </c>
      <c r="D5" s="12" t="n">
        <v>1</v>
      </c>
      <c r="E5" s="11" t="inlineStr">
        <is>
          <t>Studio</t>
        </is>
      </c>
      <c r="F5" s="13" t="n">
        <v>440</v>
      </c>
      <c r="G5" s="14" t="n">
        <v>2200</v>
      </c>
      <c r="H5" s="14" t="n">
        <v>110</v>
      </c>
      <c r="I5" s="11" t="inlineStr">
        <is>
          <t>Rented</t>
        </is>
      </c>
      <c r="J5" s="11" t="inlineStr">
        <is>
          <t>Muhammad Ali</t>
        </is>
      </c>
      <c r="K5" s="15" t="n">
        <v>45352</v>
      </c>
      <c r="L5" s="15" t="n">
        <v>45716</v>
      </c>
      <c r="M5" s="11" t="inlineStr">
        <is>
          <t>Contract expiring soon</t>
        </is>
      </c>
    </row>
    <row r="6" ht="22" customHeight="1">
      <c r="B6" s="16" t="inlineStr">
        <is>
          <t>A-102</t>
        </is>
      </c>
      <c r="C6" s="16" t="inlineStr">
        <is>
          <t>Building A</t>
        </is>
      </c>
      <c r="D6" s="17" t="n">
        <v>1</v>
      </c>
      <c r="E6" s="16" t="inlineStr">
        <is>
          <t>Studio</t>
        </is>
      </c>
      <c r="F6" s="18" t="n">
        <v>450</v>
      </c>
      <c r="G6" s="19" t="n">
        <v>2300</v>
      </c>
      <c r="H6" s="19" t="n">
        <v>115</v>
      </c>
      <c r="I6" s="16" t="inlineStr">
        <is>
          <t>Rented</t>
        </is>
      </c>
      <c r="J6" s="16" t="inlineStr">
        <is>
          <t>Ahmed Khan</t>
        </is>
      </c>
      <c r="K6" s="20" t="n">
        <v>45384</v>
      </c>
      <c r="L6" s="20" t="n">
        <v>45749</v>
      </c>
      <c r="M6" s="16" t="inlineStr">
        <is>
          <t>Contract expiring soon</t>
        </is>
      </c>
    </row>
    <row r="7" ht="22" customHeight="1">
      <c r="B7" s="11" t="inlineStr">
        <is>
          <t>A-103</t>
        </is>
      </c>
      <c r="C7" s="11" t="inlineStr">
        <is>
          <t>Building A</t>
        </is>
      </c>
      <c r="D7" s="12" t="n">
        <v>1</v>
      </c>
      <c r="E7" s="11" t="inlineStr">
        <is>
          <t>Studio</t>
        </is>
      </c>
      <c r="F7" s="13" t="n">
        <v>460</v>
      </c>
      <c r="G7" s="14" t="n">
        <v>2400</v>
      </c>
      <c r="H7" s="14" t="n">
        <v>120</v>
      </c>
      <c r="I7" s="11" t="inlineStr">
        <is>
          <t>Rented</t>
        </is>
      </c>
      <c r="J7" s="11" t="inlineStr">
        <is>
          <t>Fatima Noor</t>
        </is>
      </c>
      <c r="K7" s="15" t="n">
        <v>45476</v>
      </c>
      <c r="L7" s="15" t="n">
        <v>45841</v>
      </c>
      <c r="M7" s="11" t="inlineStr"/>
    </row>
    <row r="8" ht="22" customHeight="1">
      <c r="B8" s="16" t="inlineStr">
        <is>
          <t>A-104</t>
        </is>
      </c>
      <c r="C8" s="16" t="inlineStr">
        <is>
          <t>Building A</t>
        </is>
      </c>
      <c r="D8" s="17" t="n">
        <v>1</v>
      </c>
      <c r="E8" s="16" t="inlineStr">
        <is>
          <t>Studio</t>
        </is>
      </c>
      <c r="F8" s="18" t="n">
        <v>450</v>
      </c>
      <c r="G8" s="19" t="n">
        <v>2500</v>
      </c>
      <c r="H8" s="19" t="n">
        <v>125</v>
      </c>
      <c r="I8" s="16" t="inlineStr">
        <is>
          <t>Vacant</t>
        </is>
      </c>
      <c r="J8" s="16" t="inlineStr"/>
      <c r="K8" s="20" t="inlineStr"/>
      <c r="L8" s="20" t="inlineStr"/>
      <c r="M8" s="16" t="inlineStr">
        <is>
          <t>Available for rent</t>
        </is>
      </c>
    </row>
    <row r="9" ht="22" customHeight="1">
      <c r="B9" s="11" t="inlineStr">
        <is>
          <t>A-105</t>
        </is>
      </c>
      <c r="C9" s="11" t="inlineStr">
        <is>
          <t>Building A</t>
        </is>
      </c>
      <c r="D9" s="12" t="n">
        <v>2</v>
      </c>
      <c r="E9" s="11" t="inlineStr">
        <is>
          <t>Studio</t>
        </is>
      </c>
      <c r="F9" s="13" t="n">
        <v>470</v>
      </c>
      <c r="G9" s="14" t="n">
        <v>2600</v>
      </c>
      <c r="H9" s="14" t="n">
        <v>130</v>
      </c>
      <c r="I9" s="11" t="inlineStr">
        <is>
          <t>Rented</t>
        </is>
      </c>
      <c r="J9" s="11" t="inlineStr">
        <is>
          <t>Rajesh Kumar</t>
        </is>
      </c>
      <c r="K9" s="15" t="n">
        <v>45413</v>
      </c>
      <c r="L9" s="15" t="n">
        <v>45777</v>
      </c>
      <c r="M9" s="11" t="inlineStr">
        <is>
          <t>Contract expiring soon</t>
        </is>
      </c>
    </row>
    <row r="10" ht="22" customHeight="1">
      <c r="B10" s="16" t="inlineStr">
        <is>
          <t>A-106</t>
        </is>
      </c>
      <c r="C10" s="16" t="inlineStr">
        <is>
          <t>Building A</t>
        </is>
      </c>
      <c r="D10" s="17" t="n">
        <v>2</v>
      </c>
      <c r="E10" s="16" t="inlineStr">
        <is>
          <t>Studio</t>
        </is>
      </c>
      <c r="F10" s="18" t="n">
        <v>480</v>
      </c>
      <c r="G10" s="19" t="n">
        <v>2700</v>
      </c>
      <c r="H10" s="19" t="n">
        <v>135</v>
      </c>
      <c r="I10" s="16" t="inlineStr">
        <is>
          <t>Rented</t>
        </is>
      </c>
      <c r="J10" s="16" t="inlineStr">
        <is>
          <t>Priya Sharma</t>
        </is>
      </c>
      <c r="K10" s="20" t="n">
        <v>45296</v>
      </c>
      <c r="L10" s="20" t="n">
        <v>45662</v>
      </c>
      <c r="M10" s="16" t="inlineStr">
        <is>
          <t>Contract expiring soon</t>
        </is>
      </c>
    </row>
    <row r="11" ht="22" customHeight="1">
      <c r="B11" s="11" t="inlineStr">
        <is>
          <t>A-107</t>
        </is>
      </c>
      <c r="C11" s="11" t="inlineStr">
        <is>
          <t>Building A</t>
        </is>
      </c>
      <c r="D11" s="12" t="n">
        <v>2</v>
      </c>
      <c r="E11" s="11" t="inlineStr">
        <is>
          <t>Studio</t>
        </is>
      </c>
      <c r="F11" s="13" t="n">
        <v>450</v>
      </c>
      <c r="G11" s="14" t="n">
        <v>2800</v>
      </c>
      <c r="H11" s="14" t="n">
        <v>140</v>
      </c>
      <c r="I11" s="11" t="inlineStr">
        <is>
          <t>Rented</t>
        </is>
      </c>
      <c r="J11" s="11" t="inlineStr">
        <is>
          <t>Omar Hassan</t>
        </is>
      </c>
      <c r="K11" s="15" t="n">
        <v>45458</v>
      </c>
      <c r="L11" s="15" t="n">
        <v>45823</v>
      </c>
      <c r="M11" s="11" t="inlineStr"/>
    </row>
    <row r="12" ht="22" customHeight="1">
      <c r="B12" s="16" t="inlineStr">
        <is>
          <t>A-108</t>
        </is>
      </c>
      <c r="C12" s="16" t="inlineStr">
        <is>
          <t>Building A</t>
        </is>
      </c>
      <c r="D12" s="17" t="n">
        <v>2</v>
      </c>
      <c r="E12" s="16" t="inlineStr">
        <is>
          <t>Studio</t>
        </is>
      </c>
      <c r="F12" s="18" t="n">
        <v>460</v>
      </c>
      <c r="G12" s="19" t="n">
        <v>2350</v>
      </c>
      <c r="H12" s="19" t="n">
        <v>117.5</v>
      </c>
      <c r="I12" s="16" t="inlineStr">
        <is>
          <t>Rented</t>
        </is>
      </c>
      <c r="J12" s="16" t="inlineStr">
        <is>
          <t>Layla Mahmoud</t>
        </is>
      </c>
      <c r="K12" s="20" t="n">
        <v>45480</v>
      </c>
      <c r="L12" s="20" t="n">
        <v>45845</v>
      </c>
      <c r="M12" s="16" t="inlineStr"/>
    </row>
    <row r="13" ht="22" customHeight="1">
      <c r="B13" s="11" t="inlineStr">
        <is>
          <t>A-109</t>
        </is>
      </c>
      <c r="C13" s="11" t="inlineStr">
        <is>
          <t>Building A</t>
        </is>
      </c>
      <c r="D13" s="12" t="n">
        <v>3</v>
      </c>
      <c r="E13" s="11" t="inlineStr">
        <is>
          <t>Studio</t>
        </is>
      </c>
      <c r="F13" s="13" t="n">
        <v>440</v>
      </c>
      <c r="G13" s="14" t="n">
        <v>2450</v>
      </c>
      <c r="H13" s="14" t="n">
        <v>122.5</v>
      </c>
      <c r="I13" s="11" t="inlineStr">
        <is>
          <t>Vacant</t>
        </is>
      </c>
      <c r="J13" s="11" t="inlineStr"/>
      <c r="K13" s="15" t="inlineStr"/>
      <c r="L13" s="15" t="inlineStr"/>
      <c r="M13" s="11" t="inlineStr">
        <is>
          <t>Available for rent</t>
        </is>
      </c>
    </row>
    <row r="14" ht="22" customHeight="1">
      <c r="B14" s="16" t="inlineStr">
        <is>
          <t>A-110</t>
        </is>
      </c>
      <c r="C14" s="16" t="inlineStr">
        <is>
          <t>Building A</t>
        </is>
      </c>
      <c r="D14" s="17" t="n">
        <v>3</v>
      </c>
      <c r="E14" s="16" t="inlineStr">
        <is>
          <t>Studio</t>
        </is>
      </c>
      <c r="F14" s="18" t="n">
        <v>450</v>
      </c>
      <c r="G14" s="19" t="n">
        <v>2550</v>
      </c>
      <c r="H14" s="19" t="n">
        <v>127.5</v>
      </c>
      <c r="I14" s="16" t="inlineStr">
        <is>
          <t>Rented</t>
        </is>
      </c>
      <c r="J14" s="16" t="inlineStr">
        <is>
          <t>Youssef Ibrahim</t>
        </is>
      </c>
      <c r="K14" s="20" t="n">
        <v>45573</v>
      </c>
      <c r="L14" s="20" t="n">
        <v>45938</v>
      </c>
      <c r="M14" s="16" t="inlineStr"/>
    </row>
    <row r="15" ht="22" customHeight="1">
      <c r="B15" s="11" t="inlineStr">
        <is>
          <t>A-201</t>
        </is>
      </c>
      <c r="C15" s="11" t="inlineStr">
        <is>
          <t>Building A</t>
        </is>
      </c>
      <c r="D15" s="12" t="n">
        <v>2</v>
      </c>
      <c r="E15" s="11" t="inlineStr">
        <is>
          <t>1 Bedroom</t>
        </is>
      </c>
      <c r="F15" s="13" t="n">
        <v>740</v>
      </c>
      <c r="G15" s="14" t="n">
        <v>3500</v>
      </c>
      <c r="H15" s="14" t="n">
        <v>175</v>
      </c>
      <c r="I15" s="11" t="inlineStr">
        <is>
          <t>Rented</t>
        </is>
      </c>
      <c r="J15" s="11" t="inlineStr">
        <is>
          <t>Sunil Patel</t>
        </is>
      </c>
      <c r="K15" s="15" t="n">
        <v>45300</v>
      </c>
      <c r="L15" s="15" t="n">
        <v>45666</v>
      </c>
      <c r="M15" s="11" t="inlineStr">
        <is>
          <t>Contract expiring soon</t>
        </is>
      </c>
    </row>
    <row r="16" ht="22" customHeight="1">
      <c r="B16" s="16" t="inlineStr">
        <is>
          <t>A-202</t>
        </is>
      </c>
      <c r="C16" s="16" t="inlineStr">
        <is>
          <t>Building A</t>
        </is>
      </c>
      <c r="D16" s="17" t="n">
        <v>2</v>
      </c>
      <c r="E16" s="16" t="inlineStr">
        <is>
          <t>1 Bedroom</t>
        </is>
      </c>
      <c r="F16" s="18" t="n">
        <v>750</v>
      </c>
      <c r="G16" s="19" t="n">
        <v>3600</v>
      </c>
      <c r="H16" s="19" t="n">
        <v>180</v>
      </c>
      <c r="I16" s="16" t="inlineStr">
        <is>
          <t>Rented</t>
        </is>
      </c>
      <c r="J16" s="16" t="inlineStr">
        <is>
          <t>Maria Santos</t>
        </is>
      </c>
      <c r="K16" s="20" t="n">
        <v>45392</v>
      </c>
      <c r="L16" s="20" t="n">
        <v>45757</v>
      </c>
      <c r="M16" s="16" t="inlineStr">
        <is>
          <t>Contract expiring soon</t>
        </is>
      </c>
    </row>
    <row r="17" ht="22" customHeight="1">
      <c r="B17" s="11" t="inlineStr">
        <is>
          <t>A-203</t>
        </is>
      </c>
      <c r="C17" s="11" t="inlineStr">
        <is>
          <t>Building A</t>
        </is>
      </c>
      <c r="D17" s="12" t="n">
        <v>2</v>
      </c>
      <c r="E17" s="11" t="inlineStr">
        <is>
          <t>1 Bedroom</t>
        </is>
      </c>
      <c r="F17" s="13" t="n">
        <v>760</v>
      </c>
      <c r="G17" s="14" t="n">
        <v>3700</v>
      </c>
      <c r="H17" s="14" t="n">
        <v>185</v>
      </c>
      <c r="I17" s="11" t="inlineStr">
        <is>
          <t>Rented</t>
        </is>
      </c>
      <c r="J17" s="11" t="inlineStr">
        <is>
          <t>Jose Reyes</t>
        </is>
      </c>
      <c r="K17" s="15" t="n">
        <v>45352</v>
      </c>
      <c r="L17" s="15" t="n">
        <v>45716</v>
      </c>
      <c r="M17" s="11" t="inlineStr">
        <is>
          <t>Contract expiring soon</t>
        </is>
      </c>
    </row>
    <row r="18" ht="22" customHeight="1">
      <c r="B18" s="16" t="inlineStr">
        <is>
          <t>A-204</t>
        </is>
      </c>
      <c r="C18" s="16" t="inlineStr">
        <is>
          <t>Building A</t>
        </is>
      </c>
      <c r="D18" s="17" t="n">
        <v>3</v>
      </c>
      <c r="E18" s="16" t="inlineStr">
        <is>
          <t>1 Bedroom</t>
        </is>
      </c>
      <c r="F18" s="18" t="n">
        <v>750</v>
      </c>
      <c r="G18" s="19" t="n">
        <v>3800</v>
      </c>
      <c r="H18" s="19" t="n">
        <v>190</v>
      </c>
      <c r="I18" s="16" t="inlineStr">
        <is>
          <t>Rented</t>
        </is>
      </c>
      <c r="J18" s="16" t="inlineStr">
        <is>
          <t>Nadia Ahmed</t>
        </is>
      </c>
      <c r="K18" s="20" t="n">
        <v>45577</v>
      </c>
      <c r="L18" s="20" t="n">
        <v>45942</v>
      </c>
      <c r="M18" s="16" t="inlineStr"/>
    </row>
    <row r="19" ht="22" customHeight="1">
      <c r="B19" s="11" t="inlineStr">
        <is>
          <t>A-205</t>
        </is>
      </c>
      <c r="C19" s="11" t="inlineStr">
        <is>
          <t>Building A</t>
        </is>
      </c>
      <c r="D19" s="12" t="n">
        <v>3</v>
      </c>
      <c r="E19" s="11" t="inlineStr">
        <is>
          <t>1 Bedroom</t>
        </is>
      </c>
      <c r="F19" s="13" t="n">
        <v>770</v>
      </c>
      <c r="G19" s="14" t="n">
        <v>3900</v>
      </c>
      <c r="H19" s="14" t="n">
        <v>195</v>
      </c>
      <c r="I19" s="11" t="inlineStr">
        <is>
          <t>Rented</t>
        </is>
      </c>
      <c r="J19" s="11" t="inlineStr">
        <is>
          <t>Hassan Malik</t>
        </is>
      </c>
      <c r="K19" s="15" t="n">
        <v>45304</v>
      </c>
      <c r="L19" s="15" t="n">
        <v>45670</v>
      </c>
      <c r="M19" s="11" t="inlineStr">
        <is>
          <t>Contract expiring soon</t>
        </is>
      </c>
    </row>
    <row r="20" ht="22" customHeight="1">
      <c r="B20" s="16" t="inlineStr">
        <is>
          <t>B-101</t>
        </is>
      </c>
      <c r="C20" s="16" t="inlineStr">
        <is>
          <t>Building B</t>
        </is>
      </c>
      <c r="D20" s="17" t="n">
        <v>1</v>
      </c>
      <c r="E20" s="16" t="inlineStr">
        <is>
          <t>Studio</t>
        </is>
      </c>
      <c r="F20" s="18" t="n">
        <v>450</v>
      </c>
      <c r="G20" s="19" t="n">
        <v>2250</v>
      </c>
      <c r="H20" s="19" t="n">
        <v>112.5</v>
      </c>
      <c r="I20" s="16" t="inlineStr">
        <is>
          <t>Rented</t>
        </is>
      </c>
      <c r="J20" s="16" t="inlineStr">
        <is>
          <t>Deepak Sharma</t>
        </is>
      </c>
      <c r="K20" s="20" t="n">
        <v>45396</v>
      </c>
      <c r="L20" s="20" t="n">
        <v>45761</v>
      </c>
      <c r="M20" s="16" t="inlineStr">
        <is>
          <t>Contract expiring soon</t>
        </is>
      </c>
    </row>
    <row r="21" ht="22" customHeight="1">
      <c r="B21" s="11" t="inlineStr">
        <is>
          <t>B-102</t>
        </is>
      </c>
      <c r="C21" s="11" t="inlineStr">
        <is>
          <t>Building B</t>
        </is>
      </c>
      <c r="D21" s="12" t="n">
        <v>1</v>
      </c>
      <c r="E21" s="11" t="inlineStr">
        <is>
          <t>Studio</t>
        </is>
      </c>
      <c r="F21" s="13" t="n">
        <v>460</v>
      </c>
      <c r="G21" s="14" t="n">
        <v>2650</v>
      </c>
      <c r="H21" s="14" t="n">
        <v>132.5</v>
      </c>
      <c r="I21" s="11" t="inlineStr">
        <is>
          <t>Vacant</t>
        </is>
      </c>
      <c r="J21" s="11" t="inlineStr"/>
      <c r="K21" s="15" t="inlineStr"/>
      <c r="L21" s="15" t="inlineStr"/>
      <c r="M21" s="11" t="inlineStr">
        <is>
          <t>Available for rent</t>
        </is>
      </c>
    </row>
    <row r="22" ht="22" customHeight="1">
      <c r="B22" s="16" t="inlineStr">
        <is>
          <t>B-103</t>
        </is>
      </c>
      <c r="C22" s="16" t="inlineStr">
        <is>
          <t>Building B</t>
        </is>
      </c>
      <c r="D22" s="17" t="n">
        <v>1</v>
      </c>
      <c r="E22" s="16" t="inlineStr">
        <is>
          <t>Studio</t>
        </is>
      </c>
      <c r="F22" s="18" t="n">
        <v>470</v>
      </c>
      <c r="G22" s="19" t="n">
        <v>2750</v>
      </c>
      <c r="H22" s="19" t="n">
        <v>137.5</v>
      </c>
      <c r="I22" s="16" t="inlineStr">
        <is>
          <t>Rented</t>
        </is>
      </c>
      <c r="J22" s="16" t="inlineStr">
        <is>
          <t>Amina Yusuf</t>
        </is>
      </c>
      <c r="K22" s="20" t="n">
        <v>45488</v>
      </c>
      <c r="L22" s="20" t="n">
        <v>45853</v>
      </c>
      <c r="M22" s="16" t="inlineStr"/>
    </row>
    <row r="23" ht="22" customHeight="1">
      <c r="B23" s="11" t="inlineStr">
        <is>
          <t>B-104</t>
        </is>
      </c>
      <c r="C23" s="11" t="inlineStr">
        <is>
          <t>Building B</t>
        </is>
      </c>
      <c r="D23" s="12" t="n">
        <v>1</v>
      </c>
      <c r="E23" s="11" t="inlineStr">
        <is>
          <t>Studio</t>
        </is>
      </c>
      <c r="F23" s="13" t="n">
        <v>450</v>
      </c>
      <c r="G23" s="14" t="n">
        <v>2400</v>
      </c>
      <c r="H23" s="14" t="n">
        <v>120</v>
      </c>
      <c r="I23" s="11" t="inlineStr">
        <is>
          <t>Rented</t>
        </is>
      </c>
      <c r="J23" s="11" t="inlineStr">
        <is>
          <t>Khalid Al Mansouri</t>
        </is>
      </c>
      <c r="K23" s="15" t="n">
        <v>45413</v>
      </c>
      <c r="L23" s="15" t="n">
        <v>45777</v>
      </c>
      <c r="M23" s="11" t="inlineStr">
        <is>
          <t>Contract expiring soon</t>
        </is>
      </c>
    </row>
    <row r="24" ht="22" customHeight="1">
      <c r="B24" s="16" t="inlineStr">
        <is>
          <t>B-105</t>
        </is>
      </c>
      <c r="C24" s="16" t="inlineStr">
        <is>
          <t>Building B</t>
        </is>
      </c>
      <c r="D24" s="17" t="n">
        <v>2</v>
      </c>
      <c r="E24" s="16" t="inlineStr">
        <is>
          <t>Studio</t>
        </is>
      </c>
      <c r="F24" s="18" t="n">
        <v>440</v>
      </c>
      <c r="G24" s="19" t="n">
        <v>2500</v>
      </c>
      <c r="H24" s="19" t="n">
        <v>125</v>
      </c>
      <c r="I24" s="16" t="inlineStr">
        <is>
          <t>Rented</t>
        </is>
      </c>
      <c r="J24" s="16" t="inlineStr">
        <is>
          <t>Sunita Devi</t>
        </is>
      </c>
      <c r="K24" s="20" t="n">
        <v>45308</v>
      </c>
      <c r="L24" s="20" t="n">
        <v>45674</v>
      </c>
      <c r="M24" s="16" t="inlineStr">
        <is>
          <t>Contract expiring soon</t>
        </is>
      </c>
    </row>
    <row r="25" ht="22" customHeight="1">
      <c r="B25" s="11" t="inlineStr">
        <is>
          <t>B-106</t>
        </is>
      </c>
      <c r="C25" s="11" t="inlineStr">
        <is>
          <t>Building B</t>
        </is>
      </c>
      <c r="D25" s="12" t="n">
        <v>2</v>
      </c>
      <c r="E25" s="11" t="inlineStr">
        <is>
          <t>Studio</t>
        </is>
      </c>
      <c r="F25" s="13" t="n">
        <v>460</v>
      </c>
      <c r="G25" s="14" t="n">
        <v>2600</v>
      </c>
      <c r="H25" s="14" t="n">
        <v>130</v>
      </c>
      <c r="I25" s="11" t="inlineStr">
        <is>
          <t>Rented</t>
        </is>
      </c>
      <c r="J25" s="11" t="inlineStr">
        <is>
          <t>Arjun Reddy</t>
        </is>
      </c>
      <c r="K25" s="15" t="n">
        <v>45400</v>
      </c>
      <c r="L25" s="15" t="n">
        <v>45765</v>
      </c>
      <c r="M25" s="11" t="inlineStr">
        <is>
          <t>Contract expiring soon</t>
        </is>
      </c>
    </row>
    <row r="26" ht="22" customHeight="1">
      <c r="B26" s="16" t="inlineStr">
        <is>
          <t>B-107</t>
        </is>
      </c>
      <c r="C26" s="16" t="inlineStr">
        <is>
          <t>Building B</t>
        </is>
      </c>
      <c r="D26" s="17" t="n">
        <v>2</v>
      </c>
      <c r="E26" s="16" t="inlineStr">
        <is>
          <t>Studio</t>
        </is>
      </c>
      <c r="F26" s="18" t="n">
        <v>450</v>
      </c>
      <c r="G26" s="19" t="n">
        <v>2300</v>
      </c>
      <c r="H26" s="19" t="n">
        <v>115</v>
      </c>
      <c r="I26" s="16" t="inlineStr">
        <is>
          <t>Rented</t>
        </is>
      </c>
      <c r="J26" s="16" t="inlineStr">
        <is>
          <t>Zainab Khan</t>
        </is>
      </c>
      <c r="K26" s="20" t="n">
        <v>45492</v>
      </c>
      <c r="L26" s="20" t="n">
        <v>45857</v>
      </c>
      <c r="M26" s="16" t="inlineStr"/>
    </row>
    <row r="27" ht="22" customHeight="1">
      <c r="B27" s="11" t="inlineStr">
        <is>
          <t>B-108</t>
        </is>
      </c>
      <c r="C27" s="11" t="inlineStr">
        <is>
          <t>Building B</t>
        </is>
      </c>
      <c r="D27" s="12" t="n">
        <v>2</v>
      </c>
      <c r="E27" s="11" t="inlineStr">
        <is>
          <t>Studio</t>
        </is>
      </c>
      <c r="F27" s="13" t="n">
        <v>470</v>
      </c>
      <c r="G27" s="14" t="n">
        <v>2550</v>
      </c>
      <c r="H27" s="14" t="n">
        <v>127.5</v>
      </c>
      <c r="I27" s="11" t="inlineStr">
        <is>
          <t>Rented</t>
        </is>
      </c>
      <c r="J27" s="11" t="inlineStr">
        <is>
          <t>Rashid Ahmad</t>
        </is>
      </c>
      <c r="K27" s="15" t="n">
        <v>45458</v>
      </c>
      <c r="L27" s="15" t="n">
        <v>45823</v>
      </c>
      <c r="M27" s="11" t="inlineStr"/>
    </row>
    <row r="28" ht="22" customHeight="1">
      <c r="B28" s="16" t="inlineStr">
        <is>
          <t>B-201</t>
        </is>
      </c>
      <c r="C28" s="16" t="inlineStr">
        <is>
          <t>Building B</t>
        </is>
      </c>
      <c r="D28" s="17" t="n">
        <v>2</v>
      </c>
      <c r="E28" s="16" t="inlineStr">
        <is>
          <t>1 Bedroom</t>
        </is>
      </c>
      <c r="F28" s="18" t="n">
        <v>780</v>
      </c>
      <c r="G28" s="19" t="n">
        <v>4000</v>
      </c>
      <c r="H28" s="19" t="n">
        <v>200</v>
      </c>
      <c r="I28" s="16" t="inlineStr">
        <is>
          <t>Vacant</t>
        </is>
      </c>
      <c r="J28" s="16" t="inlineStr"/>
      <c r="K28" s="20" t="inlineStr"/>
      <c r="L28" s="20" t="inlineStr"/>
      <c r="M28" s="16" t="inlineStr">
        <is>
          <t>Available for rent</t>
        </is>
      </c>
    </row>
    <row r="29" ht="22" customHeight="1">
      <c r="B29" s="11" t="inlineStr">
        <is>
          <t>B-202</t>
        </is>
      </c>
      <c r="C29" s="11" t="inlineStr">
        <is>
          <t>Building B</t>
        </is>
      </c>
      <c r="D29" s="12" t="n">
        <v>2</v>
      </c>
      <c r="E29" s="11" t="inlineStr">
        <is>
          <t>1 Bedroom</t>
        </is>
      </c>
      <c r="F29" s="13" t="n">
        <v>750</v>
      </c>
      <c r="G29" s="14" t="n">
        <v>4100</v>
      </c>
      <c r="H29" s="14" t="n">
        <v>205</v>
      </c>
      <c r="I29" s="11" t="inlineStr">
        <is>
          <t>Rented</t>
        </is>
      </c>
      <c r="J29" s="11" t="inlineStr">
        <is>
          <t>Meena Kumari</t>
        </is>
      </c>
      <c r="K29" s="15" t="n">
        <v>45312</v>
      </c>
      <c r="L29" s="15" t="n">
        <v>45678</v>
      </c>
      <c r="M29" s="11" t="inlineStr">
        <is>
          <t>Contract expiring soon</t>
        </is>
      </c>
    </row>
    <row r="30" ht="22" customHeight="1">
      <c r="B30" s="16" t="inlineStr">
        <is>
          <t>B-203</t>
        </is>
      </c>
      <c r="C30" s="16" t="inlineStr">
        <is>
          <t>Building B</t>
        </is>
      </c>
      <c r="D30" s="17" t="n">
        <v>2</v>
      </c>
      <c r="E30" s="16" t="inlineStr">
        <is>
          <t>1 Bedroom</t>
        </is>
      </c>
      <c r="F30" s="18" t="n">
        <v>760</v>
      </c>
      <c r="G30" s="19" t="n">
        <v>4200</v>
      </c>
      <c r="H30" s="19" t="n">
        <v>210</v>
      </c>
      <c r="I30" s="16" t="inlineStr">
        <is>
          <t>Rented</t>
        </is>
      </c>
      <c r="J30" s="16" t="inlineStr">
        <is>
          <t>Tariq Hussain</t>
        </is>
      </c>
      <c r="K30" s="20" t="n">
        <v>45404</v>
      </c>
      <c r="L30" s="20" t="n">
        <v>45769</v>
      </c>
      <c r="M30" s="16" t="inlineStr">
        <is>
          <t>Contract expiring soon</t>
        </is>
      </c>
    </row>
    <row r="31" ht="22" customHeight="1">
      <c r="B31" s="11" t="inlineStr">
        <is>
          <t>B-204</t>
        </is>
      </c>
      <c r="C31" s="11" t="inlineStr">
        <is>
          <t>Building B</t>
        </is>
      </c>
      <c r="D31" s="12" t="n">
        <v>3</v>
      </c>
      <c r="E31" s="11" t="inlineStr">
        <is>
          <t>1 Bedroom</t>
        </is>
      </c>
      <c r="F31" s="13" t="n">
        <v>740</v>
      </c>
      <c r="G31" s="14" t="n">
        <v>3550</v>
      </c>
      <c r="H31" s="14" t="n">
        <v>177.5</v>
      </c>
      <c r="I31" s="11" t="inlineStr">
        <is>
          <t>Rented</t>
        </is>
      </c>
      <c r="J31" s="11" t="inlineStr">
        <is>
          <t>Sara Mahmoud</t>
        </is>
      </c>
      <c r="K31" s="15" t="n">
        <v>45352</v>
      </c>
      <c r="L31" s="15" t="n">
        <v>45716</v>
      </c>
      <c r="M31" s="11" t="inlineStr">
        <is>
          <t>Contract expiring soon</t>
        </is>
      </c>
    </row>
    <row r="32" ht="22" customHeight="1">
      <c r="B32" s="16" t="inlineStr">
        <is>
          <t>B-205</t>
        </is>
      </c>
      <c r="C32" s="16" t="inlineStr">
        <is>
          <t>Building B</t>
        </is>
      </c>
      <c r="D32" s="17" t="n">
        <v>3</v>
      </c>
      <c r="E32" s="16" t="inlineStr">
        <is>
          <t>1 Bedroom</t>
        </is>
      </c>
      <c r="F32" s="18" t="n">
        <v>750</v>
      </c>
      <c r="G32" s="19" t="n">
        <v>3650</v>
      </c>
      <c r="H32" s="19" t="n">
        <v>182.5</v>
      </c>
      <c r="I32" s="16" t="inlineStr">
        <is>
          <t>Rented</t>
        </is>
      </c>
      <c r="J32" s="16" t="inlineStr">
        <is>
          <t>Vikram Singh</t>
        </is>
      </c>
      <c r="K32" s="20" t="n">
        <v>45589</v>
      </c>
      <c r="L32" s="20" t="n">
        <v>45954</v>
      </c>
      <c r="M32" s="16" t="inlineStr"/>
    </row>
    <row r="33" ht="22" customHeight="1">
      <c r="B33" s="11" t="inlineStr">
        <is>
          <t>B-206</t>
        </is>
      </c>
      <c r="C33" s="11" t="inlineStr">
        <is>
          <t>Building B</t>
        </is>
      </c>
      <c r="D33" s="12" t="n">
        <v>3</v>
      </c>
      <c r="E33" s="11" t="inlineStr">
        <is>
          <t>1 Bedroom</t>
        </is>
      </c>
      <c r="F33" s="13" t="n">
        <v>760</v>
      </c>
      <c r="G33" s="14" t="n">
        <v>3750</v>
      </c>
      <c r="H33" s="14" t="n">
        <v>187.5</v>
      </c>
      <c r="I33" s="11" t="inlineStr">
        <is>
          <t>Rented</t>
        </is>
      </c>
      <c r="J33" s="11" t="inlineStr">
        <is>
          <t>Noor Fatima</t>
        </is>
      </c>
      <c r="K33" s="15" t="n">
        <v>45316</v>
      </c>
      <c r="L33" s="15" t="n">
        <v>45682</v>
      </c>
      <c r="M33" s="11" t="inlineStr">
        <is>
          <t>Contract expiring soon</t>
        </is>
      </c>
    </row>
    <row r="34" ht="22" customHeight="1">
      <c r="B34" s="16" t="inlineStr">
        <is>
          <t>C-101</t>
        </is>
      </c>
      <c r="C34" s="16" t="inlineStr">
        <is>
          <t>Building C</t>
        </is>
      </c>
      <c r="D34" s="17" t="n">
        <v>1</v>
      </c>
      <c r="E34" s="16" t="inlineStr">
        <is>
          <t>Studio</t>
        </is>
      </c>
      <c r="F34" s="18" t="n">
        <v>440</v>
      </c>
      <c r="G34" s="19" t="n">
        <v>2650</v>
      </c>
      <c r="H34" s="19" t="n">
        <v>132.5</v>
      </c>
      <c r="I34" s="16" t="inlineStr">
        <is>
          <t>Rented</t>
        </is>
      </c>
      <c r="J34" s="16" t="inlineStr">
        <is>
          <t>Imran Sheikh</t>
        </is>
      </c>
      <c r="K34" s="20" t="n">
        <v>45408</v>
      </c>
      <c r="L34" s="20" t="n">
        <v>45773</v>
      </c>
      <c r="M34" s="16" t="inlineStr">
        <is>
          <t>Contract expiring soon</t>
        </is>
      </c>
    </row>
    <row r="35" ht="22" customHeight="1">
      <c r="B35" s="11" t="inlineStr">
        <is>
          <t>C-102</t>
        </is>
      </c>
      <c r="C35" s="11" t="inlineStr">
        <is>
          <t>Building C</t>
        </is>
      </c>
      <c r="D35" s="12" t="n">
        <v>1</v>
      </c>
      <c r="E35" s="11" t="inlineStr">
        <is>
          <t>Studio</t>
        </is>
      </c>
      <c r="F35" s="13" t="n">
        <v>450</v>
      </c>
      <c r="G35" s="14" t="n">
        <v>2350</v>
      </c>
      <c r="H35" s="14" t="n">
        <v>117.5</v>
      </c>
      <c r="I35" s="11" t="inlineStr">
        <is>
          <t>Rented</t>
        </is>
      </c>
      <c r="J35" s="11" t="inlineStr">
        <is>
          <t>Ritu Patel</t>
        </is>
      </c>
      <c r="K35" s="15" t="n">
        <v>45500</v>
      </c>
      <c r="L35" s="15" t="n">
        <v>45865</v>
      </c>
      <c r="M35" s="11" t="inlineStr"/>
    </row>
    <row r="36" ht="22" customHeight="1">
      <c r="B36" s="16" t="inlineStr">
        <is>
          <t>C-103</t>
        </is>
      </c>
      <c r="C36" s="16" t="inlineStr">
        <is>
          <t>Building C</t>
        </is>
      </c>
      <c r="D36" s="17" t="n">
        <v>1</v>
      </c>
      <c r="E36" s="16" t="inlineStr">
        <is>
          <t>Studio</t>
        </is>
      </c>
      <c r="F36" s="18" t="n">
        <v>460</v>
      </c>
      <c r="G36" s="19" t="n">
        <v>2450</v>
      </c>
      <c r="H36" s="19" t="n">
        <v>122.5</v>
      </c>
      <c r="I36" s="16" t="inlineStr">
        <is>
          <t>Vacant</t>
        </is>
      </c>
      <c r="J36" s="16" t="inlineStr"/>
      <c r="K36" s="20" t="inlineStr"/>
      <c r="L36" s="20" t="inlineStr"/>
      <c r="M36" s="16" t="inlineStr">
        <is>
          <t>Available for rent</t>
        </is>
      </c>
    </row>
    <row r="37" ht="22" customHeight="1">
      <c r="B37" s="11" t="inlineStr">
        <is>
          <t>C-104</t>
        </is>
      </c>
      <c r="C37" s="11" t="inlineStr">
        <is>
          <t>Building C</t>
        </is>
      </c>
      <c r="D37" s="12" t="n">
        <v>2</v>
      </c>
      <c r="E37" s="11" t="inlineStr">
        <is>
          <t>Studio</t>
        </is>
      </c>
      <c r="F37" s="13" t="n">
        <v>450</v>
      </c>
      <c r="G37" s="14" t="n">
        <v>2550</v>
      </c>
      <c r="H37" s="14" t="n">
        <v>127.5</v>
      </c>
      <c r="I37" s="11" t="inlineStr">
        <is>
          <t>Rented</t>
        </is>
      </c>
      <c r="J37" s="11" t="inlineStr">
        <is>
          <t>Samir Abbas</t>
        </is>
      </c>
      <c r="K37" s="15" t="n">
        <v>45413</v>
      </c>
      <c r="L37" s="15" t="n">
        <v>45777</v>
      </c>
      <c r="M37" s="11" t="inlineStr">
        <is>
          <t>Contract expiring soon</t>
        </is>
      </c>
    </row>
    <row r="38" ht="22" customHeight="1">
      <c r="B38" s="16" t="inlineStr">
        <is>
          <t>C-105</t>
        </is>
      </c>
      <c r="C38" s="16" t="inlineStr">
        <is>
          <t>Building C</t>
        </is>
      </c>
      <c r="D38" s="17" t="n">
        <v>2</v>
      </c>
      <c r="E38" s="16" t="inlineStr">
        <is>
          <t>Studio</t>
        </is>
      </c>
      <c r="F38" s="18" t="n">
        <v>440</v>
      </c>
      <c r="G38" s="19" t="n">
        <v>2200</v>
      </c>
      <c r="H38" s="19" t="n">
        <v>110</v>
      </c>
      <c r="I38" s="16" t="inlineStr">
        <is>
          <t>Rented</t>
        </is>
      </c>
      <c r="J38" s="16" t="inlineStr">
        <is>
          <t>Pooja Sharma</t>
        </is>
      </c>
      <c r="K38" s="20" t="n">
        <v>45292</v>
      </c>
      <c r="L38" s="20" t="n">
        <v>45658</v>
      </c>
      <c r="M38" s="16" t="inlineStr">
        <is>
          <t>Contract expiring soon</t>
        </is>
      </c>
    </row>
    <row r="39" ht="22" customHeight="1">
      <c r="B39" s="11" t="inlineStr">
        <is>
          <t>C-106</t>
        </is>
      </c>
      <c r="C39" s="11" t="inlineStr">
        <is>
          <t>Building C</t>
        </is>
      </c>
      <c r="D39" s="12" t="n">
        <v>2</v>
      </c>
      <c r="E39" s="11" t="inlineStr">
        <is>
          <t>Studio</t>
        </is>
      </c>
      <c r="F39" s="13" t="n">
        <v>460</v>
      </c>
      <c r="G39" s="14" t="n">
        <v>2300</v>
      </c>
      <c r="H39" s="14" t="n">
        <v>115</v>
      </c>
      <c r="I39" s="11" t="inlineStr">
        <is>
          <t>Rented</t>
        </is>
      </c>
      <c r="J39" s="11" t="inlineStr">
        <is>
          <t>Farhan Ali</t>
        </is>
      </c>
      <c r="K39" s="15" t="n">
        <v>45384</v>
      </c>
      <c r="L39" s="15" t="n">
        <v>45749</v>
      </c>
      <c r="M39" s="11" t="inlineStr">
        <is>
          <t>Contract expiring soon</t>
        </is>
      </c>
    </row>
    <row r="40" ht="22" customHeight="1">
      <c r="B40" s="16" t="inlineStr">
        <is>
          <t>C-201</t>
        </is>
      </c>
      <c r="C40" s="16" t="inlineStr">
        <is>
          <t>Building C</t>
        </is>
      </c>
      <c r="D40" s="17" t="n">
        <v>2</v>
      </c>
      <c r="E40" s="16" t="inlineStr">
        <is>
          <t>1 Bedroom</t>
        </is>
      </c>
      <c r="F40" s="18" t="n">
        <v>770</v>
      </c>
      <c r="G40" s="19" t="n">
        <v>3850</v>
      </c>
      <c r="H40" s="19" t="n">
        <v>192.5</v>
      </c>
      <c r="I40" s="16" t="inlineStr">
        <is>
          <t>Rented</t>
        </is>
      </c>
      <c r="J40" s="16" t="inlineStr">
        <is>
          <t>Amira Hassan</t>
        </is>
      </c>
      <c r="K40" s="20" t="n">
        <v>45476</v>
      </c>
      <c r="L40" s="20" t="n">
        <v>45841</v>
      </c>
      <c r="M40" s="16" t="inlineStr"/>
    </row>
    <row r="41" ht="22" customHeight="1">
      <c r="B41" s="11" t="inlineStr">
        <is>
          <t>C-202</t>
        </is>
      </c>
      <c r="C41" s="11" t="inlineStr">
        <is>
          <t>Building C</t>
        </is>
      </c>
      <c r="D41" s="12" t="n">
        <v>2</v>
      </c>
      <c r="E41" s="11" t="inlineStr">
        <is>
          <t>1 Bedroom</t>
        </is>
      </c>
      <c r="F41" s="13" t="n">
        <v>750</v>
      </c>
      <c r="G41" s="14" t="n">
        <v>3950</v>
      </c>
      <c r="H41" s="14" t="n">
        <v>197.5</v>
      </c>
      <c r="I41" s="11" t="inlineStr">
        <is>
          <t>Rented</t>
        </is>
      </c>
      <c r="J41" s="11" t="inlineStr">
        <is>
          <t>Raj Patel</t>
        </is>
      </c>
      <c r="K41" s="15" t="n">
        <v>45569</v>
      </c>
      <c r="L41" s="15" t="n">
        <v>45934</v>
      </c>
      <c r="M41" s="11" t="inlineStr"/>
    </row>
    <row r="42" ht="22" customHeight="1">
      <c r="B42" s="16" t="inlineStr">
        <is>
          <t>C-203</t>
        </is>
      </c>
      <c r="C42" s="16" t="inlineStr">
        <is>
          <t>Building C</t>
        </is>
      </c>
      <c r="D42" s="17" t="n">
        <v>2</v>
      </c>
      <c r="E42" s="16" t="inlineStr">
        <is>
          <t>1 Bedroom</t>
        </is>
      </c>
      <c r="F42" s="18" t="n">
        <v>780</v>
      </c>
      <c r="G42" s="19" t="n">
        <v>4050</v>
      </c>
      <c r="H42" s="19" t="n">
        <v>202.5</v>
      </c>
      <c r="I42" s="16" t="inlineStr">
        <is>
          <t>Rented</t>
        </is>
      </c>
      <c r="J42" s="16" t="inlineStr">
        <is>
          <t>Leila Omar</t>
        </is>
      </c>
      <c r="K42" s="20" t="n">
        <v>45296</v>
      </c>
      <c r="L42" s="20" t="n">
        <v>45662</v>
      </c>
      <c r="M42" s="16" t="inlineStr">
        <is>
          <t>Contract expiring soon</t>
        </is>
      </c>
    </row>
    <row r="43" ht="22" customHeight="1">
      <c r="B43" s="11" t="inlineStr">
        <is>
          <t>C-204</t>
        </is>
      </c>
      <c r="C43" s="11" t="inlineStr">
        <is>
          <t>Building C</t>
        </is>
      </c>
      <c r="D43" s="12" t="n">
        <v>2</v>
      </c>
      <c r="E43" s="11" t="inlineStr">
        <is>
          <t>1 Bedroom</t>
        </is>
      </c>
      <c r="F43" s="13" t="n">
        <v>760</v>
      </c>
      <c r="G43" s="14" t="n">
        <v>4150</v>
      </c>
      <c r="H43" s="14" t="n">
        <v>207.5</v>
      </c>
      <c r="I43" s="11" t="inlineStr">
        <is>
          <t>Rented</t>
        </is>
      </c>
      <c r="J43" s="11" t="inlineStr">
        <is>
          <t>Arun Kumar</t>
        </is>
      </c>
      <c r="K43" s="15" t="n">
        <v>45388</v>
      </c>
      <c r="L43" s="15" t="n">
        <v>45753</v>
      </c>
      <c r="M43" s="11" t="inlineStr">
        <is>
          <t>Contract expiring soon</t>
        </is>
      </c>
    </row>
    <row r="44" ht="22" customHeight="1">
      <c r="B44" s="16" t="inlineStr">
        <is>
          <t>C-205</t>
        </is>
      </c>
      <c r="C44" s="16" t="inlineStr">
        <is>
          <t>Building C</t>
        </is>
      </c>
      <c r="D44" s="17" t="n">
        <v>3</v>
      </c>
      <c r="E44" s="16" t="inlineStr">
        <is>
          <t>1 Bedroom</t>
        </is>
      </c>
      <c r="F44" s="18" t="n">
        <v>740</v>
      </c>
      <c r="G44" s="19" t="n">
        <v>3600</v>
      </c>
      <c r="H44" s="19" t="n">
        <v>180</v>
      </c>
      <c r="I44" s="16" t="inlineStr">
        <is>
          <t>Rented</t>
        </is>
      </c>
      <c r="J44" s="16" t="inlineStr">
        <is>
          <t>Sanjay Gupta</t>
        </is>
      </c>
      <c r="K44" s="20" t="n">
        <v>45480</v>
      </c>
      <c r="L44" s="20" t="n">
        <v>45845</v>
      </c>
      <c r="M44" s="16" t="inlineStr"/>
    </row>
    <row r="45" ht="22" customHeight="1">
      <c r="B45" s="11" t="inlineStr">
        <is>
          <t>C-206</t>
        </is>
      </c>
      <c r="C45" s="11" t="inlineStr">
        <is>
          <t>Building C</t>
        </is>
      </c>
      <c r="D45" s="12" t="n">
        <v>3</v>
      </c>
      <c r="E45" s="11" t="inlineStr">
        <is>
          <t>1 Bedroom</t>
        </is>
      </c>
      <c r="F45" s="13" t="n">
        <v>760</v>
      </c>
      <c r="G45" s="14" t="n">
        <v>3800</v>
      </c>
      <c r="H45" s="14" t="n">
        <v>190</v>
      </c>
      <c r="I45" s="11" t="inlineStr">
        <is>
          <t>Vacant</t>
        </is>
      </c>
      <c r="J45" s="11" t="inlineStr"/>
      <c r="K45" s="15" t="inlineStr"/>
      <c r="L45" s="15" t="inlineStr"/>
      <c r="M45" s="11" t="inlineStr">
        <is>
          <t>Available for rent</t>
        </is>
      </c>
    </row>
    <row r="46" ht="22" customHeight="1">
      <c r="B46" s="16" t="inlineStr">
        <is>
          <t>C-207</t>
        </is>
      </c>
      <c r="C46" s="16" t="inlineStr">
        <is>
          <t>Building C</t>
        </is>
      </c>
      <c r="D46" s="17" t="n">
        <v>3</v>
      </c>
      <c r="E46" s="16" t="inlineStr">
        <is>
          <t>1 Bedroom</t>
        </is>
      </c>
      <c r="F46" s="18" t="n">
        <v>750</v>
      </c>
      <c r="G46" s="19" t="n">
        <v>4000</v>
      </c>
      <c r="H46" s="19" t="n">
        <v>200</v>
      </c>
      <c r="I46" s="16" t="inlineStr">
        <is>
          <t>Rented</t>
        </is>
      </c>
      <c r="J46" s="16" t="inlineStr">
        <is>
          <t>Huda Mahmoud</t>
        </is>
      </c>
      <c r="K46" s="20" t="n">
        <v>45352</v>
      </c>
      <c r="L46" s="20" t="n">
        <v>45716</v>
      </c>
      <c r="M46" s="16" t="inlineStr">
        <is>
          <t>Contract expiring soon</t>
        </is>
      </c>
    </row>
    <row r="47" ht="22" customHeight="1">
      <c r="B47" s="11" t="inlineStr">
        <is>
          <t>C-208</t>
        </is>
      </c>
      <c r="C47" s="11" t="inlineStr">
        <is>
          <t>Building C</t>
        </is>
      </c>
      <c r="D47" s="12" t="n">
        <v>3</v>
      </c>
      <c r="E47" s="11" t="inlineStr">
        <is>
          <t>1 Bedroom</t>
        </is>
      </c>
      <c r="F47" s="13" t="n">
        <v>780</v>
      </c>
      <c r="G47" s="14" t="n">
        <v>3700</v>
      </c>
      <c r="H47" s="14" t="n">
        <v>185</v>
      </c>
      <c r="I47" s="11" t="inlineStr">
        <is>
          <t>Rented</t>
        </is>
      </c>
      <c r="J47" s="11" t="inlineStr">
        <is>
          <t>Waqar Ahmed</t>
        </is>
      </c>
      <c r="K47" s="15" t="n">
        <v>45300</v>
      </c>
      <c r="L47" s="15" t="n">
        <v>45666</v>
      </c>
      <c r="M47" s="11" t="inlineStr">
        <is>
          <t>Contract expiring soon</t>
        </is>
      </c>
    </row>
    <row r="48" ht="22" customHeight="1">
      <c r="B48" s="16" t="inlineStr">
        <is>
          <t>C-301</t>
        </is>
      </c>
      <c r="C48" s="16" t="inlineStr">
        <is>
          <t>Building C</t>
        </is>
      </c>
      <c r="D48" s="17" t="n">
        <v>4</v>
      </c>
      <c r="E48" s="16" t="inlineStr">
        <is>
          <t>2 Bedroom</t>
        </is>
      </c>
      <c r="F48" s="18" t="n">
        <v>1100</v>
      </c>
      <c r="G48" s="19" t="n">
        <v>5000</v>
      </c>
      <c r="H48" s="19" t="n">
        <v>250</v>
      </c>
      <c r="I48" s="16" t="inlineStr">
        <is>
          <t>Rented</t>
        </is>
      </c>
      <c r="J48" s="16" t="inlineStr">
        <is>
          <t>Neeta Joshi</t>
        </is>
      </c>
      <c r="K48" s="20" t="n">
        <v>45392</v>
      </c>
      <c r="L48" s="20" t="n">
        <v>45757</v>
      </c>
      <c r="M48" s="16" t="inlineStr">
        <is>
          <t>Contract expiring soon</t>
        </is>
      </c>
    </row>
    <row r="49" ht="22" customHeight="1">
      <c r="B49" s="11" t="inlineStr">
        <is>
          <t>C-302</t>
        </is>
      </c>
      <c r="C49" s="11" t="inlineStr">
        <is>
          <t>Building C</t>
        </is>
      </c>
      <c r="D49" s="12" t="n">
        <v>4</v>
      </c>
      <c r="E49" s="11" t="inlineStr">
        <is>
          <t>2 Bedroom</t>
        </is>
      </c>
      <c r="F49" s="13" t="n">
        <v>1150</v>
      </c>
      <c r="G49" s="14" t="n">
        <v>5500</v>
      </c>
      <c r="H49" s="14" t="n">
        <v>275</v>
      </c>
      <c r="I49" s="11" t="inlineStr">
        <is>
          <t>Rented</t>
        </is>
      </c>
      <c r="J49" s="11" t="inlineStr">
        <is>
          <t>Bilal Siddiqui</t>
        </is>
      </c>
      <c r="K49" s="15" t="n">
        <v>45413</v>
      </c>
      <c r="L49" s="15" t="n">
        <v>45777</v>
      </c>
      <c r="M49" s="11" t="inlineStr">
        <is>
          <t>Contract expiring soon</t>
        </is>
      </c>
    </row>
    <row r="50" ht="22" customHeight="1">
      <c r="B50" s="16" t="inlineStr">
        <is>
          <t>D-101</t>
        </is>
      </c>
      <c r="C50" s="16" t="inlineStr">
        <is>
          <t>Building D</t>
        </is>
      </c>
      <c r="D50" s="17" t="n">
        <v>1</v>
      </c>
      <c r="E50" s="16" t="inlineStr">
        <is>
          <t>Studio</t>
        </is>
      </c>
      <c r="F50" s="18" t="n">
        <v>450</v>
      </c>
      <c r="G50" s="19" t="n">
        <v>2450</v>
      </c>
      <c r="H50" s="19" t="n">
        <v>122.5</v>
      </c>
      <c r="I50" s="16" t="inlineStr">
        <is>
          <t>Rented</t>
        </is>
      </c>
      <c r="J50" s="16" t="inlineStr">
        <is>
          <t>Priya Nair</t>
        </is>
      </c>
      <c r="K50" s="20" t="n">
        <v>45577</v>
      </c>
      <c r="L50" s="20" t="n">
        <v>45942</v>
      </c>
      <c r="M50" s="16" t="inlineStr"/>
    </row>
    <row r="51" ht="22" customHeight="1">
      <c r="B51" s="11" t="inlineStr">
        <is>
          <t>D-102</t>
        </is>
      </c>
      <c r="C51" s="11" t="inlineStr">
        <is>
          <t>Building D</t>
        </is>
      </c>
      <c r="D51" s="12" t="n">
        <v>1</v>
      </c>
      <c r="E51" s="11" t="inlineStr">
        <is>
          <t>Studio</t>
        </is>
      </c>
      <c r="F51" s="13" t="n">
        <v>470</v>
      </c>
      <c r="G51" s="14" t="n">
        <v>2500</v>
      </c>
      <c r="H51" s="14" t="n">
        <v>125</v>
      </c>
      <c r="I51" s="11" t="inlineStr">
        <is>
          <t>Rented</t>
        </is>
      </c>
      <c r="J51" s="11" t="inlineStr">
        <is>
          <t>Faisal Rahman</t>
        </is>
      </c>
      <c r="K51" s="15" t="n">
        <v>45304</v>
      </c>
      <c r="L51" s="15" t="n">
        <v>45670</v>
      </c>
      <c r="M51" s="11" t="inlineStr">
        <is>
          <t>Contract expiring soon</t>
        </is>
      </c>
    </row>
    <row r="52" ht="22" customHeight="1">
      <c r="B52" s="16" t="inlineStr">
        <is>
          <t>D-103</t>
        </is>
      </c>
      <c r="C52" s="16" t="inlineStr">
        <is>
          <t>Building D</t>
        </is>
      </c>
      <c r="D52" s="17" t="n">
        <v>2</v>
      </c>
      <c r="E52" s="16" t="inlineStr">
        <is>
          <t>Studio</t>
        </is>
      </c>
      <c r="F52" s="18" t="n">
        <v>450</v>
      </c>
      <c r="G52" s="19" t="n">
        <v>2600</v>
      </c>
      <c r="H52" s="19" t="n">
        <v>130</v>
      </c>
      <c r="I52" s="16" t="inlineStr">
        <is>
          <t>Rented</t>
        </is>
      </c>
      <c r="J52" s="16" t="inlineStr">
        <is>
          <t>Anita Desai</t>
        </is>
      </c>
      <c r="K52" s="20" t="n">
        <v>45396</v>
      </c>
      <c r="L52" s="20" t="n">
        <v>45761</v>
      </c>
      <c r="M52" s="16" t="inlineStr">
        <is>
          <t>Contract expiring soon</t>
        </is>
      </c>
    </row>
    <row r="53" ht="22" customHeight="1">
      <c r="B53" s="11" t="inlineStr">
        <is>
          <t>D-104</t>
        </is>
      </c>
      <c r="C53" s="11" t="inlineStr">
        <is>
          <t>Building D</t>
        </is>
      </c>
      <c r="D53" s="12" t="n">
        <v>2</v>
      </c>
      <c r="E53" s="11" t="inlineStr">
        <is>
          <t>Studio</t>
        </is>
      </c>
      <c r="F53" s="13" t="n">
        <v>460</v>
      </c>
      <c r="G53" s="14" t="n">
        <v>2700</v>
      </c>
      <c r="H53" s="14" t="n">
        <v>135</v>
      </c>
      <c r="I53" s="11" t="inlineStr">
        <is>
          <t>Rented</t>
        </is>
      </c>
      <c r="J53" s="11" t="inlineStr">
        <is>
          <t>Karim Othman</t>
        </is>
      </c>
      <c r="K53" s="15" t="n">
        <v>45427</v>
      </c>
      <c r="L53" s="15" t="n">
        <v>45792</v>
      </c>
      <c r="M53" s="11" t="inlineStr"/>
    </row>
    <row r="54" ht="22" customHeight="1">
      <c r="B54" s="16" t="inlineStr">
        <is>
          <t>D-201</t>
        </is>
      </c>
      <c r="C54" s="16" t="inlineStr">
        <is>
          <t>Building D</t>
        </is>
      </c>
      <c r="D54" s="17" t="n">
        <v>2</v>
      </c>
      <c r="E54" s="16" t="inlineStr">
        <is>
          <t>1 Bedroom</t>
        </is>
      </c>
      <c r="F54" s="18" t="n">
        <v>760</v>
      </c>
      <c r="G54" s="19" t="n">
        <v>3900</v>
      </c>
      <c r="H54" s="19" t="n">
        <v>195</v>
      </c>
      <c r="I54" s="16" t="inlineStr">
        <is>
          <t>Rented</t>
        </is>
      </c>
      <c r="J54" s="16" t="inlineStr">
        <is>
          <t>Ramesh Iyer</t>
        </is>
      </c>
      <c r="K54" s="20" t="n">
        <v>45581</v>
      </c>
      <c r="L54" s="20" t="n">
        <v>45946</v>
      </c>
      <c r="M54" s="16" t="inlineStr"/>
    </row>
    <row r="55" ht="22" customHeight="1">
      <c r="B55" s="11" t="inlineStr">
        <is>
          <t>D-202</t>
        </is>
      </c>
      <c r="C55" s="11" t="inlineStr">
        <is>
          <t>Building D</t>
        </is>
      </c>
      <c r="D55" s="12" t="n">
        <v>2</v>
      </c>
      <c r="E55" s="11" t="inlineStr">
        <is>
          <t>1 Bedroom</t>
        </is>
      </c>
      <c r="F55" s="13" t="n">
        <v>750</v>
      </c>
      <c r="G55" s="14" t="n">
        <v>4100</v>
      </c>
      <c r="H55" s="14" t="n">
        <v>205</v>
      </c>
      <c r="I55" s="11" t="inlineStr">
        <is>
          <t>Rented</t>
        </is>
      </c>
      <c r="J55" s="11" t="inlineStr">
        <is>
          <t>Salma Khatoon</t>
        </is>
      </c>
      <c r="K55" s="15" t="n">
        <v>45308</v>
      </c>
      <c r="L55" s="15" t="n">
        <v>45674</v>
      </c>
      <c r="M55" s="11" t="inlineStr">
        <is>
          <t>Contract expiring soon</t>
        </is>
      </c>
    </row>
    <row r="56" ht="22" customHeight="1">
      <c r="B56" s="16" t="inlineStr">
        <is>
          <t>D-203</t>
        </is>
      </c>
      <c r="C56" s="16" t="inlineStr">
        <is>
          <t>Building D</t>
        </is>
      </c>
      <c r="D56" s="17" t="n">
        <v>3</v>
      </c>
      <c r="E56" s="16" t="inlineStr">
        <is>
          <t>1 Bedroom</t>
        </is>
      </c>
      <c r="F56" s="18" t="n">
        <v>740</v>
      </c>
      <c r="G56" s="19" t="n">
        <v>3500</v>
      </c>
      <c r="H56" s="19" t="n">
        <v>175</v>
      </c>
      <c r="I56" s="16" t="inlineStr">
        <is>
          <t>Rented</t>
        </is>
      </c>
      <c r="J56" s="16" t="inlineStr">
        <is>
          <t>Naveed Akhtar</t>
        </is>
      </c>
      <c r="K56" s="20" t="n">
        <v>45352</v>
      </c>
      <c r="L56" s="20" t="n">
        <v>45716</v>
      </c>
      <c r="M56" s="16" t="inlineStr">
        <is>
          <t>Contract expiring soon</t>
        </is>
      </c>
    </row>
    <row r="57" ht="22" customHeight="1">
      <c r="B57" s="11" t="inlineStr">
        <is>
          <t>D-204</t>
        </is>
      </c>
      <c r="C57" s="11" t="inlineStr">
        <is>
          <t>Building D</t>
        </is>
      </c>
      <c r="D57" s="12" t="n">
        <v>3</v>
      </c>
      <c r="E57" s="11" t="inlineStr">
        <is>
          <t>1 Bedroom</t>
        </is>
      </c>
      <c r="F57" s="13" t="n">
        <v>770</v>
      </c>
      <c r="G57" s="14" t="n">
        <v>3800</v>
      </c>
      <c r="H57" s="14" t="n">
        <v>190</v>
      </c>
      <c r="I57" s="11" t="inlineStr">
        <is>
          <t>Vacant</t>
        </is>
      </c>
      <c r="J57" s="11" t="inlineStr"/>
      <c r="K57" s="15" t="inlineStr"/>
      <c r="L57" s="15" t="inlineStr"/>
      <c r="M57" s="11" t="inlineStr">
        <is>
          <t>Available for rent</t>
        </is>
      </c>
    </row>
    <row r="58" ht="22" customHeight="1">
      <c r="B58" s="16" t="inlineStr">
        <is>
          <t>D-S01</t>
        </is>
      </c>
      <c r="C58" s="16" t="inlineStr">
        <is>
          <t>Building D</t>
        </is>
      </c>
      <c r="D58" s="17" t="n">
        <v>0</v>
      </c>
      <c r="E58" s="16" t="inlineStr">
        <is>
          <t>Shop</t>
        </is>
      </c>
      <c r="F58" s="18" t="n">
        <v>480</v>
      </c>
      <c r="G58" s="19" t="n">
        <v>6000</v>
      </c>
      <c r="H58" s="19" t="n">
        <v>300</v>
      </c>
      <c r="I58" s="16" t="inlineStr">
        <is>
          <t>Rented</t>
        </is>
      </c>
      <c r="J58" s="16" t="inlineStr">
        <is>
          <t>Deepa Menon</t>
        </is>
      </c>
      <c r="K58" s="20" t="n">
        <v>45492</v>
      </c>
      <c r="L58" s="20" t="n">
        <v>45857</v>
      </c>
      <c r="M58" s="16" t="inlineStr"/>
    </row>
    <row r="59" ht="22" customHeight="1">
      <c r="B59" s="11" t="inlineStr">
        <is>
          <t>D-S02</t>
        </is>
      </c>
      <c r="C59" s="11" t="inlineStr">
        <is>
          <t>Building D</t>
        </is>
      </c>
      <c r="D59" s="12" t="n">
        <v>0</v>
      </c>
      <c r="E59" s="11" t="inlineStr">
        <is>
          <t>Shop</t>
        </is>
      </c>
      <c r="F59" s="13" t="n">
        <v>520</v>
      </c>
      <c r="G59" s="14" t="n">
        <v>8000</v>
      </c>
      <c r="H59" s="14" t="n">
        <v>400</v>
      </c>
      <c r="I59" s="11" t="inlineStr">
        <is>
          <t>Rented</t>
        </is>
      </c>
      <c r="J59" s="11" t="inlineStr">
        <is>
          <t>Usman Ghani</t>
        </is>
      </c>
      <c r="K59" s="15" t="n">
        <v>45413</v>
      </c>
      <c r="L59" s="15" t="n">
        <v>45777</v>
      </c>
      <c r="M59" s="11" t="inlineStr">
        <is>
          <t>Contract expiring soon</t>
        </is>
      </c>
    </row>
    <row r="60" ht="26" customHeight="1">
      <c r="B60" s="21" t="inlineStr">
        <is>
          <t>TOTAL</t>
        </is>
      </c>
      <c r="C60" s="22" t="n"/>
      <c r="D60" s="22" t="n"/>
      <c r="E60" s="23" t="n">
        <v>55</v>
      </c>
      <c r="F60" s="22" t="n"/>
      <c r="G60" s="24">
        <f>SUM(G5:G59)</f>
        <v/>
      </c>
      <c r="H60" s="24">
        <f>SUM(H5:H59)</f>
        <v/>
      </c>
      <c r="I60" s="22" t="n"/>
      <c r="J60" s="22" t="n"/>
      <c r="K60" s="22" t="n"/>
      <c r="L60" s="22" t="n"/>
      <c r="M60" s="22" t="n"/>
    </row>
  </sheetData>
  <mergeCells count="1">
    <mergeCell ref="B2:M2"/>
  </mergeCells>
  <conditionalFormatting sqref="I5:I59">
    <cfRule type="cellIs" priority="1" operator="equal" dxfId="0">
      <formula>"Rented"</formula>
    </cfRule>
    <cfRule type="cellIs" priority="2" operator="equal" dxfId="1">
      <formula>"Vacant"</formula>
    </cfRule>
  </conditionalFormatting>
  <dataValidations count="3">
    <dataValidation sqref="E5:E59" showDropDown="0" showInputMessage="0" showErrorMessage="0" allowBlank="1" errorTitle="Invalid Unit Type" error="Please select a valid unit type" type="list">
      <formula1>"Studio,1 Bedroom,2 Bedroom,Shop"</formula1>
    </dataValidation>
    <dataValidation sqref="C5:C59" showDropDown="0" showInputMessage="0" showErrorMessage="0" allowBlank="1" type="list">
      <formula1>"Building A,Building B,Building C,Building D"</formula1>
    </dataValidation>
    <dataValidation sqref="I5:I59" showDropDown="0" showInputMessage="0" showErrorMessage="0" allowBlank="1" type="list">
      <formula1>"Rented,Vacant"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D4A3E"/>
    <outlinePr summaryBelow="1" summaryRight="1"/>
    <pageSetUpPr/>
  </sheetPr>
  <dimension ref="B2:P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6" customWidth="1" min="4" max="4"/>
    <col width="26" customWidth="1" min="5" max="5"/>
    <col width="10" customWidth="1" min="6" max="6"/>
    <col width="14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8" customWidth="1" min="16" max="16"/>
  </cols>
  <sheetData>
    <row r="1" ht="15" customHeight="1"/>
    <row r="2" ht="32" customHeight="1">
      <c r="B2" s="1" t="inlineStr">
        <is>
          <t>Tenant Directory</t>
        </is>
      </c>
    </row>
    <row r="3" ht="8" customHeight="1"/>
    <row r="4" ht="28" customHeight="1">
      <c r="B4" s="10" t="inlineStr">
        <is>
          <t>Tenant ID</t>
        </is>
      </c>
      <c r="C4" s="10" t="inlineStr">
        <is>
          <t>Tenant Name</t>
        </is>
      </c>
      <c r="D4" s="10" t="inlineStr">
        <is>
          <t>Phone</t>
        </is>
      </c>
      <c r="E4" s="10" t="inlineStr">
        <is>
          <t>Email</t>
        </is>
      </c>
      <c r="F4" s="10" t="inlineStr">
        <is>
          <t>Unit ID</t>
        </is>
      </c>
      <c r="G4" s="10" t="inlineStr">
        <is>
          <t>Unit Type</t>
        </is>
      </c>
      <c r="H4" s="10" t="inlineStr">
        <is>
          <t>Lease Start</t>
        </is>
      </c>
      <c r="I4" s="10" t="inlineStr">
        <is>
          <t>Lease End</t>
        </is>
      </c>
      <c r="J4" s="10" t="inlineStr">
        <is>
          <t>Duration (Months)</t>
        </is>
      </c>
      <c r="K4" s="10" t="inlineStr">
        <is>
          <t>Monthly Rent</t>
        </is>
      </c>
      <c r="L4" s="10" t="inlineStr">
        <is>
          <t>Security Deposit</t>
        </is>
      </c>
      <c r="M4" s="10" t="inlineStr">
        <is>
          <t>Payment Method</t>
        </is>
      </c>
      <c r="N4" s="10" t="inlineStr">
        <is>
          <t>Nationality</t>
        </is>
      </c>
      <c r="O4" s="10" t="inlineStr">
        <is>
          <t>Employer</t>
        </is>
      </c>
      <c r="P4" s="10" t="inlineStr">
        <is>
          <t>Emergency Contact</t>
        </is>
      </c>
    </row>
    <row r="5" ht="22" customHeight="1">
      <c r="B5" s="11" t="inlineStr">
        <is>
          <t>T-001</t>
        </is>
      </c>
      <c r="C5" s="11" t="inlineStr">
        <is>
          <t>Muhammad Ali</t>
        </is>
      </c>
      <c r="D5" s="11" t="inlineStr">
        <is>
          <t>050-123-4567</t>
        </is>
      </c>
      <c r="E5" s="11" t="inlineStr">
        <is>
          <t>muhammad.ali0@gmail.com</t>
        </is>
      </c>
      <c r="F5" s="11" t="inlineStr">
        <is>
          <t>A-101</t>
        </is>
      </c>
      <c r="G5" s="11" t="inlineStr">
        <is>
          <t>Studio</t>
        </is>
      </c>
      <c r="H5" s="15" t="n">
        <v>45352</v>
      </c>
      <c r="I5" s="15" t="n">
        <v>45716</v>
      </c>
      <c r="J5" s="13" t="n">
        <v>11</v>
      </c>
      <c r="K5" s="14" t="n">
        <v>2200</v>
      </c>
      <c r="L5" s="14" t="n">
        <v>2200</v>
      </c>
      <c r="M5" s="11" t="inlineStr">
        <is>
          <t>Bank Transfer</t>
        </is>
      </c>
      <c r="N5" s="11" t="inlineStr">
        <is>
          <t>Pakistani</t>
        </is>
      </c>
      <c r="O5" s="11" t="inlineStr">
        <is>
          <t>Al Fardan Group</t>
        </is>
      </c>
      <c r="P5" s="11" t="inlineStr">
        <is>
          <t>050-987-6543</t>
        </is>
      </c>
    </row>
    <row r="6" ht="22" customHeight="1">
      <c r="B6" s="16" t="inlineStr">
        <is>
          <t>T-002</t>
        </is>
      </c>
      <c r="C6" s="16" t="inlineStr">
        <is>
          <t>Ahmed Khan</t>
        </is>
      </c>
      <c r="D6" s="16" t="inlineStr">
        <is>
          <t>052-234-5678</t>
        </is>
      </c>
      <c r="E6" s="16" t="inlineStr">
        <is>
          <t>ahmed.khan1@yahoo.com</t>
        </is>
      </c>
      <c r="F6" s="16" t="inlineStr">
        <is>
          <t>A-102</t>
        </is>
      </c>
      <c r="G6" s="16" t="inlineStr">
        <is>
          <t>Studio</t>
        </is>
      </c>
      <c r="H6" s="20" t="n">
        <v>45384</v>
      </c>
      <c r="I6" s="20" t="n">
        <v>45749</v>
      </c>
      <c r="J6" s="18" t="n">
        <v>12</v>
      </c>
      <c r="K6" s="19" t="n">
        <v>2300</v>
      </c>
      <c r="L6" s="19" t="n">
        <v>2300</v>
      </c>
      <c r="M6" s="16" t="inlineStr">
        <is>
          <t>Cheque</t>
        </is>
      </c>
      <c r="N6" s="16" t="inlineStr">
        <is>
          <t>Pakistani</t>
        </is>
      </c>
      <c r="O6" s="16" t="inlineStr">
        <is>
          <t>Emirates NBD</t>
        </is>
      </c>
      <c r="P6" s="16" t="inlineStr">
        <is>
          <t>052-876-5432</t>
        </is>
      </c>
    </row>
    <row r="7" ht="22" customHeight="1">
      <c r="B7" s="11" t="inlineStr">
        <is>
          <t>T-003</t>
        </is>
      </c>
      <c r="C7" s="11" t="inlineStr">
        <is>
          <t>Fatima Noor</t>
        </is>
      </c>
      <c r="D7" s="11" t="inlineStr">
        <is>
          <t>054-345-6789</t>
        </is>
      </c>
      <c r="E7" s="11" t="inlineStr">
        <is>
          <t>fatima.noor2@hotmail.com</t>
        </is>
      </c>
      <c r="F7" s="11" t="inlineStr">
        <is>
          <t>A-103</t>
        </is>
      </c>
      <c r="G7" s="11" t="inlineStr">
        <is>
          <t>Studio</t>
        </is>
      </c>
      <c r="H7" s="15" t="n">
        <v>45476</v>
      </c>
      <c r="I7" s="15" t="n">
        <v>45841</v>
      </c>
      <c r="J7" s="13" t="n">
        <v>12</v>
      </c>
      <c r="K7" s="14" t="n">
        <v>2400</v>
      </c>
      <c r="L7" s="14" t="n">
        <v>2400</v>
      </c>
      <c r="M7" s="11" t="inlineStr">
        <is>
          <t>Cash</t>
        </is>
      </c>
      <c r="N7" s="11" t="inlineStr">
        <is>
          <t>Pakistani</t>
        </is>
      </c>
      <c r="O7" s="11" t="inlineStr">
        <is>
          <t>Dubai Municipality</t>
        </is>
      </c>
      <c r="P7" s="11" t="inlineStr">
        <is>
          <t>054-765-4321</t>
        </is>
      </c>
    </row>
    <row r="8" ht="22" customHeight="1">
      <c r="B8" s="16" t="inlineStr">
        <is>
          <t>T-004</t>
        </is>
      </c>
      <c r="C8" s="16" t="inlineStr">
        <is>
          <t>Rajesh Kumar</t>
        </is>
      </c>
      <c r="D8" s="16" t="inlineStr">
        <is>
          <t>055-456-7890</t>
        </is>
      </c>
      <c r="E8" s="16" t="inlineStr">
        <is>
          <t>rajesh.kumar3@outlook.com</t>
        </is>
      </c>
      <c r="F8" s="16" t="inlineStr">
        <is>
          <t>A-105</t>
        </is>
      </c>
      <c r="G8" s="16" t="inlineStr">
        <is>
          <t>Studio</t>
        </is>
      </c>
      <c r="H8" s="20" t="n">
        <v>45413</v>
      </c>
      <c r="I8" s="20" t="n">
        <v>45777</v>
      </c>
      <c r="J8" s="18" t="n">
        <v>11</v>
      </c>
      <c r="K8" s="19" t="n">
        <v>2600</v>
      </c>
      <c r="L8" s="19" t="n">
        <v>2600</v>
      </c>
      <c r="M8" s="16" t="inlineStr">
        <is>
          <t>Bank Transfer</t>
        </is>
      </c>
      <c r="N8" s="16" t="inlineStr">
        <is>
          <t>Indian</t>
        </is>
      </c>
      <c r="O8" s="16" t="inlineStr">
        <is>
          <t>Lulu Group</t>
        </is>
      </c>
      <c r="P8" s="16" t="inlineStr">
        <is>
          <t>055-654-3210</t>
        </is>
      </c>
    </row>
    <row r="9" ht="22" customHeight="1">
      <c r="B9" s="11" t="inlineStr">
        <is>
          <t>T-005</t>
        </is>
      </c>
      <c r="C9" s="11" t="inlineStr">
        <is>
          <t>Priya Sharma</t>
        </is>
      </c>
      <c r="D9" s="11" t="inlineStr">
        <is>
          <t>050-567-8901</t>
        </is>
      </c>
      <c r="E9" s="11" t="inlineStr">
        <is>
          <t>priya.sharma4@gmail.com</t>
        </is>
      </c>
      <c r="F9" s="11" t="inlineStr">
        <is>
          <t>A-106</t>
        </is>
      </c>
      <c r="G9" s="11" t="inlineStr">
        <is>
          <t>Studio</t>
        </is>
      </c>
      <c r="H9" s="15" t="n">
        <v>45296</v>
      </c>
      <c r="I9" s="15" t="n">
        <v>45662</v>
      </c>
      <c r="J9" s="13" t="n">
        <v>12</v>
      </c>
      <c r="K9" s="14" t="n">
        <v>2700</v>
      </c>
      <c r="L9" s="14" t="n">
        <v>2700</v>
      </c>
      <c r="M9" s="11" t="inlineStr">
        <is>
          <t>Cheque</t>
        </is>
      </c>
      <c r="N9" s="11" t="inlineStr">
        <is>
          <t>Indian</t>
        </is>
      </c>
      <c r="O9" s="11" t="inlineStr">
        <is>
          <t>Landmark Group</t>
        </is>
      </c>
      <c r="P9" s="11" t="inlineStr">
        <is>
          <t>050-543-2109</t>
        </is>
      </c>
    </row>
    <row r="10" ht="22" customHeight="1">
      <c r="B10" s="16" t="inlineStr">
        <is>
          <t>T-006</t>
        </is>
      </c>
      <c r="C10" s="16" t="inlineStr">
        <is>
          <t>Omar Hassan</t>
        </is>
      </c>
      <c r="D10" s="16" t="inlineStr">
        <is>
          <t>052-678-9012</t>
        </is>
      </c>
      <c r="E10" s="16" t="inlineStr">
        <is>
          <t>omar.hassan5@yahoo.com</t>
        </is>
      </c>
      <c r="F10" s="16" t="inlineStr">
        <is>
          <t>A-107</t>
        </is>
      </c>
      <c r="G10" s="16" t="inlineStr">
        <is>
          <t>Studio</t>
        </is>
      </c>
      <c r="H10" s="20" t="n">
        <v>45458</v>
      </c>
      <c r="I10" s="20" t="n">
        <v>45823</v>
      </c>
      <c r="J10" s="18" t="n">
        <v>12</v>
      </c>
      <c r="K10" s="19" t="n">
        <v>2800</v>
      </c>
      <c r="L10" s="19" t="n">
        <v>2800</v>
      </c>
      <c r="M10" s="16" t="inlineStr">
        <is>
          <t>Cash</t>
        </is>
      </c>
      <c r="N10" s="16" t="inlineStr">
        <is>
          <t>Syrian</t>
        </is>
      </c>
      <c r="O10" s="16" t="inlineStr">
        <is>
          <t>Al Shafar United</t>
        </is>
      </c>
      <c r="P10" s="16" t="inlineStr">
        <is>
          <t>052-432-1098</t>
        </is>
      </c>
    </row>
    <row r="11" ht="22" customHeight="1">
      <c r="B11" s="11" t="inlineStr">
        <is>
          <t>T-007</t>
        </is>
      </c>
      <c r="C11" s="11" t="inlineStr">
        <is>
          <t>Layla Mahmoud</t>
        </is>
      </c>
      <c r="D11" s="11" t="inlineStr">
        <is>
          <t>054-789-0123</t>
        </is>
      </c>
      <c r="E11" s="11" t="inlineStr">
        <is>
          <t>layla.mahmoud6@hotmail.com</t>
        </is>
      </c>
      <c r="F11" s="11" t="inlineStr">
        <is>
          <t>A-108</t>
        </is>
      </c>
      <c r="G11" s="11" t="inlineStr">
        <is>
          <t>Studio</t>
        </is>
      </c>
      <c r="H11" s="15" t="n">
        <v>45480</v>
      </c>
      <c r="I11" s="15" t="n">
        <v>45845</v>
      </c>
      <c r="J11" s="13" t="n">
        <v>12</v>
      </c>
      <c r="K11" s="14" t="n">
        <v>2350</v>
      </c>
      <c r="L11" s="14" t="n">
        <v>2350</v>
      </c>
      <c r="M11" s="11" t="inlineStr">
        <is>
          <t>Bank Transfer</t>
        </is>
      </c>
      <c r="N11" s="11" t="inlineStr">
        <is>
          <t>Egyptian</t>
        </is>
      </c>
      <c r="O11" s="11" t="inlineStr">
        <is>
          <t>Arabtec Construction</t>
        </is>
      </c>
      <c r="P11" s="11" t="inlineStr">
        <is>
          <t>054-321-0987</t>
        </is>
      </c>
    </row>
    <row r="12" ht="22" customHeight="1">
      <c r="B12" s="16" t="inlineStr">
        <is>
          <t>T-008</t>
        </is>
      </c>
      <c r="C12" s="16" t="inlineStr">
        <is>
          <t>Youssef Ibrahim</t>
        </is>
      </c>
      <c r="D12" s="16" t="inlineStr">
        <is>
          <t>055-890-1234</t>
        </is>
      </c>
      <c r="E12" s="16" t="inlineStr">
        <is>
          <t>youssef.ibrahim7@outlook.com</t>
        </is>
      </c>
      <c r="F12" s="16" t="inlineStr">
        <is>
          <t>A-110</t>
        </is>
      </c>
      <c r="G12" s="16" t="inlineStr">
        <is>
          <t>Studio</t>
        </is>
      </c>
      <c r="H12" s="20" t="n">
        <v>45573</v>
      </c>
      <c r="I12" s="20" t="n">
        <v>45938</v>
      </c>
      <c r="J12" s="18" t="n">
        <v>12</v>
      </c>
      <c r="K12" s="19" t="n">
        <v>2550</v>
      </c>
      <c r="L12" s="19" t="n">
        <v>2550</v>
      </c>
      <c r="M12" s="16" t="inlineStr">
        <is>
          <t>Cheque</t>
        </is>
      </c>
      <c r="N12" s="16" t="inlineStr">
        <is>
          <t>Jordanian</t>
        </is>
      </c>
      <c r="O12" s="16" t="inlineStr">
        <is>
          <t>Etisalat</t>
        </is>
      </c>
      <c r="P12" s="16" t="inlineStr">
        <is>
          <t>055-210-9876</t>
        </is>
      </c>
    </row>
    <row r="13" ht="22" customHeight="1">
      <c r="B13" s="11" t="inlineStr">
        <is>
          <t>T-009</t>
        </is>
      </c>
      <c r="C13" s="11" t="inlineStr">
        <is>
          <t>Sunil Patel</t>
        </is>
      </c>
      <c r="D13" s="11" t="inlineStr">
        <is>
          <t>050-901-2345</t>
        </is>
      </c>
      <c r="E13" s="11" t="inlineStr">
        <is>
          <t>sunil.patel8@gmail.com</t>
        </is>
      </c>
      <c r="F13" s="11" t="inlineStr">
        <is>
          <t>A-201</t>
        </is>
      </c>
      <c r="G13" s="11" t="inlineStr">
        <is>
          <t>1 Bedroom</t>
        </is>
      </c>
      <c r="H13" s="15" t="n">
        <v>45300</v>
      </c>
      <c r="I13" s="15" t="n">
        <v>45666</v>
      </c>
      <c r="J13" s="13" t="n">
        <v>12</v>
      </c>
      <c r="K13" s="14" t="n">
        <v>3500</v>
      </c>
      <c r="L13" s="14" t="n">
        <v>3500</v>
      </c>
      <c r="M13" s="11" t="inlineStr">
        <is>
          <t>Bank Transfer</t>
        </is>
      </c>
      <c r="N13" s="11" t="inlineStr">
        <is>
          <t>Indian</t>
        </is>
      </c>
      <c r="O13" s="11" t="inlineStr">
        <is>
          <t>DP World</t>
        </is>
      </c>
      <c r="P13" s="11" t="inlineStr">
        <is>
          <t>050-109-8765</t>
        </is>
      </c>
    </row>
    <row r="14" ht="22" customHeight="1">
      <c r="B14" s="16" t="inlineStr">
        <is>
          <t>T-010</t>
        </is>
      </c>
      <c r="C14" s="16" t="inlineStr">
        <is>
          <t>Maria Santos</t>
        </is>
      </c>
      <c r="D14" s="16" t="inlineStr">
        <is>
          <t>052-012-3456</t>
        </is>
      </c>
      <c r="E14" s="16" t="inlineStr">
        <is>
          <t>maria.santos9@yahoo.com</t>
        </is>
      </c>
      <c r="F14" s="16" t="inlineStr">
        <is>
          <t>A-202</t>
        </is>
      </c>
      <c r="G14" s="16" t="inlineStr">
        <is>
          <t>1 Bedroom</t>
        </is>
      </c>
      <c r="H14" s="20" t="n">
        <v>45392</v>
      </c>
      <c r="I14" s="20" t="n">
        <v>45757</v>
      </c>
      <c r="J14" s="18" t="n">
        <v>12</v>
      </c>
      <c r="K14" s="19" t="n">
        <v>3600</v>
      </c>
      <c r="L14" s="19" t="n">
        <v>3600</v>
      </c>
      <c r="M14" s="16" t="inlineStr">
        <is>
          <t>Cash</t>
        </is>
      </c>
      <c r="N14" s="16" t="inlineStr">
        <is>
          <t>Filipino</t>
        </is>
      </c>
      <c r="O14" s="16" t="inlineStr">
        <is>
          <t>Jollibee UAE</t>
        </is>
      </c>
      <c r="P14" s="16" t="inlineStr">
        <is>
          <t>052-098-7654</t>
        </is>
      </c>
    </row>
    <row r="15" ht="22" customHeight="1">
      <c r="B15" s="11" t="inlineStr">
        <is>
          <t>T-011</t>
        </is>
      </c>
      <c r="C15" s="11" t="inlineStr">
        <is>
          <t>Jose Reyes</t>
        </is>
      </c>
      <c r="D15" s="11" t="inlineStr">
        <is>
          <t>054-123-4560</t>
        </is>
      </c>
      <c r="E15" s="11" t="inlineStr">
        <is>
          <t>jose.reyes10@hotmail.com</t>
        </is>
      </c>
      <c r="F15" s="11" t="inlineStr">
        <is>
          <t>A-203</t>
        </is>
      </c>
      <c r="G15" s="11" t="inlineStr">
        <is>
          <t>1 Bedroom</t>
        </is>
      </c>
      <c r="H15" s="15" t="n">
        <v>45352</v>
      </c>
      <c r="I15" s="15" t="n">
        <v>45716</v>
      </c>
      <c r="J15" s="13" t="n">
        <v>11</v>
      </c>
      <c r="K15" s="14" t="n">
        <v>3700</v>
      </c>
      <c r="L15" s="14" t="n">
        <v>3700</v>
      </c>
      <c r="M15" s="11" t="inlineStr">
        <is>
          <t>Bank Transfer</t>
        </is>
      </c>
      <c r="N15" s="11" t="inlineStr">
        <is>
          <t>Filipino</t>
        </is>
      </c>
      <c r="O15" s="11" t="inlineStr">
        <is>
          <t>Al Naboodah Group</t>
        </is>
      </c>
      <c r="P15" s="11" t="inlineStr">
        <is>
          <t>054-887-6655</t>
        </is>
      </c>
    </row>
    <row r="16" ht="22" customHeight="1">
      <c r="B16" s="16" t="inlineStr">
        <is>
          <t>T-012</t>
        </is>
      </c>
      <c r="C16" s="16" t="inlineStr">
        <is>
          <t>Nadia Ahmed</t>
        </is>
      </c>
      <c r="D16" s="16" t="inlineStr">
        <is>
          <t>055-234-5670</t>
        </is>
      </c>
      <c r="E16" s="16" t="inlineStr">
        <is>
          <t>nadia.ahmed11@outlook.com</t>
        </is>
      </c>
      <c r="F16" s="16" t="inlineStr">
        <is>
          <t>A-204</t>
        </is>
      </c>
      <c r="G16" s="16" t="inlineStr">
        <is>
          <t>1 Bedroom</t>
        </is>
      </c>
      <c r="H16" s="20" t="n">
        <v>45577</v>
      </c>
      <c r="I16" s="20" t="n">
        <v>45942</v>
      </c>
      <c r="J16" s="18" t="n">
        <v>12</v>
      </c>
      <c r="K16" s="19" t="n">
        <v>3800</v>
      </c>
      <c r="L16" s="19" t="n">
        <v>3800</v>
      </c>
      <c r="M16" s="16" t="inlineStr">
        <is>
          <t>Cheque</t>
        </is>
      </c>
      <c r="N16" s="16" t="inlineStr">
        <is>
          <t>Pakistani</t>
        </is>
      </c>
      <c r="O16" s="16" t="inlineStr">
        <is>
          <t>Engro Corporation</t>
        </is>
      </c>
      <c r="P16" s="16" t="inlineStr">
        <is>
          <t>055-776-5544</t>
        </is>
      </c>
    </row>
    <row r="17" ht="22" customHeight="1">
      <c r="B17" s="11" t="inlineStr">
        <is>
          <t>T-013</t>
        </is>
      </c>
      <c r="C17" s="11" t="inlineStr">
        <is>
          <t>Hassan Malik</t>
        </is>
      </c>
      <c r="D17" s="11" t="inlineStr">
        <is>
          <t>050-345-6780</t>
        </is>
      </c>
      <c r="E17" s="11" t="inlineStr">
        <is>
          <t>hassan.malik12@gmail.com</t>
        </is>
      </c>
      <c r="F17" s="11" t="inlineStr">
        <is>
          <t>A-205</t>
        </is>
      </c>
      <c r="G17" s="11" t="inlineStr">
        <is>
          <t>1 Bedroom</t>
        </is>
      </c>
      <c r="H17" s="15" t="n">
        <v>45304</v>
      </c>
      <c r="I17" s="15" t="n">
        <v>45670</v>
      </c>
      <c r="J17" s="13" t="n">
        <v>12</v>
      </c>
      <c r="K17" s="14" t="n">
        <v>3900</v>
      </c>
      <c r="L17" s="14" t="n">
        <v>3900</v>
      </c>
      <c r="M17" s="11" t="inlineStr">
        <is>
          <t>Cash</t>
        </is>
      </c>
      <c r="N17" s="11" t="inlineStr">
        <is>
          <t>Pakistani</t>
        </is>
      </c>
      <c r="O17" s="11" t="inlineStr">
        <is>
          <t>Emirates Airlines</t>
        </is>
      </c>
      <c r="P17" s="11" t="inlineStr">
        <is>
          <t>050-665-4433</t>
        </is>
      </c>
    </row>
    <row r="18" ht="22" customHeight="1">
      <c r="B18" s="16" t="inlineStr">
        <is>
          <t>T-014</t>
        </is>
      </c>
      <c r="C18" s="16" t="inlineStr">
        <is>
          <t>Deepak Sharma</t>
        </is>
      </c>
      <c r="D18" s="16" t="inlineStr">
        <is>
          <t>052-456-7890</t>
        </is>
      </c>
      <c r="E18" s="16" t="inlineStr">
        <is>
          <t>deepak.sharma13@yahoo.com</t>
        </is>
      </c>
      <c r="F18" s="16" t="inlineStr">
        <is>
          <t>B-101</t>
        </is>
      </c>
      <c r="G18" s="16" t="inlineStr">
        <is>
          <t>Studio</t>
        </is>
      </c>
      <c r="H18" s="20" t="n">
        <v>45396</v>
      </c>
      <c r="I18" s="20" t="n">
        <v>45761</v>
      </c>
      <c r="J18" s="18" t="n">
        <v>12</v>
      </c>
      <c r="K18" s="19" t="n">
        <v>2250</v>
      </c>
      <c r="L18" s="19" t="n">
        <v>2250</v>
      </c>
      <c r="M18" s="16" t="inlineStr">
        <is>
          <t>Bank Transfer</t>
        </is>
      </c>
      <c r="N18" s="16" t="inlineStr">
        <is>
          <t>Indian</t>
        </is>
      </c>
      <c r="O18" s="16" t="inlineStr">
        <is>
          <t>Tata Consultancy</t>
        </is>
      </c>
      <c r="P18" s="16" t="inlineStr">
        <is>
          <t>052-554-3322</t>
        </is>
      </c>
    </row>
    <row r="19" ht="22" customHeight="1">
      <c r="B19" s="11" t="inlineStr">
        <is>
          <t>T-015</t>
        </is>
      </c>
      <c r="C19" s="11" t="inlineStr">
        <is>
          <t>Amina Yusuf</t>
        </is>
      </c>
      <c r="D19" s="11" t="inlineStr">
        <is>
          <t>054-567-8900</t>
        </is>
      </c>
      <c r="E19" s="11" t="inlineStr">
        <is>
          <t>amina.yusuf14@hotmail.com</t>
        </is>
      </c>
      <c r="F19" s="11" t="inlineStr">
        <is>
          <t>B-103</t>
        </is>
      </c>
      <c r="G19" s="11" t="inlineStr">
        <is>
          <t>Studio</t>
        </is>
      </c>
      <c r="H19" s="15" t="n">
        <v>45488</v>
      </c>
      <c r="I19" s="15" t="n">
        <v>45853</v>
      </c>
      <c r="J19" s="13" t="n">
        <v>12</v>
      </c>
      <c r="K19" s="14" t="n">
        <v>2750</v>
      </c>
      <c r="L19" s="14" t="n">
        <v>2750</v>
      </c>
      <c r="M19" s="11" t="inlineStr">
        <is>
          <t>Bank Transfer</t>
        </is>
      </c>
      <c r="N19" s="11" t="inlineStr">
        <is>
          <t>Egyptian</t>
        </is>
      </c>
      <c r="O19" s="11" t="inlineStr">
        <is>
          <t>Al Futtaim Group</t>
        </is>
      </c>
      <c r="P19" s="11" t="inlineStr">
        <is>
          <t>054-443-2211</t>
        </is>
      </c>
    </row>
    <row r="20" ht="22" customHeight="1">
      <c r="B20" s="16" t="inlineStr">
        <is>
          <t>T-016</t>
        </is>
      </c>
      <c r="C20" s="16" t="inlineStr">
        <is>
          <t>Khalid Al Mansouri</t>
        </is>
      </c>
      <c r="D20" s="16" t="inlineStr">
        <is>
          <t>055-678-9010</t>
        </is>
      </c>
      <c r="E20" s="16" t="inlineStr">
        <is>
          <t>khalid.al.mansouri15@outlook.com</t>
        </is>
      </c>
      <c r="F20" s="16" t="inlineStr">
        <is>
          <t>B-104</t>
        </is>
      </c>
      <c r="G20" s="16" t="inlineStr">
        <is>
          <t>Studio</t>
        </is>
      </c>
      <c r="H20" s="20" t="n">
        <v>45413</v>
      </c>
      <c r="I20" s="20" t="n">
        <v>45777</v>
      </c>
      <c r="J20" s="18" t="n">
        <v>11</v>
      </c>
      <c r="K20" s="19" t="n">
        <v>2400</v>
      </c>
      <c r="L20" s="19" t="n">
        <v>2400</v>
      </c>
      <c r="M20" s="16" t="inlineStr">
        <is>
          <t>Cheque</t>
        </is>
      </c>
      <c r="N20" s="16" t="inlineStr">
        <is>
          <t>Emirati</t>
        </is>
      </c>
      <c r="O20" s="16" t="inlineStr">
        <is>
          <t>Abu Dhabi Govt</t>
        </is>
      </c>
      <c r="P20" s="16" t="inlineStr">
        <is>
          <t>055-332-1100</t>
        </is>
      </c>
    </row>
    <row r="21" ht="22" customHeight="1">
      <c r="B21" s="11" t="inlineStr">
        <is>
          <t>T-017</t>
        </is>
      </c>
      <c r="C21" s="11" t="inlineStr">
        <is>
          <t>Sunita Devi</t>
        </is>
      </c>
      <c r="D21" s="11" t="inlineStr">
        <is>
          <t>050-789-0120</t>
        </is>
      </c>
      <c r="E21" s="11" t="inlineStr">
        <is>
          <t>sunita.devi16@gmail.com</t>
        </is>
      </c>
      <c r="F21" s="11" t="inlineStr">
        <is>
          <t>B-105</t>
        </is>
      </c>
      <c r="G21" s="11" t="inlineStr">
        <is>
          <t>Studio</t>
        </is>
      </c>
      <c r="H21" s="15" t="n">
        <v>45308</v>
      </c>
      <c r="I21" s="15" t="n">
        <v>45674</v>
      </c>
      <c r="J21" s="13" t="n">
        <v>12</v>
      </c>
      <c r="K21" s="14" t="n">
        <v>2500</v>
      </c>
      <c r="L21" s="14" t="n">
        <v>2500</v>
      </c>
      <c r="M21" s="11" t="inlineStr">
        <is>
          <t>Cash</t>
        </is>
      </c>
      <c r="N21" s="11" t="inlineStr">
        <is>
          <t>Indian</t>
        </is>
      </c>
      <c r="O21" s="11" t="inlineStr">
        <is>
          <t>Infosys UAE</t>
        </is>
      </c>
      <c r="P21" s="11" t="inlineStr">
        <is>
          <t>050-221-1009</t>
        </is>
      </c>
    </row>
    <row r="22" ht="22" customHeight="1">
      <c r="B22" s="16" t="inlineStr">
        <is>
          <t>T-018</t>
        </is>
      </c>
      <c r="C22" s="16" t="inlineStr">
        <is>
          <t>Arjun Reddy</t>
        </is>
      </c>
      <c r="D22" s="16" t="inlineStr">
        <is>
          <t>052-890-1230</t>
        </is>
      </c>
      <c r="E22" s="16" t="inlineStr">
        <is>
          <t>arjun.reddy17@yahoo.com</t>
        </is>
      </c>
      <c r="F22" s="16" t="inlineStr">
        <is>
          <t>B-106</t>
        </is>
      </c>
      <c r="G22" s="16" t="inlineStr">
        <is>
          <t>Studio</t>
        </is>
      </c>
      <c r="H22" s="20" t="n">
        <v>45400</v>
      </c>
      <c r="I22" s="20" t="n">
        <v>45765</v>
      </c>
      <c r="J22" s="18" t="n">
        <v>12</v>
      </c>
      <c r="K22" s="19" t="n">
        <v>2600</v>
      </c>
      <c r="L22" s="19" t="n">
        <v>2600</v>
      </c>
      <c r="M22" s="16" t="inlineStr">
        <is>
          <t>Bank Transfer</t>
        </is>
      </c>
      <c r="N22" s="16" t="inlineStr">
        <is>
          <t>Indian</t>
        </is>
      </c>
      <c r="O22" s="16" t="inlineStr">
        <is>
          <t>Wipro Technologies</t>
        </is>
      </c>
      <c r="P22" s="16" t="inlineStr">
        <is>
          <t>052-110-9988</t>
        </is>
      </c>
    </row>
    <row r="23" ht="22" customHeight="1">
      <c r="B23" s="11" t="inlineStr">
        <is>
          <t>T-019</t>
        </is>
      </c>
      <c r="C23" s="11" t="inlineStr">
        <is>
          <t>Zainab Khan</t>
        </is>
      </c>
      <c r="D23" s="11" t="inlineStr">
        <is>
          <t>054-901-2340</t>
        </is>
      </c>
      <c r="E23" s="11" t="inlineStr">
        <is>
          <t>zainab.khan18@hotmail.com</t>
        </is>
      </c>
      <c r="F23" s="11" t="inlineStr">
        <is>
          <t>B-107</t>
        </is>
      </c>
      <c r="G23" s="11" t="inlineStr">
        <is>
          <t>Studio</t>
        </is>
      </c>
      <c r="H23" s="15" t="n">
        <v>45492</v>
      </c>
      <c r="I23" s="15" t="n">
        <v>45857</v>
      </c>
      <c r="J23" s="13" t="n">
        <v>12</v>
      </c>
      <c r="K23" s="14" t="n">
        <v>2300</v>
      </c>
      <c r="L23" s="14" t="n">
        <v>2300</v>
      </c>
      <c r="M23" s="11" t="inlineStr">
        <is>
          <t>Cheque</t>
        </is>
      </c>
      <c r="N23" s="11" t="inlineStr">
        <is>
          <t>Pakistani</t>
        </is>
      </c>
      <c r="O23" s="11" t="inlineStr">
        <is>
          <t>Careem</t>
        </is>
      </c>
      <c r="P23" s="11" t="inlineStr">
        <is>
          <t>054-099-8877</t>
        </is>
      </c>
    </row>
    <row r="24" ht="22" customHeight="1">
      <c r="B24" s="16" t="inlineStr">
        <is>
          <t>T-020</t>
        </is>
      </c>
      <c r="C24" s="16" t="inlineStr">
        <is>
          <t>Rashid Ahmad</t>
        </is>
      </c>
      <c r="D24" s="16" t="inlineStr">
        <is>
          <t>055-012-3450</t>
        </is>
      </c>
      <c r="E24" s="16" t="inlineStr">
        <is>
          <t>rashid.ahmad19@outlook.com</t>
        </is>
      </c>
      <c r="F24" s="16" t="inlineStr">
        <is>
          <t>B-108</t>
        </is>
      </c>
      <c r="G24" s="16" t="inlineStr">
        <is>
          <t>Studio</t>
        </is>
      </c>
      <c r="H24" s="20" t="n">
        <v>45458</v>
      </c>
      <c r="I24" s="20" t="n">
        <v>45823</v>
      </c>
      <c r="J24" s="18" t="n">
        <v>12</v>
      </c>
      <c r="K24" s="19" t="n">
        <v>2550</v>
      </c>
      <c r="L24" s="19" t="n">
        <v>2550</v>
      </c>
      <c r="M24" s="16" t="inlineStr">
        <is>
          <t>Cash</t>
        </is>
      </c>
      <c r="N24" s="16" t="inlineStr">
        <is>
          <t>Pakistani</t>
        </is>
      </c>
      <c r="O24" s="16" t="inlineStr">
        <is>
          <t>Meezan Bank UAE</t>
        </is>
      </c>
      <c r="P24" s="16" t="inlineStr">
        <is>
          <t>055-988-7766</t>
        </is>
      </c>
    </row>
    <row r="25" ht="22" customHeight="1">
      <c r="B25" s="11" t="inlineStr">
        <is>
          <t>T-021</t>
        </is>
      </c>
      <c r="C25" s="11" t="inlineStr">
        <is>
          <t>Meena Kumari</t>
        </is>
      </c>
      <c r="D25" s="11" t="inlineStr">
        <is>
          <t>050-111-2233</t>
        </is>
      </c>
      <c r="E25" s="11" t="inlineStr">
        <is>
          <t>meena.kumari20@gmail.com</t>
        </is>
      </c>
      <c r="F25" s="11" t="inlineStr">
        <is>
          <t>B-202</t>
        </is>
      </c>
      <c r="G25" s="11" t="inlineStr">
        <is>
          <t>1 Bedroom</t>
        </is>
      </c>
      <c r="H25" s="15" t="n">
        <v>45312</v>
      </c>
      <c r="I25" s="15" t="n">
        <v>45678</v>
      </c>
      <c r="J25" s="13" t="n">
        <v>12</v>
      </c>
      <c r="K25" s="14" t="n">
        <v>4100</v>
      </c>
      <c r="L25" s="14" t="n">
        <v>4100</v>
      </c>
      <c r="M25" s="11" t="inlineStr">
        <is>
          <t>Bank Transfer</t>
        </is>
      </c>
      <c r="N25" s="11" t="inlineStr">
        <is>
          <t>Indian</t>
        </is>
      </c>
      <c r="O25" s="11" t="inlineStr">
        <is>
          <t>Tech Mahindra</t>
        </is>
      </c>
      <c r="P25" s="11" t="inlineStr">
        <is>
          <t>050-877-6655</t>
        </is>
      </c>
    </row>
    <row r="26" ht="22" customHeight="1">
      <c r="B26" s="16" t="inlineStr">
        <is>
          <t>T-022</t>
        </is>
      </c>
      <c r="C26" s="16" t="inlineStr">
        <is>
          <t>Tariq Hussain</t>
        </is>
      </c>
      <c r="D26" s="16" t="inlineStr">
        <is>
          <t>052-222-3344</t>
        </is>
      </c>
      <c r="E26" s="16" t="inlineStr">
        <is>
          <t>tariq.hussain21@yahoo.com</t>
        </is>
      </c>
      <c r="F26" s="16" t="inlineStr">
        <is>
          <t>B-203</t>
        </is>
      </c>
      <c r="G26" s="16" t="inlineStr">
        <is>
          <t>1 Bedroom</t>
        </is>
      </c>
      <c r="H26" s="20" t="n">
        <v>45404</v>
      </c>
      <c r="I26" s="20" t="n">
        <v>45769</v>
      </c>
      <c r="J26" s="18" t="n">
        <v>12</v>
      </c>
      <c r="K26" s="19" t="n">
        <v>4200</v>
      </c>
      <c r="L26" s="19" t="n">
        <v>4200</v>
      </c>
      <c r="M26" s="16" t="inlineStr">
        <is>
          <t>Bank Transfer</t>
        </is>
      </c>
      <c r="N26" s="16" t="inlineStr">
        <is>
          <t>Pakistani</t>
        </is>
      </c>
      <c r="O26" s="16" t="inlineStr">
        <is>
          <t>J. Brothers Trading</t>
        </is>
      </c>
      <c r="P26" s="16" t="inlineStr">
        <is>
          <t>052-766-5544</t>
        </is>
      </c>
    </row>
    <row r="27" ht="22" customHeight="1">
      <c r="B27" s="11" t="inlineStr">
        <is>
          <t>T-023</t>
        </is>
      </c>
      <c r="C27" s="11" t="inlineStr">
        <is>
          <t>Sara Mahmoud</t>
        </is>
      </c>
      <c r="D27" s="11" t="inlineStr">
        <is>
          <t>054-333-4455</t>
        </is>
      </c>
      <c r="E27" s="11" t="inlineStr">
        <is>
          <t>sara.mahmoud22@hotmail.com</t>
        </is>
      </c>
      <c r="F27" s="11" t="inlineStr">
        <is>
          <t>B-204</t>
        </is>
      </c>
      <c r="G27" s="11" t="inlineStr">
        <is>
          <t>1 Bedroom</t>
        </is>
      </c>
      <c r="H27" s="15" t="n">
        <v>45352</v>
      </c>
      <c r="I27" s="15" t="n">
        <v>45716</v>
      </c>
      <c r="J27" s="13" t="n">
        <v>11</v>
      </c>
      <c r="K27" s="14" t="n">
        <v>3550</v>
      </c>
      <c r="L27" s="14" t="n">
        <v>3550</v>
      </c>
      <c r="M27" s="11" t="inlineStr">
        <is>
          <t>Cheque</t>
        </is>
      </c>
      <c r="N27" s="11" t="inlineStr">
        <is>
          <t>Jordanian</t>
        </is>
      </c>
      <c r="O27" s="11" t="inlineStr">
        <is>
          <t>Rotana Hotels</t>
        </is>
      </c>
      <c r="P27" s="11" t="inlineStr">
        <is>
          <t>054-655-4433</t>
        </is>
      </c>
    </row>
    <row r="28" ht="22" customHeight="1">
      <c r="B28" s="16" t="inlineStr">
        <is>
          <t>T-024</t>
        </is>
      </c>
      <c r="C28" s="16" t="inlineStr">
        <is>
          <t>Vikram Singh</t>
        </is>
      </c>
      <c r="D28" s="16" t="inlineStr">
        <is>
          <t>055-444-5566</t>
        </is>
      </c>
      <c r="E28" s="16" t="inlineStr">
        <is>
          <t>vikram.singh23@outlook.com</t>
        </is>
      </c>
      <c r="F28" s="16" t="inlineStr">
        <is>
          <t>B-205</t>
        </is>
      </c>
      <c r="G28" s="16" t="inlineStr">
        <is>
          <t>1 Bedroom</t>
        </is>
      </c>
      <c r="H28" s="20" t="n">
        <v>45589</v>
      </c>
      <c r="I28" s="20" t="n">
        <v>45954</v>
      </c>
      <c r="J28" s="18" t="n">
        <v>12</v>
      </c>
      <c r="K28" s="19" t="n">
        <v>3650</v>
      </c>
      <c r="L28" s="19" t="n">
        <v>3650</v>
      </c>
      <c r="M28" s="16" t="inlineStr">
        <is>
          <t>Cash</t>
        </is>
      </c>
      <c r="N28" s="16" t="inlineStr">
        <is>
          <t>Indian</t>
        </is>
      </c>
      <c r="O28" s="16" t="inlineStr">
        <is>
          <t>HCL Technologies</t>
        </is>
      </c>
      <c r="P28" s="16" t="inlineStr">
        <is>
          <t>055-544-3322</t>
        </is>
      </c>
    </row>
    <row r="29" ht="22" customHeight="1">
      <c r="B29" s="11" t="inlineStr">
        <is>
          <t>T-025</t>
        </is>
      </c>
      <c r="C29" s="11" t="inlineStr">
        <is>
          <t>Noor Fatima</t>
        </is>
      </c>
      <c r="D29" s="11" t="inlineStr">
        <is>
          <t>050-555-6677</t>
        </is>
      </c>
      <c r="E29" s="11" t="inlineStr">
        <is>
          <t>noor.fatima24@gmail.com</t>
        </is>
      </c>
      <c r="F29" s="11" t="inlineStr">
        <is>
          <t>B-206</t>
        </is>
      </c>
      <c r="G29" s="11" t="inlineStr">
        <is>
          <t>1 Bedroom</t>
        </is>
      </c>
      <c r="H29" s="15" t="n">
        <v>45316</v>
      </c>
      <c r="I29" s="15" t="n">
        <v>45682</v>
      </c>
      <c r="J29" s="13" t="n">
        <v>12</v>
      </c>
      <c r="K29" s="14" t="n">
        <v>3750</v>
      </c>
      <c r="L29" s="14" t="n">
        <v>3750</v>
      </c>
      <c r="M29" s="11" t="inlineStr">
        <is>
          <t>Bank Transfer</t>
        </is>
      </c>
      <c r="N29" s="11" t="inlineStr">
        <is>
          <t>Pakistani</t>
        </is>
      </c>
      <c r="O29" s="11" t="inlineStr">
        <is>
          <t>Dubai Islamic Bank</t>
        </is>
      </c>
      <c r="P29" s="11" t="inlineStr">
        <is>
          <t>050-433-2211</t>
        </is>
      </c>
    </row>
    <row r="30" ht="22" customHeight="1">
      <c r="B30" s="16" t="inlineStr">
        <is>
          <t>T-026</t>
        </is>
      </c>
      <c r="C30" s="16" t="inlineStr">
        <is>
          <t>Imran Sheikh</t>
        </is>
      </c>
      <c r="D30" s="16" t="inlineStr">
        <is>
          <t>052-666-7788</t>
        </is>
      </c>
      <c r="E30" s="16" t="inlineStr">
        <is>
          <t>imran.sheikh25@yahoo.com</t>
        </is>
      </c>
      <c r="F30" s="16" t="inlineStr">
        <is>
          <t>C-101</t>
        </is>
      </c>
      <c r="G30" s="16" t="inlineStr">
        <is>
          <t>Studio</t>
        </is>
      </c>
      <c r="H30" s="20" t="n">
        <v>45408</v>
      </c>
      <c r="I30" s="20" t="n">
        <v>45773</v>
      </c>
      <c r="J30" s="18" t="n">
        <v>12</v>
      </c>
      <c r="K30" s="19" t="n">
        <v>2650</v>
      </c>
      <c r="L30" s="19" t="n">
        <v>2650</v>
      </c>
      <c r="M30" s="16" t="inlineStr">
        <is>
          <t>Cheque</t>
        </is>
      </c>
      <c r="N30" s="16" t="inlineStr">
        <is>
          <t>Pakistani</t>
        </is>
      </c>
      <c r="O30" s="16" t="inlineStr">
        <is>
          <t>Sharaf Group</t>
        </is>
      </c>
      <c r="P30" s="16" t="inlineStr">
        <is>
          <t>052-322-1100</t>
        </is>
      </c>
    </row>
    <row r="31" ht="22" customHeight="1">
      <c r="B31" s="11" t="inlineStr">
        <is>
          <t>T-027</t>
        </is>
      </c>
      <c r="C31" s="11" t="inlineStr">
        <is>
          <t>Ritu Patel</t>
        </is>
      </c>
      <c r="D31" s="11" t="inlineStr">
        <is>
          <t>054-777-8899</t>
        </is>
      </c>
      <c r="E31" s="11" t="inlineStr">
        <is>
          <t>ritu.patel26@hotmail.com</t>
        </is>
      </c>
      <c r="F31" s="11" t="inlineStr">
        <is>
          <t>C-102</t>
        </is>
      </c>
      <c r="G31" s="11" t="inlineStr">
        <is>
          <t>Studio</t>
        </is>
      </c>
      <c r="H31" s="15" t="n">
        <v>45500</v>
      </c>
      <c r="I31" s="15" t="n">
        <v>45865</v>
      </c>
      <c r="J31" s="13" t="n">
        <v>12</v>
      </c>
      <c r="K31" s="14" t="n">
        <v>2350</v>
      </c>
      <c r="L31" s="14" t="n">
        <v>2350</v>
      </c>
      <c r="M31" s="11" t="inlineStr">
        <is>
          <t>Cash</t>
        </is>
      </c>
      <c r="N31" s="11" t="inlineStr">
        <is>
          <t>Indian</t>
        </is>
      </c>
      <c r="O31" s="11" t="inlineStr">
        <is>
          <t>Larsen &amp; Toubro</t>
        </is>
      </c>
      <c r="P31" s="11" t="inlineStr">
        <is>
          <t>054-211-0998</t>
        </is>
      </c>
    </row>
    <row r="32" ht="22" customHeight="1">
      <c r="B32" s="16" t="inlineStr">
        <is>
          <t>T-028</t>
        </is>
      </c>
      <c r="C32" s="16" t="inlineStr">
        <is>
          <t>Samir Abbas</t>
        </is>
      </c>
      <c r="D32" s="16" t="inlineStr">
        <is>
          <t>055-888-9900</t>
        </is>
      </c>
      <c r="E32" s="16" t="inlineStr">
        <is>
          <t>samir.abbas27@outlook.com</t>
        </is>
      </c>
      <c r="F32" s="16" t="inlineStr">
        <is>
          <t>C-104</t>
        </is>
      </c>
      <c r="G32" s="16" t="inlineStr">
        <is>
          <t>Studio</t>
        </is>
      </c>
      <c r="H32" s="20" t="n">
        <v>45413</v>
      </c>
      <c r="I32" s="20" t="n">
        <v>45777</v>
      </c>
      <c r="J32" s="18" t="n">
        <v>11</v>
      </c>
      <c r="K32" s="19" t="n">
        <v>2550</v>
      </c>
      <c r="L32" s="19" t="n">
        <v>2550</v>
      </c>
      <c r="M32" s="16" t="inlineStr">
        <is>
          <t>Bank Transfer</t>
        </is>
      </c>
      <c r="N32" s="16" t="inlineStr">
        <is>
          <t>Jordanian</t>
        </is>
      </c>
      <c r="O32" s="16" t="inlineStr">
        <is>
          <t>Aramex</t>
        </is>
      </c>
      <c r="P32" s="16" t="inlineStr">
        <is>
          <t>055-100-9887</t>
        </is>
      </c>
    </row>
    <row r="33" ht="22" customHeight="1">
      <c r="B33" s="11" t="inlineStr">
        <is>
          <t>T-029</t>
        </is>
      </c>
      <c r="C33" s="11" t="inlineStr">
        <is>
          <t>Pooja Sharma</t>
        </is>
      </c>
      <c r="D33" s="11" t="inlineStr">
        <is>
          <t>050-999-0011</t>
        </is>
      </c>
      <c r="E33" s="11" t="inlineStr">
        <is>
          <t>pooja.sharma28@gmail.com</t>
        </is>
      </c>
      <c r="F33" s="11" t="inlineStr">
        <is>
          <t>C-105</t>
        </is>
      </c>
      <c r="G33" s="11" t="inlineStr">
        <is>
          <t>Studio</t>
        </is>
      </c>
      <c r="H33" s="15" t="n">
        <v>45292</v>
      </c>
      <c r="I33" s="15" t="n">
        <v>45658</v>
      </c>
      <c r="J33" s="13" t="n">
        <v>12</v>
      </c>
      <c r="K33" s="14" t="n">
        <v>2200</v>
      </c>
      <c r="L33" s="14" t="n">
        <v>2200</v>
      </c>
      <c r="M33" s="11" t="inlineStr">
        <is>
          <t>Bank Transfer</t>
        </is>
      </c>
      <c r="N33" s="11" t="inlineStr">
        <is>
          <t>Indian</t>
        </is>
      </c>
      <c r="O33" s="11" t="inlineStr">
        <is>
          <t>ICICI Bank UAE</t>
        </is>
      </c>
      <c r="P33" s="11" t="inlineStr">
        <is>
          <t>050-099-8776</t>
        </is>
      </c>
    </row>
    <row r="34" ht="22" customHeight="1">
      <c r="B34" s="16" t="inlineStr">
        <is>
          <t>T-030</t>
        </is>
      </c>
      <c r="C34" s="16" t="inlineStr">
        <is>
          <t>Farhan Ali</t>
        </is>
      </c>
      <c r="D34" s="16" t="inlineStr">
        <is>
          <t>052-100-2233</t>
        </is>
      </c>
      <c r="E34" s="16" t="inlineStr">
        <is>
          <t>farhan.ali29@yahoo.com</t>
        </is>
      </c>
      <c r="F34" s="16" t="inlineStr">
        <is>
          <t>C-106</t>
        </is>
      </c>
      <c r="G34" s="16" t="inlineStr">
        <is>
          <t>Studio</t>
        </is>
      </c>
      <c r="H34" s="20" t="n">
        <v>45384</v>
      </c>
      <c r="I34" s="20" t="n">
        <v>45749</v>
      </c>
      <c r="J34" s="18" t="n">
        <v>12</v>
      </c>
      <c r="K34" s="19" t="n">
        <v>2300</v>
      </c>
      <c r="L34" s="19" t="n">
        <v>2300</v>
      </c>
      <c r="M34" s="16" t="inlineStr">
        <is>
          <t>Cheque</t>
        </is>
      </c>
      <c r="N34" s="16" t="inlineStr">
        <is>
          <t>Pakistani</t>
        </is>
      </c>
      <c r="O34" s="16" t="inlineStr">
        <is>
          <t>Al Haramain Trading</t>
        </is>
      </c>
      <c r="P34" s="16" t="inlineStr">
        <is>
          <t>052-988-7665</t>
        </is>
      </c>
    </row>
    <row r="35" ht="22" customHeight="1">
      <c r="B35" s="11" t="inlineStr">
        <is>
          <t>T-031</t>
        </is>
      </c>
      <c r="C35" s="11" t="inlineStr">
        <is>
          <t>Amira Hassan</t>
        </is>
      </c>
      <c r="D35" s="11" t="inlineStr">
        <is>
          <t>054-211-3344</t>
        </is>
      </c>
      <c r="E35" s="11" t="inlineStr">
        <is>
          <t>amira.hassan30@hotmail.com</t>
        </is>
      </c>
      <c r="F35" s="11" t="inlineStr">
        <is>
          <t>C-201</t>
        </is>
      </c>
      <c r="G35" s="11" t="inlineStr">
        <is>
          <t>1 Bedroom</t>
        </is>
      </c>
      <c r="H35" s="15" t="n">
        <v>45476</v>
      </c>
      <c r="I35" s="15" t="n">
        <v>45841</v>
      </c>
      <c r="J35" s="13" t="n">
        <v>12</v>
      </c>
      <c r="K35" s="14" t="n">
        <v>3850</v>
      </c>
      <c r="L35" s="14" t="n">
        <v>3850</v>
      </c>
      <c r="M35" s="11" t="inlineStr">
        <is>
          <t>Cash</t>
        </is>
      </c>
      <c r="N35" s="11" t="inlineStr">
        <is>
          <t>Syrian</t>
        </is>
      </c>
      <c r="O35" s="11" t="inlineStr">
        <is>
          <t>Damac Properties</t>
        </is>
      </c>
      <c r="P35" s="11" t="inlineStr">
        <is>
          <t>054-877-6554</t>
        </is>
      </c>
    </row>
    <row r="36" ht="22" customHeight="1">
      <c r="B36" s="16" t="inlineStr">
        <is>
          <t>T-032</t>
        </is>
      </c>
      <c r="C36" s="16" t="inlineStr">
        <is>
          <t>Raj Patel</t>
        </is>
      </c>
      <c r="D36" s="16" t="inlineStr">
        <is>
          <t>055-322-4455</t>
        </is>
      </c>
      <c r="E36" s="16" t="inlineStr">
        <is>
          <t>raj.patel31@outlook.com</t>
        </is>
      </c>
      <c r="F36" s="16" t="inlineStr">
        <is>
          <t>C-202</t>
        </is>
      </c>
      <c r="G36" s="16" t="inlineStr">
        <is>
          <t>1 Bedroom</t>
        </is>
      </c>
      <c r="H36" s="20" t="n">
        <v>45569</v>
      </c>
      <c r="I36" s="20" t="n">
        <v>45934</v>
      </c>
      <c r="J36" s="18" t="n">
        <v>12</v>
      </c>
      <c r="K36" s="19" t="n">
        <v>3950</v>
      </c>
      <c r="L36" s="19" t="n">
        <v>3950</v>
      </c>
      <c r="M36" s="16" t="inlineStr">
        <is>
          <t>Bank Transfer</t>
        </is>
      </c>
      <c r="N36" s="16" t="inlineStr">
        <is>
          <t>Indian</t>
        </is>
      </c>
      <c r="O36" s="16" t="inlineStr">
        <is>
          <t>Capgemini UAE</t>
        </is>
      </c>
      <c r="P36" s="16" t="inlineStr">
        <is>
          <t>055-766-5443</t>
        </is>
      </c>
    </row>
    <row r="37" ht="22" customHeight="1">
      <c r="B37" s="11" t="inlineStr">
        <is>
          <t>T-033</t>
        </is>
      </c>
      <c r="C37" s="11" t="inlineStr">
        <is>
          <t>Leila Omar</t>
        </is>
      </c>
      <c r="D37" s="11" t="inlineStr">
        <is>
          <t>050-433-5566</t>
        </is>
      </c>
      <c r="E37" s="11" t="inlineStr">
        <is>
          <t>leila.omar32@gmail.com</t>
        </is>
      </c>
      <c r="F37" s="11" t="inlineStr">
        <is>
          <t>C-203</t>
        </is>
      </c>
      <c r="G37" s="11" t="inlineStr">
        <is>
          <t>1 Bedroom</t>
        </is>
      </c>
      <c r="H37" s="15" t="n">
        <v>45296</v>
      </c>
      <c r="I37" s="15" t="n">
        <v>45662</v>
      </c>
      <c r="J37" s="13" t="n">
        <v>12</v>
      </c>
      <c r="K37" s="14" t="n">
        <v>4050</v>
      </c>
      <c r="L37" s="14" t="n">
        <v>4050</v>
      </c>
      <c r="M37" s="11" t="inlineStr">
        <is>
          <t>Cheque</t>
        </is>
      </c>
      <c r="N37" s="11" t="inlineStr">
        <is>
          <t>Egyptian</t>
        </is>
      </c>
      <c r="O37" s="11" t="inlineStr">
        <is>
          <t>Al Habtoor Group</t>
        </is>
      </c>
      <c r="P37" s="11" t="inlineStr">
        <is>
          <t>050-655-4332</t>
        </is>
      </c>
    </row>
    <row r="38" ht="22" customHeight="1">
      <c r="B38" s="16" t="inlineStr">
        <is>
          <t>T-034</t>
        </is>
      </c>
      <c r="C38" s="16" t="inlineStr">
        <is>
          <t>Arun Kumar</t>
        </is>
      </c>
      <c r="D38" s="16" t="inlineStr">
        <is>
          <t>052-544-6677</t>
        </is>
      </c>
      <c r="E38" s="16" t="inlineStr">
        <is>
          <t>arun.kumar33@yahoo.com</t>
        </is>
      </c>
      <c r="F38" s="16" t="inlineStr">
        <is>
          <t>C-204</t>
        </is>
      </c>
      <c r="G38" s="16" t="inlineStr">
        <is>
          <t>1 Bedroom</t>
        </is>
      </c>
      <c r="H38" s="20" t="n">
        <v>45388</v>
      </c>
      <c r="I38" s="20" t="n">
        <v>45753</v>
      </c>
      <c r="J38" s="18" t="n">
        <v>12</v>
      </c>
      <c r="K38" s="19" t="n">
        <v>4150</v>
      </c>
      <c r="L38" s="19" t="n">
        <v>4150</v>
      </c>
      <c r="M38" s="16" t="inlineStr">
        <is>
          <t>Bank Transfer</t>
        </is>
      </c>
      <c r="N38" s="16" t="inlineStr">
        <is>
          <t>Indian</t>
        </is>
      </c>
      <c r="O38" s="16" t="inlineStr">
        <is>
          <t>Wipro UAE</t>
        </is>
      </c>
      <c r="P38" s="16" t="inlineStr">
        <is>
          <t>052-544-3221</t>
        </is>
      </c>
    </row>
    <row r="39" ht="22" customHeight="1">
      <c r="B39" s="11" t="inlineStr">
        <is>
          <t>T-035</t>
        </is>
      </c>
      <c r="C39" s="11" t="inlineStr">
        <is>
          <t>Sanjay Gupta</t>
        </is>
      </c>
      <c r="D39" s="11" t="inlineStr">
        <is>
          <t>054-655-7788</t>
        </is>
      </c>
      <c r="E39" s="11" t="inlineStr">
        <is>
          <t>sanjay.gupta34@hotmail.com</t>
        </is>
      </c>
      <c r="F39" s="11" t="inlineStr">
        <is>
          <t>C-205</t>
        </is>
      </c>
      <c r="G39" s="11" t="inlineStr">
        <is>
          <t>1 Bedroom</t>
        </is>
      </c>
      <c r="H39" s="15" t="n">
        <v>45480</v>
      </c>
      <c r="I39" s="15" t="n">
        <v>45845</v>
      </c>
      <c r="J39" s="13" t="n">
        <v>12</v>
      </c>
      <c r="K39" s="14" t="n">
        <v>3600</v>
      </c>
      <c r="L39" s="14" t="n">
        <v>3600</v>
      </c>
      <c r="M39" s="11" t="inlineStr">
        <is>
          <t>Cash</t>
        </is>
      </c>
      <c r="N39" s="11" t="inlineStr">
        <is>
          <t>Indian</t>
        </is>
      </c>
      <c r="O39" s="11" t="inlineStr">
        <is>
          <t>Emirates Airline</t>
        </is>
      </c>
      <c r="P39" s="11" t="inlineStr">
        <is>
          <t>054-433-2110</t>
        </is>
      </c>
    </row>
    <row r="40" ht="22" customHeight="1">
      <c r="B40" s="16" t="inlineStr">
        <is>
          <t>T-036</t>
        </is>
      </c>
      <c r="C40" s="16" t="inlineStr">
        <is>
          <t>Huda Mahmoud</t>
        </is>
      </c>
      <c r="D40" s="16" t="inlineStr">
        <is>
          <t>055-766-8899</t>
        </is>
      </c>
      <c r="E40" s="16" t="inlineStr">
        <is>
          <t>huda.mahmoud35@outlook.com</t>
        </is>
      </c>
      <c r="F40" s="16" t="inlineStr">
        <is>
          <t>C-207</t>
        </is>
      </c>
      <c r="G40" s="16" t="inlineStr">
        <is>
          <t>1 Bedroom</t>
        </is>
      </c>
      <c r="H40" s="20" t="n">
        <v>45352</v>
      </c>
      <c r="I40" s="20" t="n">
        <v>45716</v>
      </c>
      <c r="J40" s="18" t="n">
        <v>11</v>
      </c>
      <c r="K40" s="19" t="n">
        <v>4000</v>
      </c>
      <c r="L40" s="19" t="n">
        <v>4000</v>
      </c>
      <c r="M40" s="16" t="inlineStr">
        <is>
          <t>Bank Transfer</t>
        </is>
      </c>
      <c r="N40" s="16" t="inlineStr">
        <is>
          <t>Syrian</t>
        </is>
      </c>
      <c r="O40" s="16" t="inlineStr">
        <is>
          <t>Emaar Properties</t>
        </is>
      </c>
      <c r="P40" s="16" t="inlineStr">
        <is>
          <t>055-322-1009</t>
        </is>
      </c>
    </row>
    <row r="41" ht="22" customHeight="1">
      <c r="B41" s="11" t="inlineStr">
        <is>
          <t>T-037</t>
        </is>
      </c>
      <c r="C41" s="11" t="inlineStr">
        <is>
          <t>Waqar Ahmed</t>
        </is>
      </c>
      <c r="D41" s="11" t="inlineStr">
        <is>
          <t>050-877-9900</t>
        </is>
      </c>
      <c r="E41" s="11" t="inlineStr">
        <is>
          <t>waqar.ahmed36@gmail.com</t>
        </is>
      </c>
      <c r="F41" s="11" t="inlineStr">
        <is>
          <t>C-208</t>
        </is>
      </c>
      <c r="G41" s="11" t="inlineStr">
        <is>
          <t>1 Bedroom</t>
        </is>
      </c>
      <c r="H41" s="15" t="n">
        <v>45300</v>
      </c>
      <c r="I41" s="15" t="n">
        <v>45666</v>
      </c>
      <c r="J41" s="13" t="n">
        <v>12</v>
      </c>
      <c r="K41" s="14" t="n">
        <v>3700</v>
      </c>
      <c r="L41" s="14" t="n">
        <v>3700</v>
      </c>
      <c r="M41" s="11" t="inlineStr">
        <is>
          <t>Cheque</t>
        </is>
      </c>
      <c r="N41" s="11" t="inlineStr">
        <is>
          <t>Pakistani</t>
        </is>
      </c>
      <c r="O41" s="11" t="inlineStr">
        <is>
          <t>Flydubai</t>
        </is>
      </c>
      <c r="P41" s="11" t="inlineStr">
        <is>
          <t>050-211-0998</t>
        </is>
      </c>
    </row>
    <row r="42" ht="22" customHeight="1">
      <c r="B42" s="16" t="inlineStr">
        <is>
          <t>T-038</t>
        </is>
      </c>
      <c r="C42" s="16" t="inlineStr">
        <is>
          <t>Neeta Joshi</t>
        </is>
      </c>
      <c r="D42" s="16" t="inlineStr">
        <is>
          <t>052-988-0011</t>
        </is>
      </c>
      <c r="E42" s="16" t="inlineStr">
        <is>
          <t>neeta.joshi37@yahoo.com</t>
        </is>
      </c>
      <c r="F42" s="16" t="inlineStr">
        <is>
          <t>C-301</t>
        </is>
      </c>
      <c r="G42" s="16" t="inlineStr">
        <is>
          <t>2 Bedroom</t>
        </is>
      </c>
      <c r="H42" s="20" t="n">
        <v>45392</v>
      </c>
      <c r="I42" s="20" t="n">
        <v>45757</v>
      </c>
      <c r="J42" s="18" t="n">
        <v>12</v>
      </c>
      <c r="K42" s="19" t="n">
        <v>5000</v>
      </c>
      <c r="L42" s="19" t="n">
        <v>5000</v>
      </c>
      <c r="M42" s="16" t="inlineStr">
        <is>
          <t>Cash</t>
        </is>
      </c>
      <c r="N42" s="16" t="inlineStr">
        <is>
          <t>Indian</t>
        </is>
      </c>
      <c r="O42" s="16" t="inlineStr">
        <is>
          <t>HCL UAE</t>
        </is>
      </c>
      <c r="P42" s="16" t="inlineStr">
        <is>
          <t>052-100-9887</t>
        </is>
      </c>
    </row>
    <row r="43" ht="22" customHeight="1">
      <c r="B43" s="11" t="inlineStr">
        <is>
          <t>T-039</t>
        </is>
      </c>
      <c r="C43" s="11" t="inlineStr">
        <is>
          <t>Bilal Siddiqui</t>
        </is>
      </c>
      <c r="D43" s="11" t="inlineStr">
        <is>
          <t>054-099-1122</t>
        </is>
      </c>
      <c r="E43" s="11" t="inlineStr">
        <is>
          <t>bilal.siddiqui38@hotmail.com</t>
        </is>
      </c>
      <c r="F43" s="11" t="inlineStr">
        <is>
          <t>C-302</t>
        </is>
      </c>
      <c r="G43" s="11" t="inlineStr">
        <is>
          <t>2 Bedroom</t>
        </is>
      </c>
      <c r="H43" s="15" t="n">
        <v>45413</v>
      </c>
      <c r="I43" s="15" t="n">
        <v>45777</v>
      </c>
      <c r="J43" s="13" t="n">
        <v>11</v>
      </c>
      <c r="K43" s="14" t="n">
        <v>5500</v>
      </c>
      <c r="L43" s="14" t="n">
        <v>5500</v>
      </c>
      <c r="M43" s="11" t="inlineStr">
        <is>
          <t>Bank Transfer</t>
        </is>
      </c>
      <c r="N43" s="11" t="inlineStr">
        <is>
          <t>Pakistani</t>
        </is>
      </c>
      <c r="O43" s="11" t="inlineStr">
        <is>
          <t>Habib Bank AG Zurich</t>
        </is>
      </c>
      <c r="P43" s="11" t="inlineStr">
        <is>
          <t>054-099-8776</t>
        </is>
      </c>
    </row>
    <row r="44" ht="22" customHeight="1">
      <c r="B44" s="16" t="inlineStr">
        <is>
          <t>T-040</t>
        </is>
      </c>
      <c r="C44" s="16" t="inlineStr">
        <is>
          <t>Priya Nair</t>
        </is>
      </c>
      <c r="D44" s="16" t="inlineStr">
        <is>
          <t>055-210-2233</t>
        </is>
      </c>
      <c r="E44" s="16" t="inlineStr">
        <is>
          <t>priya.nair39@outlook.com</t>
        </is>
      </c>
      <c r="F44" s="16" t="inlineStr">
        <is>
          <t>D-101</t>
        </is>
      </c>
      <c r="G44" s="16" t="inlineStr">
        <is>
          <t>Studio</t>
        </is>
      </c>
      <c r="H44" s="20" t="n">
        <v>45577</v>
      </c>
      <c r="I44" s="20" t="n">
        <v>45942</v>
      </c>
      <c r="J44" s="18" t="n">
        <v>12</v>
      </c>
      <c r="K44" s="19" t="n">
        <v>2450</v>
      </c>
      <c r="L44" s="19" t="n">
        <v>2450</v>
      </c>
      <c r="M44" s="16" t="inlineStr">
        <is>
          <t>Cheque</t>
        </is>
      </c>
      <c r="N44" s="16" t="inlineStr">
        <is>
          <t>Indian</t>
        </is>
      </c>
      <c r="O44" s="16" t="inlineStr">
        <is>
          <t>TCS Dubai</t>
        </is>
      </c>
      <c r="P44" s="16" t="inlineStr">
        <is>
          <t>055-988-7665</t>
        </is>
      </c>
    </row>
    <row r="45" ht="22" customHeight="1">
      <c r="B45" s="11" t="inlineStr">
        <is>
          <t>T-041</t>
        </is>
      </c>
      <c r="C45" s="11" t="inlineStr">
        <is>
          <t>Faisal Rahman</t>
        </is>
      </c>
      <c r="D45" s="11" t="inlineStr">
        <is>
          <t>050-321-3344</t>
        </is>
      </c>
      <c r="E45" s="11" t="inlineStr">
        <is>
          <t>faisal.rahman40@gmail.com</t>
        </is>
      </c>
      <c r="F45" s="11" t="inlineStr">
        <is>
          <t>D-102</t>
        </is>
      </c>
      <c r="G45" s="11" t="inlineStr">
        <is>
          <t>Studio</t>
        </is>
      </c>
      <c r="H45" s="15" t="n">
        <v>45304</v>
      </c>
      <c r="I45" s="15" t="n">
        <v>45670</v>
      </c>
      <c r="J45" s="13" t="n">
        <v>12</v>
      </c>
      <c r="K45" s="14" t="n">
        <v>2500</v>
      </c>
      <c r="L45" s="14" t="n">
        <v>2500</v>
      </c>
      <c r="M45" s="11" t="inlineStr">
        <is>
          <t>Cash</t>
        </is>
      </c>
      <c r="N45" s="11" t="inlineStr">
        <is>
          <t>Pakistani</t>
        </is>
      </c>
      <c r="O45" s="11" t="inlineStr">
        <is>
          <t>Gulftainer</t>
        </is>
      </c>
      <c r="P45" s="11" t="inlineStr">
        <is>
          <t>050-877-6554</t>
        </is>
      </c>
    </row>
    <row r="46" ht="22" customHeight="1">
      <c r="B46" s="16" t="inlineStr">
        <is>
          <t>T-042</t>
        </is>
      </c>
      <c r="C46" s="16" t="inlineStr">
        <is>
          <t>Anita Desai</t>
        </is>
      </c>
      <c r="D46" s="16" t="inlineStr">
        <is>
          <t>052-432-4455</t>
        </is>
      </c>
      <c r="E46" s="16" t="inlineStr">
        <is>
          <t>anita.desai41@yahoo.com</t>
        </is>
      </c>
      <c r="F46" s="16" t="inlineStr">
        <is>
          <t>D-103</t>
        </is>
      </c>
      <c r="G46" s="16" t="inlineStr">
        <is>
          <t>Studio</t>
        </is>
      </c>
      <c r="H46" s="20" t="n">
        <v>45396</v>
      </c>
      <c r="I46" s="20" t="n">
        <v>45761</v>
      </c>
      <c r="J46" s="18" t="n">
        <v>12</v>
      </c>
      <c r="K46" s="19" t="n">
        <v>2600</v>
      </c>
      <c r="L46" s="19" t="n">
        <v>2600</v>
      </c>
      <c r="M46" s="16" t="inlineStr">
        <is>
          <t>Bank Transfer</t>
        </is>
      </c>
      <c r="N46" s="16" t="inlineStr">
        <is>
          <t>Indian</t>
        </is>
      </c>
      <c r="O46" s="16" t="inlineStr">
        <is>
          <t>Mphasis UAE</t>
        </is>
      </c>
      <c r="P46" s="16" t="inlineStr">
        <is>
          <t>052-766-5443</t>
        </is>
      </c>
    </row>
    <row r="47" ht="22" customHeight="1">
      <c r="B47" s="11" t="inlineStr">
        <is>
          <t>T-043</t>
        </is>
      </c>
      <c r="C47" s="11" t="inlineStr">
        <is>
          <t>Karim Othman</t>
        </is>
      </c>
      <c r="D47" s="11" t="inlineStr">
        <is>
          <t>054-543-5566</t>
        </is>
      </c>
      <c r="E47" s="11" t="inlineStr">
        <is>
          <t>karim.othman42@hotmail.com</t>
        </is>
      </c>
      <c r="F47" s="11" t="inlineStr">
        <is>
          <t>D-104</t>
        </is>
      </c>
      <c r="G47" s="11" t="inlineStr">
        <is>
          <t>Studio</t>
        </is>
      </c>
      <c r="H47" s="15" t="n">
        <v>45427</v>
      </c>
      <c r="I47" s="15" t="n">
        <v>45792</v>
      </c>
      <c r="J47" s="13" t="n">
        <v>12</v>
      </c>
      <c r="K47" s="14" t="n">
        <v>2700</v>
      </c>
      <c r="L47" s="14" t="n">
        <v>2700</v>
      </c>
      <c r="M47" s="11" t="inlineStr">
        <is>
          <t>Bank Transfer</t>
        </is>
      </c>
      <c r="N47" s="11" t="inlineStr">
        <is>
          <t>Jordanian</t>
        </is>
      </c>
      <c r="O47" s="11" t="inlineStr">
        <is>
          <t>Al Jaber Group</t>
        </is>
      </c>
      <c r="P47" s="11" t="inlineStr">
        <is>
          <t>054-655-4332</t>
        </is>
      </c>
    </row>
    <row r="48" ht="22" customHeight="1">
      <c r="B48" s="16" t="inlineStr">
        <is>
          <t>T-044</t>
        </is>
      </c>
      <c r="C48" s="16" t="inlineStr">
        <is>
          <t>Ramesh Iyer</t>
        </is>
      </c>
      <c r="D48" s="16" t="inlineStr">
        <is>
          <t>055-654-6677</t>
        </is>
      </c>
      <c r="E48" s="16" t="inlineStr">
        <is>
          <t>ramesh.iyer43@outlook.com</t>
        </is>
      </c>
      <c r="F48" s="16" t="inlineStr">
        <is>
          <t>D-201</t>
        </is>
      </c>
      <c r="G48" s="16" t="inlineStr">
        <is>
          <t>1 Bedroom</t>
        </is>
      </c>
      <c r="H48" s="20" t="n">
        <v>45581</v>
      </c>
      <c r="I48" s="20" t="n">
        <v>45946</v>
      </c>
      <c r="J48" s="18" t="n">
        <v>12</v>
      </c>
      <c r="K48" s="19" t="n">
        <v>3900</v>
      </c>
      <c r="L48" s="19" t="n">
        <v>3900</v>
      </c>
      <c r="M48" s="16" t="inlineStr">
        <is>
          <t>Cheque</t>
        </is>
      </c>
      <c r="N48" s="16" t="inlineStr">
        <is>
          <t>Indian</t>
        </is>
      </c>
      <c r="O48" s="16" t="inlineStr">
        <is>
          <t>Wipro Middle East</t>
        </is>
      </c>
      <c r="P48" s="16" t="inlineStr">
        <is>
          <t>055-544-3221</t>
        </is>
      </c>
    </row>
    <row r="49" ht="22" customHeight="1">
      <c r="B49" s="11" t="inlineStr">
        <is>
          <t>T-045</t>
        </is>
      </c>
      <c r="C49" s="11" t="inlineStr">
        <is>
          <t>Salma Khatoon</t>
        </is>
      </c>
      <c r="D49" s="11" t="inlineStr">
        <is>
          <t>050-765-7788</t>
        </is>
      </c>
      <c r="E49" s="11" t="inlineStr">
        <is>
          <t>salma.khatoon44@gmail.com</t>
        </is>
      </c>
      <c r="F49" s="11" t="inlineStr">
        <is>
          <t>D-202</t>
        </is>
      </c>
      <c r="G49" s="11" t="inlineStr">
        <is>
          <t>1 Bedroom</t>
        </is>
      </c>
      <c r="H49" s="15" t="n">
        <v>45308</v>
      </c>
      <c r="I49" s="15" t="n">
        <v>45674</v>
      </c>
      <c r="J49" s="13" t="n">
        <v>12</v>
      </c>
      <c r="K49" s="14" t="n">
        <v>4100</v>
      </c>
      <c r="L49" s="14" t="n">
        <v>4100</v>
      </c>
      <c r="M49" s="11" t="inlineStr">
        <is>
          <t>Cash</t>
        </is>
      </c>
      <c r="N49" s="11" t="inlineStr">
        <is>
          <t>Pakistani</t>
        </is>
      </c>
      <c r="O49" s="11" t="inlineStr">
        <is>
          <t>Al Ghurair Group</t>
        </is>
      </c>
      <c r="P49" s="11" t="inlineStr">
        <is>
          <t>050-433-2110</t>
        </is>
      </c>
    </row>
    <row r="50" ht="22" customHeight="1">
      <c r="B50" s="16" t="inlineStr">
        <is>
          <t>T-046</t>
        </is>
      </c>
      <c r="C50" s="16" t="inlineStr">
        <is>
          <t>Naveed Akhtar</t>
        </is>
      </c>
      <c r="D50" s="16" t="inlineStr">
        <is>
          <t>052-876-8899</t>
        </is>
      </c>
      <c r="E50" s="16" t="inlineStr">
        <is>
          <t>naveed.akhtar45@yahoo.com</t>
        </is>
      </c>
      <c r="F50" s="16" t="inlineStr">
        <is>
          <t>D-203</t>
        </is>
      </c>
      <c r="G50" s="16" t="inlineStr">
        <is>
          <t>1 Bedroom</t>
        </is>
      </c>
      <c r="H50" s="20" t="n">
        <v>45352</v>
      </c>
      <c r="I50" s="20" t="n">
        <v>45716</v>
      </c>
      <c r="J50" s="18" t="n">
        <v>11</v>
      </c>
      <c r="K50" s="19" t="n">
        <v>3500</v>
      </c>
      <c r="L50" s="19" t="n">
        <v>3500</v>
      </c>
      <c r="M50" s="16" t="inlineStr">
        <is>
          <t>Bank Transfer</t>
        </is>
      </c>
      <c r="N50" s="16" t="inlineStr">
        <is>
          <t>Pakistani</t>
        </is>
      </c>
      <c r="O50" s="16" t="inlineStr">
        <is>
          <t>Samba Bank UAE</t>
        </is>
      </c>
      <c r="P50" s="16" t="inlineStr">
        <is>
          <t>052-322-1009</t>
        </is>
      </c>
    </row>
    <row r="51" ht="22" customHeight="1">
      <c r="B51" s="11" t="inlineStr">
        <is>
          <t>T-047</t>
        </is>
      </c>
      <c r="C51" s="11" t="inlineStr">
        <is>
          <t>Deepa Menon</t>
        </is>
      </c>
      <c r="D51" s="11" t="inlineStr">
        <is>
          <t>054-987-9900</t>
        </is>
      </c>
      <c r="E51" s="11" t="inlineStr">
        <is>
          <t>deepa.menon46@hotmail.com</t>
        </is>
      </c>
      <c r="F51" s="11" t="inlineStr">
        <is>
          <t>D-S01</t>
        </is>
      </c>
      <c r="G51" s="11" t="inlineStr">
        <is>
          <t>Shop</t>
        </is>
      </c>
      <c r="H51" s="15" t="n">
        <v>45492</v>
      </c>
      <c r="I51" s="15" t="n">
        <v>45857</v>
      </c>
      <c r="J51" s="13" t="n">
        <v>12</v>
      </c>
      <c r="K51" s="14" t="n">
        <v>6000</v>
      </c>
      <c r="L51" s="14" t="n">
        <v>6000</v>
      </c>
      <c r="M51" s="11" t="inlineStr">
        <is>
          <t>Cheque</t>
        </is>
      </c>
      <c r="N51" s="11" t="inlineStr">
        <is>
          <t>Indian</t>
        </is>
      </c>
      <c r="O51" s="11" t="inlineStr">
        <is>
          <t>Cyient UAE</t>
        </is>
      </c>
      <c r="P51" s="11" t="inlineStr">
        <is>
          <t>054-211-0998</t>
        </is>
      </c>
    </row>
    <row r="52" ht="22" customHeight="1">
      <c r="B52" s="16" t="inlineStr">
        <is>
          <t>T-048</t>
        </is>
      </c>
      <c r="C52" s="16" t="inlineStr">
        <is>
          <t>Usman Ghani</t>
        </is>
      </c>
      <c r="D52" s="16" t="inlineStr">
        <is>
          <t>055-098-0011</t>
        </is>
      </c>
      <c r="E52" s="16" t="inlineStr">
        <is>
          <t>usman.ghani47@outlook.com</t>
        </is>
      </c>
      <c r="F52" s="16" t="inlineStr">
        <is>
          <t>D-S02</t>
        </is>
      </c>
      <c r="G52" s="16" t="inlineStr">
        <is>
          <t>Shop</t>
        </is>
      </c>
      <c r="H52" s="20" t="n">
        <v>45413</v>
      </c>
      <c r="I52" s="20" t="n">
        <v>45777</v>
      </c>
      <c r="J52" s="18" t="n">
        <v>11</v>
      </c>
      <c r="K52" s="19" t="n">
        <v>8000</v>
      </c>
      <c r="L52" s="19" t="n">
        <v>8000</v>
      </c>
      <c r="M52" s="16" t="inlineStr">
        <is>
          <t>Bank Transfer</t>
        </is>
      </c>
      <c r="N52" s="16" t="inlineStr">
        <is>
          <t>Pakistani</t>
        </is>
      </c>
      <c r="O52" s="16" t="inlineStr">
        <is>
          <t>Fauji Foundation UAE</t>
        </is>
      </c>
      <c r="P52" s="16" t="inlineStr">
        <is>
          <t>055-100-9887</t>
        </is>
      </c>
    </row>
  </sheetData>
  <mergeCells count="1">
    <mergeCell ref="B2:P2"/>
  </mergeCells>
  <conditionalFormatting sqref="I5:I52">
    <cfRule type="cellIs" priority="1" operator="lessThanOrEqual" dxfId="2">
      <formula>DATE(2025,4,30)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D4A3E"/>
    <outlinePr summaryBelow="1" summaryRight="1"/>
    <pageSetUpPr/>
  </sheetPr>
  <dimension ref="B2:O6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4" customWidth="1" min="12" max="12"/>
    <col width="14" customWidth="1" min="13" max="13"/>
    <col width="12" customWidth="1" min="14" max="14"/>
    <col width="22" customWidth="1" min="15" max="15"/>
  </cols>
  <sheetData>
    <row r="1" ht="15" customHeight="1"/>
    <row r="2" ht="32" customHeight="1">
      <c r="B2" s="1" t="inlineStr">
        <is>
          <t>Rent Collection — April 2025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Tenant Name</t>
        </is>
      </c>
      <c r="D4" s="10" t="inlineStr">
        <is>
          <t>Monthly Rent</t>
        </is>
      </c>
      <c r="E4" s="10" t="inlineStr">
        <is>
          <t>Due Date</t>
        </is>
      </c>
      <c r="F4" s="10" t="inlineStr">
        <is>
          <t>Payment Date</t>
        </is>
      </c>
      <c r="G4" s="10" t="inlineStr">
        <is>
          <t>Amount Paid</t>
        </is>
      </c>
      <c r="H4" s="10" t="inlineStr">
        <is>
          <t>Outstanding</t>
        </is>
      </c>
      <c r="I4" s="10" t="inlineStr">
        <is>
          <t>Payment Status</t>
        </is>
      </c>
      <c r="J4" s="10" t="inlineStr">
        <is>
          <t>Days Late</t>
        </is>
      </c>
      <c r="K4" s="10" t="inlineStr">
        <is>
          <t>Late Fee</t>
        </is>
      </c>
      <c r="L4" s="10" t="inlineStr">
        <is>
          <t>Total Due</t>
        </is>
      </c>
      <c r="M4" s="10" t="inlineStr">
        <is>
          <t>Payment Method</t>
        </is>
      </c>
      <c r="N4" s="10" t="inlineStr">
        <is>
          <t>Receipt #</t>
        </is>
      </c>
      <c r="O4" s="10" t="inlineStr">
        <is>
          <t>Notes</t>
        </is>
      </c>
    </row>
    <row r="5" ht="22" customHeight="1">
      <c r="B5" s="11" t="inlineStr">
        <is>
          <t>A-101</t>
        </is>
      </c>
      <c r="C5" s="11" t="inlineStr">
        <is>
          <t>Muhammad Ali</t>
        </is>
      </c>
      <c r="D5" s="14" t="n">
        <v>2200</v>
      </c>
      <c r="E5" s="15" t="n">
        <v>45748</v>
      </c>
      <c r="F5" s="15" t="n">
        <v>45748</v>
      </c>
      <c r="G5" s="14" t="n">
        <v>2200</v>
      </c>
      <c r="H5" s="14">
        <f>D5-G5</f>
        <v/>
      </c>
      <c r="I5" s="11">
        <f>IF(C5="","N/A",IF(G5=0,"Unpaid",IF(G5&lt;D5,"Partial","Paid")))</f>
        <v/>
      </c>
      <c r="J5" s="13">
        <f>IF(I5="Paid",0,IF(I5="Partial",2,5))</f>
        <v/>
      </c>
      <c r="K5" s="14">
        <f>IFERROR(MIN(H5*0.05,500),0)</f>
        <v/>
      </c>
      <c r="L5" s="14">
        <f>H5+K5</f>
        <v/>
      </c>
      <c r="M5" s="11" t="inlineStr">
        <is>
          <t>Bank Transfer</t>
        </is>
      </c>
      <c r="N5" s="11" t="inlineStr">
        <is>
          <t>RCP-1001</t>
        </is>
      </c>
      <c r="O5" s="11" t="inlineStr"/>
    </row>
    <row r="6" ht="22" customHeight="1">
      <c r="B6" s="16" t="inlineStr">
        <is>
          <t>A-102</t>
        </is>
      </c>
      <c r="C6" s="16" t="inlineStr">
        <is>
          <t>Ahmed Khan</t>
        </is>
      </c>
      <c r="D6" s="19" t="n">
        <v>2300</v>
      </c>
      <c r="E6" s="20" t="n">
        <v>45748</v>
      </c>
      <c r="F6" s="20" t="n">
        <v>45749</v>
      </c>
      <c r="G6" s="19" t="n">
        <v>2300</v>
      </c>
      <c r="H6" s="19">
        <f>D6-G6</f>
        <v/>
      </c>
      <c r="I6" s="16">
        <f>IF(C6="","N/A",IF(G6=0,"Unpaid",IF(G6&lt;D6,"Partial","Paid")))</f>
        <v/>
      </c>
      <c r="J6" s="18">
        <f>IF(I6="Paid",0,IF(I6="Partial",2,5))</f>
        <v/>
      </c>
      <c r="K6" s="19">
        <f>IFERROR(MIN(H6*0.05,500),0)</f>
        <v/>
      </c>
      <c r="L6" s="19">
        <f>H6+K6</f>
        <v/>
      </c>
      <c r="M6" s="16" t="inlineStr">
        <is>
          <t>Cheque</t>
        </is>
      </c>
      <c r="N6" s="16" t="inlineStr">
        <is>
          <t>RCP-1002</t>
        </is>
      </c>
      <c r="O6" s="16" t="inlineStr"/>
    </row>
    <row r="7" ht="22" customHeight="1">
      <c r="B7" s="11" t="inlineStr">
        <is>
          <t>A-103</t>
        </is>
      </c>
      <c r="C7" s="11" t="inlineStr">
        <is>
          <t>Fatima Noor</t>
        </is>
      </c>
      <c r="D7" s="14" t="n">
        <v>2400</v>
      </c>
      <c r="E7" s="15" t="n">
        <v>45748</v>
      </c>
      <c r="F7" s="15" t="inlineStr"/>
      <c r="G7" s="14" t="n">
        <v>0</v>
      </c>
      <c r="H7" s="14">
        <f>D7-G7</f>
        <v/>
      </c>
      <c r="I7" s="11">
        <f>IF(C7="","N/A",IF(G7=0,"Unpaid",IF(G7&lt;D7,"Partial","Paid")))</f>
        <v/>
      </c>
      <c r="J7" s="13">
        <f>IF(I7="Paid",0,IF(I7="Partial",2,5))</f>
        <v/>
      </c>
      <c r="K7" s="14">
        <f>IFERROR(MIN(H7*0.05,500),0)</f>
        <v/>
      </c>
      <c r="L7" s="14">
        <f>H7+K7</f>
        <v/>
      </c>
      <c r="M7" s="11" t="inlineStr">
        <is>
          <t>Cash</t>
        </is>
      </c>
      <c r="N7" s="11" t="inlineStr"/>
      <c r="O7" s="11" t="inlineStr">
        <is>
          <t>Follow up immediately</t>
        </is>
      </c>
    </row>
    <row r="8" ht="22" customHeight="1">
      <c r="B8" s="16" t="inlineStr">
        <is>
          <t>A-104</t>
        </is>
      </c>
      <c r="C8" s="16" t="inlineStr"/>
      <c r="D8" s="19" t="n">
        <v>2500</v>
      </c>
      <c r="E8" s="20" t="n">
        <v>45748</v>
      </c>
      <c r="F8" s="20" t="inlineStr"/>
      <c r="G8" s="19" t="n">
        <v>0</v>
      </c>
      <c r="H8" s="19">
        <f>D8-G8</f>
        <v/>
      </c>
      <c r="I8" s="16">
        <f>IF(C8="","N/A",IF(G8=0,"Unpaid",IF(G8&lt;D8,"Partial","Paid")))</f>
        <v/>
      </c>
      <c r="J8" s="18">
        <f>IF(I8="Paid",0,IF(I8="Partial",2,5))</f>
        <v/>
      </c>
      <c r="K8" s="19">
        <f>IFERROR(MIN(H8*0.05,500),0)</f>
        <v/>
      </c>
      <c r="L8" s="19">
        <f>H8+K8</f>
        <v/>
      </c>
      <c r="M8" s="16" t="inlineStr"/>
      <c r="N8" s="16" t="inlineStr"/>
      <c r="O8" s="16" t="inlineStr">
        <is>
          <t>Unit Vacant</t>
        </is>
      </c>
    </row>
    <row r="9" ht="22" customHeight="1">
      <c r="B9" s="11" t="inlineStr">
        <is>
          <t>A-105</t>
        </is>
      </c>
      <c r="C9" s="11" t="inlineStr">
        <is>
          <t>Rajesh Kumar</t>
        </is>
      </c>
      <c r="D9" s="14" t="n">
        <v>2600</v>
      </c>
      <c r="E9" s="15" t="n">
        <v>45748</v>
      </c>
      <c r="F9" s="15" t="n">
        <v>45751</v>
      </c>
      <c r="G9" s="14" t="n">
        <v>2600</v>
      </c>
      <c r="H9" s="14">
        <f>D9-G9</f>
        <v/>
      </c>
      <c r="I9" s="11">
        <f>IF(C9="","N/A",IF(G9=0,"Unpaid",IF(G9&lt;D9,"Partial","Paid")))</f>
        <v/>
      </c>
      <c r="J9" s="13">
        <f>IF(I9="Paid",0,IF(I9="Partial",2,5))</f>
        <v/>
      </c>
      <c r="K9" s="14">
        <f>IFERROR(MIN(H9*0.05,500),0)</f>
        <v/>
      </c>
      <c r="L9" s="14">
        <f>H9+K9</f>
        <v/>
      </c>
      <c r="M9" s="11" t="inlineStr">
        <is>
          <t>Bank Transfer</t>
        </is>
      </c>
      <c r="N9" s="11" t="inlineStr">
        <is>
          <t>RCP-1003</t>
        </is>
      </c>
      <c r="O9" s="11" t="inlineStr"/>
    </row>
    <row r="10" ht="22" customHeight="1">
      <c r="B10" s="16" t="inlineStr">
        <is>
          <t>A-106</t>
        </is>
      </c>
      <c r="C10" s="16" t="inlineStr">
        <is>
          <t>Priya Sharma</t>
        </is>
      </c>
      <c r="D10" s="19" t="n">
        <v>2700</v>
      </c>
      <c r="E10" s="20" t="n">
        <v>45748</v>
      </c>
      <c r="F10" s="20" t="n">
        <v>45748</v>
      </c>
      <c r="G10" s="19" t="n">
        <v>2700</v>
      </c>
      <c r="H10" s="19">
        <f>D10-G10</f>
        <v/>
      </c>
      <c r="I10" s="16">
        <f>IF(C10="","N/A",IF(G10=0,"Unpaid",IF(G10&lt;D10,"Partial","Paid")))</f>
        <v/>
      </c>
      <c r="J10" s="18">
        <f>IF(I10="Paid",0,IF(I10="Partial",2,5))</f>
        <v/>
      </c>
      <c r="K10" s="19">
        <f>IFERROR(MIN(H10*0.05,500),0)</f>
        <v/>
      </c>
      <c r="L10" s="19">
        <f>H10+K10</f>
        <v/>
      </c>
      <c r="M10" s="16" t="inlineStr">
        <is>
          <t>Cheque</t>
        </is>
      </c>
      <c r="N10" s="16" t="inlineStr">
        <is>
          <t>RCP-1004</t>
        </is>
      </c>
      <c r="O10" s="16" t="inlineStr"/>
    </row>
    <row r="11" ht="22" customHeight="1">
      <c r="B11" s="11" t="inlineStr">
        <is>
          <t>A-107</t>
        </is>
      </c>
      <c r="C11" s="11" t="inlineStr">
        <is>
          <t>Omar Hassan</t>
        </is>
      </c>
      <c r="D11" s="14" t="n">
        <v>2800</v>
      </c>
      <c r="E11" s="15" t="n">
        <v>45748</v>
      </c>
      <c r="F11" s="15" t="n">
        <v>45749</v>
      </c>
      <c r="G11" s="14" t="n">
        <v>2800</v>
      </c>
      <c r="H11" s="14">
        <f>D11-G11</f>
        <v/>
      </c>
      <c r="I11" s="11">
        <f>IF(C11="","N/A",IF(G11=0,"Unpaid",IF(G11&lt;D11,"Partial","Paid")))</f>
        <v/>
      </c>
      <c r="J11" s="13">
        <f>IF(I11="Paid",0,IF(I11="Partial",2,5))</f>
        <v/>
      </c>
      <c r="K11" s="14">
        <f>IFERROR(MIN(H11*0.05,500),0)</f>
        <v/>
      </c>
      <c r="L11" s="14">
        <f>H11+K11</f>
        <v/>
      </c>
      <c r="M11" s="11" t="inlineStr">
        <is>
          <t>Cash</t>
        </is>
      </c>
      <c r="N11" s="11" t="inlineStr">
        <is>
          <t>RCP-1005</t>
        </is>
      </c>
      <c r="O11" s="11" t="inlineStr"/>
    </row>
    <row r="12" ht="22" customHeight="1">
      <c r="B12" s="16" t="inlineStr">
        <is>
          <t>A-108</t>
        </is>
      </c>
      <c r="C12" s="16" t="inlineStr">
        <is>
          <t>Layla Mahmoud</t>
        </is>
      </c>
      <c r="D12" s="19" t="n">
        <v>2350</v>
      </c>
      <c r="E12" s="20" t="n">
        <v>45748</v>
      </c>
      <c r="F12" s="20" t="n">
        <v>45750</v>
      </c>
      <c r="G12" s="19" t="n">
        <v>2350</v>
      </c>
      <c r="H12" s="19">
        <f>D12-G12</f>
        <v/>
      </c>
      <c r="I12" s="16">
        <f>IF(C12="","N/A",IF(G12=0,"Unpaid",IF(G12&lt;D12,"Partial","Paid")))</f>
        <v/>
      </c>
      <c r="J12" s="18">
        <f>IF(I12="Paid",0,IF(I12="Partial",2,5))</f>
        <v/>
      </c>
      <c r="K12" s="19">
        <f>IFERROR(MIN(H12*0.05,500),0)</f>
        <v/>
      </c>
      <c r="L12" s="19">
        <f>H12+K12</f>
        <v/>
      </c>
      <c r="M12" s="16" t="inlineStr">
        <is>
          <t>Bank Transfer</t>
        </is>
      </c>
      <c r="N12" s="16" t="inlineStr">
        <is>
          <t>RCP-1006</t>
        </is>
      </c>
      <c r="O12" s="16" t="inlineStr"/>
    </row>
    <row r="13" ht="22" customHeight="1">
      <c r="B13" s="11" t="inlineStr">
        <is>
          <t>A-109</t>
        </is>
      </c>
      <c r="C13" s="11" t="inlineStr"/>
      <c r="D13" s="14" t="n">
        <v>2450</v>
      </c>
      <c r="E13" s="15" t="n">
        <v>45748</v>
      </c>
      <c r="F13" s="15" t="inlineStr"/>
      <c r="G13" s="14" t="n">
        <v>0</v>
      </c>
      <c r="H13" s="14">
        <f>D13-G13</f>
        <v/>
      </c>
      <c r="I13" s="11">
        <f>IF(C13="","N/A",IF(G13=0,"Unpaid",IF(G13&lt;D13,"Partial","Paid")))</f>
        <v/>
      </c>
      <c r="J13" s="13">
        <f>IF(I13="Paid",0,IF(I13="Partial",2,5))</f>
        <v/>
      </c>
      <c r="K13" s="14">
        <f>IFERROR(MIN(H13*0.05,500),0)</f>
        <v/>
      </c>
      <c r="L13" s="14">
        <f>H13+K13</f>
        <v/>
      </c>
      <c r="M13" s="11" t="inlineStr"/>
      <c r="N13" s="11" t="inlineStr"/>
      <c r="O13" s="11" t="inlineStr">
        <is>
          <t>Unit Vacant</t>
        </is>
      </c>
    </row>
    <row r="14" ht="22" customHeight="1">
      <c r="B14" s="16" t="inlineStr">
        <is>
          <t>A-110</t>
        </is>
      </c>
      <c r="C14" s="16" t="inlineStr">
        <is>
          <t>Youssef Ibrahim</t>
        </is>
      </c>
      <c r="D14" s="19" t="n">
        <v>2550</v>
      </c>
      <c r="E14" s="20" t="n">
        <v>45748</v>
      </c>
      <c r="F14" s="20" t="n">
        <v>45750</v>
      </c>
      <c r="G14" s="19" t="n">
        <v>1530</v>
      </c>
      <c r="H14" s="19">
        <f>D14-G14</f>
        <v/>
      </c>
      <c r="I14" s="16">
        <f>IF(C14="","N/A",IF(G14=0,"Unpaid",IF(G14&lt;D14,"Partial","Paid")))</f>
        <v/>
      </c>
      <c r="J14" s="18">
        <f>IF(I14="Paid",0,IF(I14="Partial",2,5))</f>
        <v/>
      </c>
      <c r="K14" s="19">
        <f>IFERROR(MIN(H14*0.05,500),0)</f>
        <v/>
      </c>
      <c r="L14" s="19">
        <f>H14+K14</f>
        <v/>
      </c>
      <c r="M14" s="16" t="inlineStr">
        <is>
          <t>Cheque</t>
        </is>
      </c>
      <c r="N14" s="16" t="inlineStr">
        <is>
          <t>RCP-1007</t>
        </is>
      </c>
      <c r="O14" s="16" t="inlineStr">
        <is>
          <t>Partial payment received</t>
        </is>
      </c>
    </row>
    <row r="15" ht="22" customHeight="1">
      <c r="B15" s="11" t="inlineStr">
        <is>
          <t>A-201</t>
        </is>
      </c>
      <c r="C15" s="11" t="inlineStr">
        <is>
          <t>Sunil Patel</t>
        </is>
      </c>
      <c r="D15" s="14" t="n">
        <v>3500</v>
      </c>
      <c r="E15" s="15" t="n">
        <v>45748</v>
      </c>
      <c r="F15" s="15" t="n">
        <v>45748</v>
      </c>
      <c r="G15" s="14" t="n">
        <v>3500</v>
      </c>
      <c r="H15" s="14">
        <f>D15-G15</f>
        <v/>
      </c>
      <c r="I15" s="11">
        <f>IF(C15="","N/A",IF(G15=0,"Unpaid",IF(G15&lt;D15,"Partial","Paid")))</f>
        <v/>
      </c>
      <c r="J15" s="13">
        <f>IF(I15="Paid",0,IF(I15="Partial",2,5))</f>
        <v/>
      </c>
      <c r="K15" s="14">
        <f>IFERROR(MIN(H15*0.05,500),0)</f>
        <v/>
      </c>
      <c r="L15" s="14">
        <f>H15+K15</f>
        <v/>
      </c>
      <c r="M15" s="11" t="inlineStr">
        <is>
          <t>Bank Transfer</t>
        </is>
      </c>
      <c r="N15" s="11" t="inlineStr">
        <is>
          <t>RCP-1008</t>
        </is>
      </c>
      <c r="O15" s="11" t="inlineStr"/>
    </row>
    <row r="16" ht="22" customHeight="1">
      <c r="B16" s="16" t="inlineStr">
        <is>
          <t>A-202</t>
        </is>
      </c>
      <c r="C16" s="16" t="inlineStr">
        <is>
          <t>Maria Santos</t>
        </is>
      </c>
      <c r="D16" s="19" t="n">
        <v>3600</v>
      </c>
      <c r="E16" s="20" t="n">
        <v>45748</v>
      </c>
      <c r="F16" s="20" t="n">
        <v>45749</v>
      </c>
      <c r="G16" s="19" t="n">
        <v>3600</v>
      </c>
      <c r="H16" s="19">
        <f>D16-G16</f>
        <v/>
      </c>
      <c r="I16" s="16">
        <f>IF(C16="","N/A",IF(G16=0,"Unpaid",IF(G16&lt;D16,"Partial","Paid")))</f>
        <v/>
      </c>
      <c r="J16" s="18">
        <f>IF(I16="Paid",0,IF(I16="Partial",2,5))</f>
        <v/>
      </c>
      <c r="K16" s="19">
        <f>IFERROR(MIN(H16*0.05,500),0)</f>
        <v/>
      </c>
      <c r="L16" s="19">
        <f>H16+K16</f>
        <v/>
      </c>
      <c r="M16" s="16" t="inlineStr">
        <is>
          <t>Cash</t>
        </is>
      </c>
      <c r="N16" s="16" t="inlineStr">
        <is>
          <t>RCP-1009</t>
        </is>
      </c>
      <c r="O16" s="16" t="inlineStr"/>
    </row>
    <row r="17" ht="22" customHeight="1">
      <c r="B17" s="11" t="inlineStr">
        <is>
          <t>A-203</t>
        </is>
      </c>
      <c r="C17" s="11" t="inlineStr">
        <is>
          <t>Jose Reyes</t>
        </is>
      </c>
      <c r="D17" s="14" t="n">
        <v>3700</v>
      </c>
      <c r="E17" s="15" t="n">
        <v>45748</v>
      </c>
      <c r="F17" s="15" t="n">
        <v>45750</v>
      </c>
      <c r="G17" s="14" t="n">
        <v>3700</v>
      </c>
      <c r="H17" s="14">
        <f>D17-G17</f>
        <v/>
      </c>
      <c r="I17" s="11">
        <f>IF(C17="","N/A",IF(G17=0,"Unpaid",IF(G17&lt;D17,"Partial","Paid")))</f>
        <v/>
      </c>
      <c r="J17" s="13">
        <f>IF(I17="Paid",0,IF(I17="Partial",2,5))</f>
        <v/>
      </c>
      <c r="K17" s="14">
        <f>IFERROR(MIN(H17*0.05,500),0)</f>
        <v/>
      </c>
      <c r="L17" s="14">
        <f>H17+K17</f>
        <v/>
      </c>
      <c r="M17" s="11" t="inlineStr">
        <is>
          <t>Bank Transfer</t>
        </is>
      </c>
      <c r="N17" s="11" t="inlineStr">
        <is>
          <t>RCP-1010</t>
        </is>
      </c>
      <c r="O17" s="11" t="inlineStr"/>
    </row>
    <row r="18" ht="22" customHeight="1">
      <c r="B18" s="16" t="inlineStr">
        <is>
          <t>A-204</t>
        </is>
      </c>
      <c r="C18" s="16" t="inlineStr">
        <is>
          <t>Nadia Ahmed</t>
        </is>
      </c>
      <c r="D18" s="19" t="n">
        <v>3800</v>
      </c>
      <c r="E18" s="20" t="n">
        <v>45748</v>
      </c>
      <c r="F18" s="20" t="n">
        <v>45751</v>
      </c>
      <c r="G18" s="19" t="n">
        <v>3800</v>
      </c>
      <c r="H18" s="19">
        <f>D18-G18</f>
        <v/>
      </c>
      <c r="I18" s="16">
        <f>IF(C18="","N/A",IF(G18=0,"Unpaid",IF(G18&lt;D18,"Partial","Paid")))</f>
        <v/>
      </c>
      <c r="J18" s="18">
        <f>IF(I18="Paid",0,IF(I18="Partial",2,5))</f>
        <v/>
      </c>
      <c r="K18" s="19">
        <f>IFERROR(MIN(H18*0.05,500),0)</f>
        <v/>
      </c>
      <c r="L18" s="19">
        <f>H18+K18</f>
        <v/>
      </c>
      <c r="M18" s="16" t="inlineStr">
        <is>
          <t>Cheque</t>
        </is>
      </c>
      <c r="N18" s="16" t="inlineStr">
        <is>
          <t>RCP-1011</t>
        </is>
      </c>
      <c r="O18" s="16" t="inlineStr"/>
    </row>
    <row r="19" ht="22" customHeight="1">
      <c r="B19" s="11" t="inlineStr">
        <is>
          <t>A-205</t>
        </is>
      </c>
      <c r="C19" s="11" t="inlineStr">
        <is>
          <t>Hassan Malik</t>
        </is>
      </c>
      <c r="D19" s="14" t="n">
        <v>3900</v>
      </c>
      <c r="E19" s="15" t="n">
        <v>45748</v>
      </c>
      <c r="F19" s="15" t="inlineStr"/>
      <c r="G19" s="14" t="n">
        <v>0</v>
      </c>
      <c r="H19" s="14">
        <f>D19-G19</f>
        <v/>
      </c>
      <c r="I19" s="11">
        <f>IF(C19="","N/A",IF(G19=0,"Unpaid",IF(G19&lt;D19,"Partial","Paid")))</f>
        <v/>
      </c>
      <c r="J19" s="13">
        <f>IF(I19="Paid",0,IF(I19="Partial",2,5))</f>
        <v/>
      </c>
      <c r="K19" s="14">
        <f>IFERROR(MIN(H19*0.05,500),0)</f>
        <v/>
      </c>
      <c r="L19" s="14">
        <f>H19+K19</f>
        <v/>
      </c>
      <c r="M19" s="11" t="inlineStr">
        <is>
          <t>Cash</t>
        </is>
      </c>
      <c r="N19" s="11" t="inlineStr"/>
      <c r="O19" s="11" t="inlineStr">
        <is>
          <t>Follow up immediately</t>
        </is>
      </c>
    </row>
    <row r="20" ht="22" customHeight="1">
      <c r="B20" s="16" t="inlineStr">
        <is>
          <t>B-101</t>
        </is>
      </c>
      <c r="C20" s="16" t="inlineStr">
        <is>
          <t>Deepak Sharma</t>
        </is>
      </c>
      <c r="D20" s="19" t="n">
        <v>2250</v>
      </c>
      <c r="E20" s="20" t="n">
        <v>45748</v>
      </c>
      <c r="F20" s="20" t="n">
        <v>45749</v>
      </c>
      <c r="G20" s="19" t="n">
        <v>2250</v>
      </c>
      <c r="H20" s="19">
        <f>D20-G20</f>
        <v/>
      </c>
      <c r="I20" s="16">
        <f>IF(C20="","N/A",IF(G20=0,"Unpaid",IF(G20&lt;D20,"Partial","Paid")))</f>
        <v/>
      </c>
      <c r="J20" s="18">
        <f>IF(I20="Paid",0,IF(I20="Partial",2,5))</f>
        <v/>
      </c>
      <c r="K20" s="19">
        <f>IFERROR(MIN(H20*0.05,500),0)</f>
        <v/>
      </c>
      <c r="L20" s="19">
        <f>H20+K20</f>
        <v/>
      </c>
      <c r="M20" s="16" t="inlineStr">
        <is>
          <t>Bank Transfer</t>
        </is>
      </c>
      <c r="N20" s="16" t="inlineStr">
        <is>
          <t>RCP-1012</t>
        </is>
      </c>
      <c r="O20" s="16" t="inlineStr"/>
    </row>
    <row r="21" ht="22" customHeight="1">
      <c r="B21" s="11" t="inlineStr">
        <is>
          <t>B-102</t>
        </is>
      </c>
      <c r="C21" s="11" t="inlineStr"/>
      <c r="D21" s="14" t="n">
        <v>2650</v>
      </c>
      <c r="E21" s="15" t="n">
        <v>45748</v>
      </c>
      <c r="F21" s="15" t="inlineStr"/>
      <c r="G21" s="14" t="n">
        <v>0</v>
      </c>
      <c r="H21" s="14">
        <f>D21-G21</f>
        <v/>
      </c>
      <c r="I21" s="11">
        <f>IF(C21="","N/A",IF(G21=0,"Unpaid",IF(G21&lt;D21,"Partial","Paid")))</f>
        <v/>
      </c>
      <c r="J21" s="13">
        <f>IF(I21="Paid",0,IF(I21="Partial",2,5))</f>
        <v/>
      </c>
      <c r="K21" s="14">
        <f>IFERROR(MIN(H21*0.05,500),0)</f>
        <v/>
      </c>
      <c r="L21" s="14">
        <f>H21+K21</f>
        <v/>
      </c>
      <c r="M21" s="11" t="inlineStr"/>
      <c r="N21" s="11" t="inlineStr"/>
      <c r="O21" s="11" t="inlineStr">
        <is>
          <t>Unit Vacant</t>
        </is>
      </c>
    </row>
    <row r="22" ht="22" customHeight="1">
      <c r="B22" s="16" t="inlineStr">
        <is>
          <t>B-103</t>
        </is>
      </c>
      <c r="C22" s="16" t="inlineStr">
        <is>
          <t>Amina Yusuf</t>
        </is>
      </c>
      <c r="D22" s="19" t="n">
        <v>2750</v>
      </c>
      <c r="E22" s="20" t="n">
        <v>45748</v>
      </c>
      <c r="F22" s="20" t="n">
        <v>45750</v>
      </c>
      <c r="G22" s="19" t="n">
        <v>2750</v>
      </c>
      <c r="H22" s="19">
        <f>D22-G22</f>
        <v/>
      </c>
      <c r="I22" s="16">
        <f>IF(C22="","N/A",IF(G22=0,"Unpaid",IF(G22&lt;D22,"Partial","Paid")))</f>
        <v/>
      </c>
      <c r="J22" s="18">
        <f>IF(I22="Paid",0,IF(I22="Partial",2,5))</f>
        <v/>
      </c>
      <c r="K22" s="19">
        <f>IFERROR(MIN(H22*0.05,500),0)</f>
        <v/>
      </c>
      <c r="L22" s="19">
        <f>H22+K22</f>
        <v/>
      </c>
      <c r="M22" s="16" t="inlineStr">
        <is>
          <t>Bank Transfer</t>
        </is>
      </c>
      <c r="N22" s="16" t="inlineStr">
        <is>
          <t>RCP-1013</t>
        </is>
      </c>
      <c r="O22" s="16" t="inlineStr"/>
    </row>
    <row r="23" ht="22" customHeight="1">
      <c r="B23" s="11" t="inlineStr">
        <is>
          <t>B-104</t>
        </is>
      </c>
      <c r="C23" s="11" t="inlineStr">
        <is>
          <t>Khalid Al Mansouri</t>
        </is>
      </c>
      <c r="D23" s="14" t="n">
        <v>2400</v>
      </c>
      <c r="E23" s="15" t="n">
        <v>45748</v>
      </c>
      <c r="F23" s="15" t="n">
        <v>45751</v>
      </c>
      <c r="G23" s="14" t="n">
        <v>2400</v>
      </c>
      <c r="H23" s="14">
        <f>D23-G23</f>
        <v/>
      </c>
      <c r="I23" s="11">
        <f>IF(C23="","N/A",IF(G23=0,"Unpaid",IF(G23&lt;D23,"Partial","Paid")))</f>
        <v/>
      </c>
      <c r="J23" s="13">
        <f>IF(I23="Paid",0,IF(I23="Partial",2,5))</f>
        <v/>
      </c>
      <c r="K23" s="14">
        <f>IFERROR(MIN(H23*0.05,500),0)</f>
        <v/>
      </c>
      <c r="L23" s="14">
        <f>H23+K23</f>
        <v/>
      </c>
      <c r="M23" s="11" t="inlineStr">
        <is>
          <t>Cheque</t>
        </is>
      </c>
      <c r="N23" s="11" t="inlineStr">
        <is>
          <t>RCP-1014</t>
        </is>
      </c>
      <c r="O23" s="11" t="inlineStr"/>
    </row>
    <row r="24" ht="22" customHeight="1">
      <c r="B24" s="16" t="inlineStr">
        <is>
          <t>B-105</t>
        </is>
      </c>
      <c r="C24" s="16" t="inlineStr">
        <is>
          <t>Sunita Devi</t>
        </is>
      </c>
      <c r="D24" s="19" t="n">
        <v>2500</v>
      </c>
      <c r="E24" s="20" t="n">
        <v>45748</v>
      </c>
      <c r="F24" s="20" t="n">
        <v>45748</v>
      </c>
      <c r="G24" s="19" t="n">
        <v>2500</v>
      </c>
      <c r="H24" s="19">
        <f>D24-G24</f>
        <v/>
      </c>
      <c r="I24" s="16">
        <f>IF(C24="","N/A",IF(G24=0,"Unpaid",IF(G24&lt;D24,"Partial","Paid")))</f>
        <v/>
      </c>
      <c r="J24" s="18">
        <f>IF(I24="Paid",0,IF(I24="Partial",2,5))</f>
        <v/>
      </c>
      <c r="K24" s="19">
        <f>IFERROR(MIN(H24*0.05,500),0)</f>
        <v/>
      </c>
      <c r="L24" s="19">
        <f>H24+K24</f>
        <v/>
      </c>
      <c r="M24" s="16" t="inlineStr">
        <is>
          <t>Cash</t>
        </is>
      </c>
      <c r="N24" s="16" t="inlineStr">
        <is>
          <t>RCP-1015</t>
        </is>
      </c>
      <c r="O24" s="16" t="inlineStr"/>
    </row>
    <row r="25" ht="22" customHeight="1">
      <c r="B25" s="11" t="inlineStr">
        <is>
          <t>B-106</t>
        </is>
      </c>
      <c r="C25" s="11" t="inlineStr">
        <is>
          <t>Arjun Reddy</t>
        </is>
      </c>
      <c r="D25" s="14" t="n">
        <v>2600</v>
      </c>
      <c r="E25" s="15" t="n">
        <v>45748</v>
      </c>
      <c r="F25" s="15" t="n">
        <v>45749</v>
      </c>
      <c r="G25" s="14" t="n">
        <v>2600</v>
      </c>
      <c r="H25" s="14">
        <f>D25-G25</f>
        <v/>
      </c>
      <c r="I25" s="11">
        <f>IF(C25="","N/A",IF(G25=0,"Unpaid",IF(G25&lt;D25,"Partial","Paid")))</f>
        <v/>
      </c>
      <c r="J25" s="13">
        <f>IF(I25="Paid",0,IF(I25="Partial",2,5))</f>
        <v/>
      </c>
      <c r="K25" s="14">
        <f>IFERROR(MIN(H25*0.05,500),0)</f>
        <v/>
      </c>
      <c r="L25" s="14">
        <f>H25+K25</f>
        <v/>
      </c>
      <c r="M25" s="11" t="inlineStr">
        <is>
          <t>Bank Transfer</t>
        </is>
      </c>
      <c r="N25" s="11" t="inlineStr">
        <is>
          <t>RCP-1016</t>
        </is>
      </c>
      <c r="O25" s="11" t="inlineStr"/>
    </row>
    <row r="26" ht="22" customHeight="1">
      <c r="B26" s="16" t="inlineStr">
        <is>
          <t>B-107</t>
        </is>
      </c>
      <c r="C26" s="16" t="inlineStr">
        <is>
          <t>Zainab Khan</t>
        </is>
      </c>
      <c r="D26" s="19" t="n">
        <v>2300</v>
      </c>
      <c r="E26" s="20" t="n">
        <v>45748</v>
      </c>
      <c r="F26" s="20" t="n">
        <v>45750</v>
      </c>
      <c r="G26" s="19" t="n">
        <v>1150</v>
      </c>
      <c r="H26" s="19">
        <f>D26-G26</f>
        <v/>
      </c>
      <c r="I26" s="16">
        <f>IF(C26="","N/A",IF(G26=0,"Unpaid",IF(G26&lt;D26,"Partial","Paid")))</f>
        <v/>
      </c>
      <c r="J26" s="18">
        <f>IF(I26="Paid",0,IF(I26="Partial",2,5))</f>
        <v/>
      </c>
      <c r="K26" s="19">
        <f>IFERROR(MIN(H26*0.05,500),0)</f>
        <v/>
      </c>
      <c r="L26" s="19">
        <f>H26+K26</f>
        <v/>
      </c>
      <c r="M26" s="16" t="inlineStr">
        <is>
          <t>Cheque</t>
        </is>
      </c>
      <c r="N26" s="16" t="inlineStr">
        <is>
          <t>RCP-1017</t>
        </is>
      </c>
      <c r="O26" s="16" t="inlineStr">
        <is>
          <t>Partial payment received</t>
        </is>
      </c>
    </row>
    <row r="27" ht="22" customHeight="1">
      <c r="B27" s="11" t="inlineStr">
        <is>
          <t>B-108</t>
        </is>
      </c>
      <c r="C27" s="11" t="inlineStr">
        <is>
          <t>Rashid Ahmad</t>
        </is>
      </c>
      <c r="D27" s="14" t="n">
        <v>2550</v>
      </c>
      <c r="E27" s="15" t="n">
        <v>45748</v>
      </c>
      <c r="F27" s="15" t="n">
        <v>45751</v>
      </c>
      <c r="G27" s="14" t="n">
        <v>2550</v>
      </c>
      <c r="H27" s="14">
        <f>D27-G27</f>
        <v/>
      </c>
      <c r="I27" s="11">
        <f>IF(C27="","N/A",IF(G27=0,"Unpaid",IF(G27&lt;D27,"Partial","Paid")))</f>
        <v/>
      </c>
      <c r="J27" s="13">
        <f>IF(I27="Paid",0,IF(I27="Partial",2,5))</f>
        <v/>
      </c>
      <c r="K27" s="14">
        <f>IFERROR(MIN(H27*0.05,500),0)</f>
        <v/>
      </c>
      <c r="L27" s="14">
        <f>H27+K27</f>
        <v/>
      </c>
      <c r="M27" s="11" t="inlineStr">
        <is>
          <t>Cash</t>
        </is>
      </c>
      <c r="N27" s="11" t="inlineStr">
        <is>
          <t>RCP-1018</t>
        </is>
      </c>
      <c r="O27" s="11" t="inlineStr"/>
    </row>
    <row r="28" ht="22" customHeight="1">
      <c r="B28" s="16" t="inlineStr">
        <is>
          <t>B-201</t>
        </is>
      </c>
      <c r="C28" s="16" t="inlineStr"/>
      <c r="D28" s="19" t="n">
        <v>4000</v>
      </c>
      <c r="E28" s="20" t="n">
        <v>45748</v>
      </c>
      <c r="F28" s="20" t="inlineStr"/>
      <c r="G28" s="19" t="n">
        <v>0</v>
      </c>
      <c r="H28" s="19">
        <f>D28-G28</f>
        <v/>
      </c>
      <c r="I28" s="16">
        <f>IF(C28="","N/A",IF(G28=0,"Unpaid",IF(G28&lt;D28,"Partial","Paid")))</f>
        <v/>
      </c>
      <c r="J28" s="18">
        <f>IF(I28="Paid",0,IF(I28="Partial",2,5))</f>
        <v/>
      </c>
      <c r="K28" s="19">
        <f>IFERROR(MIN(H28*0.05,500),0)</f>
        <v/>
      </c>
      <c r="L28" s="19">
        <f>H28+K28</f>
        <v/>
      </c>
      <c r="M28" s="16" t="inlineStr"/>
      <c r="N28" s="16" t="inlineStr"/>
      <c r="O28" s="16" t="inlineStr">
        <is>
          <t>Unit Vacant</t>
        </is>
      </c>
    </row>
    <row r="29" ht="22" customHeight="1">
      <c r="B29" s="11" t="inlineStr">
        <is>
          <t>B-202</t>
        </is>
      </c>
      <c r="C29" s="11" t="inlineStr">
        <is>
          <t>Meena Kumari</t>
        </is>
      </c>
      <c r="D29" s="14" t="n">
        <v>4100</v>
      </c>
      <c r="E29" s="15" t="n">
        <v>45748</v>
      </c>
      <c r="F29" s="15" t="n">
        <v>45748</v>
      </c>
      <c r="G29" s="14" t="n">
        <v>4100</v>
      </c>
      <c r="H29" s="14">
        <f>D29-G29</f>
        <v/>
      </c>
      <c r="I29" s="11">
        <f>IF(C29="","N/A",IF(G29=0,"Unpaid",IF(G29&lt;D29,"Partial","Paid")))</f>
        <v/>
      </c>
      <c r="J29" s="13">
        <f>IF(I29="Paid",0,IF(I29="Partial",2,5))</f>
        <v/>
      </c>
      <c r="K29" s="14">
        <f>IFERROR(MIN(H29*0.05,500),0)</f>
        <v/>
      </c>
      <c r="L29" s="14">
        <f>H29+K29</f>
        <v/>
      </c>
      <c r="M29" s="11" t="inlineStr">
        <is>
          <t>Bank Transfer</t>
        </is>
      </c>
      <c r="N29" s="11" t="inlineStr">
        <is>
          <t>RCP-1019</t>
        </is>
      </c>
      <c r="O29" s="11" t="inlineStr"/>
    </row>
    <row r="30" ht="22" customHeight="1">
      <c r="B30" s="16" t="inlineStr">
        <is>
          <t>B-203</t>
        </is>
      </c>
      <c r="C30" s="16" t="inlineStr">
        <is>
          <t>Tariq Hussain</t>
        </is>
      </c>
      <c r="D30" s="19" t="n">
        <v>4200</v>
      </c>
      <c r="E30" s="20" t="n">
        <v>45748</v>
      </c>
      <c r="F30" s="20" t="n">
        <v>45749</v>
      </c>
      <c r="G30" s="19" t="n">
        <v>4200</v>
      </c>
      <c r="H30" s="19">
        <f>D30-G30</f>
        <v/>
      </c>
      <c r="I30" s="16">
        <f>IF(C30="","N/A",IF(G30=0,"Unpaid",IF(G30&lt;D30,"Partial","Paid")))</f>
        <v/>
      </c>
      <c r="J30" s="18">
        <f>IF(I30="Paid",0,IF(I30="Partial",2,5))</f>
        <v/>
      </c>
      <c r="K30" s="19">
        <f>IFERROR(MIN(H30*0.05,500),0)</f>
        <v/>
      </c>
      <c r="L30" s="19">
        <f>H30+K30</f>
        <v/>
      </c>
      <c r="M30" s="16" t="inlineStr">
        <is>
          <t>Bank Transfer</t>
        </is>
      </c>
      <c r="N30" s="16" t="inlineStr">
        <is>
          <t>RCP-1020</t>
        </is>
      </c>
      <c r="O30" s="16" t="inlineStr"/>
    </row>
    <row r="31" ht="22" customHeight="1">
      <c r="B31" s="11" t="inlineStr">
        <is>
          <t>B-204</t>
        </is>
      </c>
      <c r="C31" s="11" t="inlineStr">
        <is>
          <t>Sara Mahmoud</t>
        </is>
      </c>
      <c r="D31" s="14" t="n">
        <v>3550</v>
      </c>
      <c r="E31" s="15" t="n">
        <v>45748</v>
      </c>
      <c r="F31" s="15" t="n">
        <v>45750</v>
      </c>
      <c r="G31" s="14" t="n">
        <v>3550</v>
      </c>
      <c r="H31" s="14">
        <f>D31-G31</f>
        <v/>
      </c>
      <c r="I31" s="11">
        <f>IF(C31="","N/A",IF(G31=0,"Unpaid",IF(G31&lt;D31,"Partial","Paid")))</f>
        <v/>
      </c>
      <c r="J31" s="13">
        <f>IF(I31="Paid",0,IF(I31="Partial",2,5))</f>
        <v/>
      </c>
      <c r="K31" s="14">
        <f>IFERROR(MIN(H31*0.05,500),0)</f>
        <v/>
      </c>
      <c r="L31" s="14">
        <f>H31+K31</f>
        <v/>
      </c>
      <c r="M31" s="11" t="inlineStr">
        <is>
          <t>Cheque</t>
        </is>
      </c>
      <c r="N31" s="11" t="inlineStr">
        <is>
          <t>RCP-1021</t>
        </is>
      </c>
      <c r="O31" s="11" t="inlineStr"/>
    </row>
    <row r="32" ht="22" customHeight="1">
      <c r="B32" s="16" t="inlineStr">
        <is>
          <t>B-205</t>
        </is>
      </c>
      <c r="C32" s="16" t="inlineStr">
        <is>
          <t>Vikram Singh</t>
        </is>
      </c>
      <c r="D32" s="19" t="n">
        <v>3650</v>
      </c>
      <c r="E32" s="20" t="n">
        <v>45748</v>
      </c>
      <c r="F32" s="20" t="n">
        <v>45751</v>
      </c>
      <c r="G32" s="19" t="n">
        <v>3650</v>
      </c>
      <c r="H32" s="19">
        <f>D32-G32</f>
        <v/>
      </c>
      <c r="I32" s="16">
        <f>IF(C32="","N/A",IF(G32=0,"Unpaid",IF(G32&lt;D32,"Partial","Paid")))</f>
        <v/>
      </c>
      <c r="J32" s="18">
        <f>IF(I32="Paid",0,IF(I32="Partial",2,5))</f>
        <v/>
      </c>
      <c r="K32" s="19">
        <f>IFERROR(MIN(H32*0.05,500),0)</f>
        <v/>
      </c>
      <c r="L32" s="19">
        <f>H32+K32</f>
        <v/>
      </c>
      <c r="M32" s="16" t="inlineStr">
        <is>
          <t>Cash</t>
        </is>
      </c>
      <c r="N32" s="16" t="inlineStr">
        <is>
          <t>RCP-1022</t>
        </is>
      </c>
      <c r="O32" s="16" t="inlineStr"/>
    </row>
    <row r="33" ht="22" customHeight="1">
      <c r="B33" s="11" t="inlineStr">
        <is>
          <t>B-206</t>
        </is>
      </c>
      <c r="C33" s="11" t="inlineStr">
        <is>
          <t>Noor Fatima</t>
        </is>
      </c>
      <c r="D33" s="14" t="n">
        <v>3750</v>
      </c>
      <c r="E33" s="15" t="n">
        <v>45748</v>
      </c>
      <c r="F33" s="15" t="n">
        <v>45748</v>
      </c>
      <c r="G33" s="14" t="n">
        <v>3750</v>
      </c>
      <c r="H33" s="14">
        <f>D33-G33</f>
        <v/>
      </c>
      <c r="I33" s="11">
        <f>IF(C33="","N/A",IF(G33=0,"Unpaid",IF(G33&lt;D33,"Partial","Paid")))</f>
        <v/>
      </c>
      <c r="J33" s="13">
        <f>IF(I33="Paid",0,IF(I33="Partial",2,5))</f>
        <v/>
      </c>
      <c r="K33" s="14">
        <f>IFERROR(MIN(H33*0.05,500),0)</f>
        <v/>
      </c>
      <c r="L33" s="14">
        <f>H33+K33</f>
        <v/>
      </c>
      <c r="M33" s="11" t="inlineStr">
        <is>
          <t>Bank Transfer</t>
        </is>
      </c>
      <c r="N33" s="11" t="inlineStr">
        <is>
          <t>RCP-1023</t>
        </is>
      </c>
      <c r="O33" s="11" t="inlineStr"/>
    </row>
    <row r="34" ht="22" customHeight="1">
      <c r="B34" s="16" t="inlineStr">
        <is>
          <t>C-101</t>
        </is>
      </c>
      <c r="C34" s="16" t="inlineStr">
        <is>
          <t>Imran Sheikh</t>
        </is>
      </c>
      <c r="D34" s="19" t="n">
        <v>2650</v>
      </c>
      <c r="E34" s="20" t="n">
        <v>45748</v>
      </c>
      <c r="F34" s="20" t="inlineStr"/>
      <c r="G34" s="19" t="n">
        <v>0</v>
      </c>
      <c r="H34" s="19">
        <f>D34-G34</f>
        <v/>
      </c>
      <c r="I34" s="16">
        <f>IF(C34="","N/A",IF(G34=0,"Unpaid",IF(G34&lt;D34,"Partial","Paid")))</f>
        <v/>
      </c>
      <c r="J34" s="18">
        <f>IF(I34="Paid",0,IF(I34="Partial",2,5))</f>
        <v/>
      </c>
      <c r="K34" s="19">
        <f>IFERROR(MIN(H34*0.05,500),0)</f>
        <v/>
      </c>
      <c r="L34" s="19">
        <f>H34+K34</f>
        <v/>
      </c>
      <c r="M34" s="16" t="inlineStr">
        <is>
          <t>Cheque</t>
        </is>
      </c>
      <c r="N34" s="16" t="inlineStr"/>
      <c r="O34" s="16" t="inlineStr">
        <is>
          <t>Follow up immediately</t>
        </is>
      </c>
    </row>
    <row r="35" ht="22" customHeight="1">
      <c r="B35" s="11" t="inlineStr">
        <is>
          <t>C-102</t>
        </is>
      </c>
      <c r="C35" s="11" t="inlineStr">
        <is>
          <t>Ritu Patel</t>
        </is>
      </c>
      <c r="D35" s="14" t="n">
        <v>2350</v>
      </c>
      <c r="E35" s="15" t="n">
        <v>45748</v>
      </c>
      <c r="F35" s="15" t="n">
        <v>45750</v>
      </c>
      <c r="G35" s="14" t="n">
        <v>2350</v>
      </c>
      <c r="H35" s="14">
        <f>D35-G35</f>
        <v/>
      </c>
      <c r="I35" s="11">
        <f>IF(C35="","N/A",IF(G35=0,"Unpaid",IF(G35&lt;D35,"Partial","Paid")))</f>
        <v/>
      </c>
      <c r="J35" s="13">
        <f>IF(I35="Paid",0,IF(I35="Partial",2,5))</f>
        <v/>
      </c>
      <c r="K35" s="14">
        <f>IFERROR(MIN(H35*0.05,500),0)</f>
        <v/>
      </c>
      <c r="L35" s="14">
        <f>H35+K35</f>
        <v/>
      </c>
      <c r="M35" s="11" t="inlineStr">
        <is>
          <t>Cash</t>
        </is>
      </c>
      <c r="N35" s="11" t="inlineStr">
        <is>
          <t>RCP-1024</t>
        </is>
      </c>
      <c r="O35" s="11" t="inlineStr"/>
    </row>
    <row r="36" ht="22" customHeight="1">
      <c r="B36" s="16" t="inlineStr">
        <is>
          <t>C-103</t>
        </is>
      </c>
      <c r="C36" s="16" t="inlineStr"/>
      <c r="D36" s="19" t="n">
        <v>2450</v>
      </c>
      <c r="E36" s="20" t="n">
        <v>45748</v>
      </c>
      <c r="F36" s="20" t="inlineStr"/>
      <c r="G36" s="19" t="n">
        <v>0</v>
      </c>
      <c r="H36" s="19">
        <f>D36-G36</f>
        <v/>
      </c>
      <c r="I36" s="16">
        <f>IF(C36="","N/A",IF(G36=0,"Unpaid",IF(G36&lt;D36,"Partial","Paid")))</f>
        <v/>
      </c>
      <c r="J36" s="18">
        <f>IF(I36="Paid",0,IF(I36="Partial",2,5))</f>
        <v/>
      </c>
      <c r="K36" s="19">
        <f>IFERROR(MIN(H36*0.05,500),0)</f>
        <v/>
      </c>
      <c r="L36" s="19">
        <f>H36+K36</f>
        <v/>
      </c>
      <c r="M36" s="16" t="inlineStr"/>
      <c r="N36" s="16" t="inlineStr"/>
      <c r="O36" s="16" t="inlineStr">
        <is>
          <t>Unit Vacant</t>
        </is>
      </c>
    </row>
    <row r="37" ht="22" customHeight="1">
      <c r="B37" s="11" t="inlineStr">
        <is>
          <t>C-104</t>
        </is>
      </c>
      <c r="C37" s="11" t="inlineStr">
        <is>
          <t>Samir Abbas</t>
        </is>
      </c>
      <c r="D37" s="14" t="n">
        <v>2550</v>
      </c>
      <c r="E37" s="15" t="n">
        <v>45748</v>
      </c>
      <c r="F37" s="15" t="n">
        <v>45751</v>
      </c>
      <c r="G37" s="14" t="n">
        <v>2550</v>
      </c>
      <c r="H37" s="14">
        <f>D37-G37</f>
        <v/>
      </c>
      <c r="I37" s="11">
        <f>IF(C37="","N/A",IF(G37=0,"Unpaid",IF(G37&lt;D37,"Partial","Paid")))</f>
        <v/>
      </c>
      <c r="J37" s="13">
        <f>IF(I37="Paid",0,IF(I37="Partial",2,5))</f>
        <v/>
      </c>
      <c r="K37" s="14">
        <f>IFERROR(MIN(H37*0.05,500),0)</f>
        <v/>
      </c>
      <c r="L37" s="14">
        <f>H37+K37</f>
        <v/>
      </c>
      <c r="M37" s="11" t="inlineStr">
        <is>
          <t>Bank Transfer</t>
        </is>
      </c>
      <c r="N37" s="11" t="inlineStr">
        <is>
          <t>RCP-1025</t>
        </is>
      </c>
      <c r="O37" s="11" t="inlineStr"/>
    </row>
    <row r="38" ht="22" customHeight="1">
      <c r="B38" s="16" t="inlineStr">
        <is>
          <t>C-105</t>
        </is>
      </c>
      <c r="C38" s="16" t="inlineStr">
        <is>
          <t>Pooja Sharma</t>
        </is>
      </c>
      <c r="D38" s="19" t="n">
        <v>2200</v>
      </c>
      <c r="E38" s="20" t="n">
        <v>45748</v>
      </c>
      <c r="F38" s="20" t="n">
        <v>45748</v>
      </c>
      <c r="G38" s="19" t="n">
        <v>2200</v>
      </c>
      <c r="H38" s="19">
        <f>D38-G38</f>
        <v/>
      </c>
      <c r="I38" s="16">
        <f>IF(C38="","N/A",IF(G38=0,"Unpaid",IF(G38&lt;D38,"Partial","Paid")))</f>
        <v/>
      </c>
      <c r="J38" s="18">
        <f>IF(I38="Paid",0,IF(I38="Partial",2,5))</f>
        <v/>
      </c>
      <c r="K38" s="19">
        <f>IFERROR(MIN(H38*0.05,500),0)</f>
        <v/>
      </c>
      <c r="L38" s="19">
        <f>H38+K38</f>
        <v/>
      </c>
      <c r="M38" s="16" t="inlineStr">
        <is>
          <t>Bank Transfer</t>
        </is>
      </c>
      <c r="N38" s="16" t="inlineStr">
        <is>
          <t>RCP-1026</t>
        </is>
      </c>
      <c r="O38" s="16" t="inlineStr"/>
    </row>
    <row r="39" ht="22" customHeight="1">
      <c r="B39" s="11" t="inlineStr">
        <is>
          <t>C-106</t>
        </is>
      </c>
      <c r="C39" s="11" t="inlineStr">
        <is>
          <t>Farhan Ali</t>
        </is>
      </c>
      <c r="D39" s="14" t="n">
        <v>2300</v>
      </c>
      <c r="E39" s="15" t="n">
        <v>45748</v>
      </c>
      <c r="F39" s="15" t="n">
        <v>45749</v>
      </c>
      <c r="G39" s="14" t="n">
        <v>2300</v>
      </c>
      <c r="H39" s="14">
        <f>D39-G39</f>
        <v/>
      </c>
      <c r="I39" s="11">
        <f>IF(C39="","N/A",IF(G39=0,"Unpaid",IF(G39&lt;D39,"Partial","Paid")))</f>
        <v/>
      </c>
      <c r="J39" s="13">
        <f>IF(I39="Paid",0,IF(I39="Partial",2,5))</f>
        <v/>
      </c>
      <c r="K39" s="14">
        <f>IFERROR(MIN(H39*0.05,500),0)</f>
        <v/>
      </c>
      <c r="L39" s="14">
        <f>H39+K39</f>
        <v/>
      </c>
      <c r="M39" s="11" t="inlineStr">
        <is>
          <t>Cheque</t>
        </is>
      </c>
      <c r="N39" s="11" t="inlineStr">
        <is>
          <t>RCP-1027</t>
        </is>
      </c>
      <c r="O39" s="11" t="inlineStr"/>
    </row>
    <row r="40" ht="22" customHeight="1">
      <c r="B40" s="16" t="inlineStr">
        <is>
          <t>C-201</t>
        </is>
      </c>
      <c r="C40" s="16" t="inlineStr">
        <is>
          <t>Amira Hassan</t>
        </is>
      </c>
      <c r="D40" s="19" t="n">
        <v>3850</v>
      </c>
      <c r="E40" s="20" t="n">
        <v>45748</v>
      </c>
      <c r="F40" s="20" t="n">
        <v>45750</v>
      </c>
      <c r="G40" s="19" t="n">
        <v>3850</v>
      </c>
      <c r="H40" s="19">
        <f>D40-G40</f>
        <v/>
      </c>
      <c r="I40" s="16">
        <f>IF(C40="","N/A",IF(G40=0,"Unpaid",IF(G40&lt;D40,"Partial","Paid")))</f>
        <v/>
      </c>
      <c r="J40" s="18">
        <f>IF(I40="Paid",0,IF(I40="Partial",2,5))</f>
        <v/>
      </c>
      <c r="K40" s="19">
        <f>IFERROR(MIN(H40*0.05,500),0)</f>
        <v/>
      </c>
      <c r="L40" s="19">
        <f>H40+K40</f>
        <v/>
      </c>
      <c r="M40" s="16" t="inlineStr">
        <is>
          <t>Cash</t>
        </is>
      </c>
      <c r="N40" s="16" t="inlineStr">
        <is>
          <t>RCP-1028</t>
        </is>
      </c>
      <c r="O40" s="16" t="inlineStr"/>
    </row>
    <row r="41" ht="22" customHeight="1">
      <c r="B41" s="11" t="inlineStr">
        <is>
          <t>C-202</t>
        </is>
      </c>
      <c r="C41" s="11" t="inlineStr">
        <is>
          <t>Raj Patel</t>
        </is>
      </c>
      <c r="D41" s="14" t="n">
        <v>3950</v>
      </c>
      <c r="E41" s="15" t="n">
        <v>45748</v>
      </c>
      <c r="F41" s="15" t="n">
        <v>45751</v>
      </c>
      <c r="G41" s="14" t="n">
        <v>3950</v>
      </c>
      <c r="H41" s="14">
        <f>D41-G41</f>
        <v/>
      </c>
      <c r="I41" s="11">
        <f>IF(C41="","N/A",IF(G41=0,"Unpaid",IF(G41&lt;D41,"Partial","Paid")))</f>
        <v/>
      </c>
      <c r="J41" s="13">
        <f>IF(I41="Paid",0,IF(I41="Partial",2,5))</f>
        <v/>
      </c>
      <c r="K41" s="14">
        <f>IFERROR(MIN(H41*0.05,500),0)</f>
        <v/>
      </c>
      <c r="L41" s="14">
        <f>H41+K41</f>
        <v/>
      </c>
      <c r="M41" s="11" t="inlineStr">
        <is>
          <t>Bank Transfer</t>
        </is>
      </c>
      <c r="N41" s="11" t="inlineStr">
        <is>
          <t>RCP-1029</t>
        </is>
      </c>
      <c r="O41" s="11" t="inlineStr"/>
    </row>
    <row r="42" ht="22" customHeight="1">
      <c r="B42" s="16" t="inlineStr">
        <is>
          <t>C-203</t>
        </is>
      </c>
      <c r="C42" s="16" t="inlineStr">
        <is>
          <t>Leila Omar</t>
        </is>
      </c>
      <c r="D42" s="19" t="n">
        <v>4050</v>
      </c>
      <c r="E42" s="20" t="n">
        <v>45748</v>
      </c>
      <c r="F42" s="20" t="n">
        <v>45748</v>
      </c>
      <c r="G42" s="19" t="n">
        <v>4050</v>
      </c>
      <c r="H42" s="19">
        <f>D42-G42</f>
        <v/>
      </c>
      <c r="I42" s="16">
        <f>IF(C42="","N/A",IF(G42=0,"Unpaid",IF(G42&lt;D42,"Partial","Paid")))</f>
        <v/>
      </c>
      <c r="J42" s="18">
        <f>IF(I42="Paid",0,IF(I42="Partial",2,5))</f>
        <v/>
      </c>
      <c r="K42" s="19">
        <f>IFERROR(MIN(H42*0.05,500),0)</f>
        <v/>
      </c>
      <c r="L42" s="19">
        <f>H42+K42</f>
        <v/>
      </c>
      <c r="M42" s="16" t="inlineStr">
        <is>
          <t>Cheque</t>
        </is>
      </c>
      <c r="N42" s="16" t="inlineStr">
        <is>
          <t>RCP-1030</t>
        </is>
      </c>
      <c r="O42" s="16" t="inlineStr"/>
    </row>
    <row r="43" ht="22" customHeight="1">
      <c r="B43" s="11" t="inlineStr">
        <is>
          <t>C-204</t>
        </is>
      </c>
      <c r="C43" s="11" t="inlineStr">
        <is>
          <t>Arun Kumar</t>
        </is>
      </c>
      <c r="D43" s="14" t="n">
        <v>4150</v>
      </c>
      <c r="E43" s="15" t="n">
        <v>45748</v>
      </c>
      <c r="F43" s="15" t="n">
        <v>45750</v>
      </c>
      <c r="G43" s="14" t="n">
        <v>2905</v>
      </c>
      <c r="H43" s="14">
        <f>D43-G43</f>
        <v/>
      </c>
      <c r="I43" s="11">
        <f>IF(C43="","N/A",IF(G43=0,"Unpaid",IF(G43&lt;D43,"Partial","Paid")))</f>
        <v/>
      </c>
      <c r="J43" s="13">
        <f>IF(I43="Paid",0,IF(I43="Partial",2,5))</f>
        <v/>
      </c>
      <c r="K43" s="14">
        <f>IFERROR(MIN(H43*0.05,500),0)</f>
        <v/>
      </c>
      <c r="L43" s="14">
        <f>H43+K43</f>
        <v/>
      </c>
      <c r="M43" s="11" t="inlineStr">
        <is>
          <t>Bank Transfer</t>
        </is>
      </c>
      <c r="N43" s="11" t="inlineStr">
        <is>
          <t>RCP-1031</t>
        </is>
      </c>
      <c r="O43" s="11" t="inlineStr">
        <is>
          <t>Partial payment received</t>
        </is>
      </c>
    </row>
    <row r="44" ht="22" customHeight="1">
      <c r="B44" s="16" t="inlineStr">
        <is>
          <t>C-205</t>
        </is>
      </c>
      <c r="C44" s="16" t="inlineStr">
        <is>
          <t>Sanjay Gupta</t>
        </is>
      </c>
      <c r="D44" s="19" t="n">
        <v>3600</v>
      </c>
      <c r="E44" s="20" t="n">
        <v>45748</v>
      </c>
      <c r="F44" s="20" t="n">
        <v>45750</v>
      </c>
      <c r="G44" s="19" t="n">
        <v>3600</v>
      </c>
      <c r="H44" s="19">
        <f>D44-G44</f>
        <v/>
      </c>
      <c r="I44" s="16">
        <f>IF(C44="","N/A",IF(G44=0,"Unpaid",IF(G44&lt;D44,"Partial","Paid")))</f>
        <v/>
      </c>
      <c r="J44" s="18">
        <f>IF(I44="Paid",0,IF(I44="Partial",2,5))</f>
        <v/>
      </c>
      <c r="K44" s="19">
        <f>IFERROR(MIN(H44*0.05,500),0)</f>
        <v/>
      </c>
      <c r="L44" s="19">
        <f>H44+K44</f>
        <v/>
      </c>
      <c r="M44" s="16" t="inlineStr">
        <is>
          <t>Cash</t>
        </is>
      </c>
      <c r="N44" s="16" t="inlineStr">
        <is>
          <t>RCP-1032</t>
        </is>
      </c>
      <c r="O44" s="16" t="inlineStr"/>
    </row>
    <row r="45" ht="22" customHeight="1">
      <c r="B45" s="11" t="inlineStr">
        <is>
          <t>C-206</t>
        </is>
      </c>
      <c r="C45" s="11" t="inlineStr"/>
      <c r="D45" s="14" t="n">
        <v>3800</v>
      </c>
      <c r="E45" s="15" t="n">
        <v>45748</v>
      </c>
      <c r="F45" s="15" t="inlineStr"/>
      <c r="G45" s="14" t="n">
        <v>0</v>
      </c>
      <c r="H45" s="14">
        <f>D45-G45</f>
        <v/>
      </c>
      <c r="I45" s="11">
        <f>IF(C45="","N/A",IF(G45=0,"Unpaid",IF(G45&lt;D45,"Partial","Paid")))</f>
        <v/>
      </c>
      <c r="J45" s="13">
        <f>IF(I45="Paid",0,IF(I45="Partial",2,5))</f>
        <v/>
      </c>
      <c r="K45" s="14">
        <f>IFERROR(MIN(H45*0.05,500),0)</f>
        <v/>
      </c>
      <c r="L45" s="14">
        <f>H45+K45</f>
        <v/>
      </c>
      <c r="M45" s="11" t="inlineStr"/>
      <c r="N45" s="11" t="inlineStr"/>
      <c r="O45" s="11" t="inlineStr">
        <is>
          <t>Unit Vacant</t>
        </is>
      </c>
    </row>
    <row r="46" ht="22" customHeight="1">
      <c r="B46" s="16" t="inlineStr">
        <is>
          <t>C-207</t>
        </is>
      </c>
      <c r="C46" s="16" t="inlineStr">
        <is>
          <t>Huda Mahmoud</t>
        </is>
      </c>
      <c r="D46" s="19" t="n">
        <v>4000</v>
      </c>
      <c r="E46" s="20" t="n">
        <v>45748</v>
      </c>
      <c r="F46" s="20" t="n">
        <v>45751</v>
      </c>
      <c r="G46" s="19" t="n">
        <v>4000</v>
      </c>
      <c r="H46" s="19">
        <f>D46-G46</f>
        <v/>
      </c>
      <c r="I46" s="16">
        <f>IF(C46="","N/A",IF(G46=0,"Unpaid",IF(G46&lt;D46,"Partial","Paid")))</f>
        <v/>
      </c>
      <c r="J46" s="18">
        <f>IF(I46="Paid",0,IF(I46="Partial",2,5))</f>
        <v/>
      </c>
      <c r="K46" s="19">
        <f>IFERROR(MIN(H46*0.05,500),0)</f>
        <v/>
      </c>
      <c r="L46" s="19">
        <f>H46+K46</f>
        <v/>
      </c>
      <c r="M46" s="16" t="inlineStr">
        <is>
          <t>Bank Transfer</t>
        </is>
      </c>
      <c r="N46" s="16" t="inlineStr">
        <is>
          <t>RCP-1033</t>
        </is>
      </c>
      <c r="O46" s="16" t="inlineStr"/>
    </row>
    <row r="47" ht="22" customHeight="1">
      <c r="B47" s="11" t="inlineStr">
        <is>
          <t>C-208</t>
        </is>
      </c>
      <c r="C47" s="11" t="inlineStr">
        <is>
          <t>Waqar Ahmed</t>
        </is>
      </c>
      <c r="D47" s="14" t="n">
        <v>3700</v>
      </c>
      <c r="E47" s="15" t="n">
        <v>45748</v>
      </c>
      <c r="F47" s="15" t="n">
        <v>45748</v>
      </c>
      <c r="G47" s="14" t="n">
        <v>3700</v>
      </c>
      <c r="H47" s="14">
        <f>D47-G47</f>
        <v/>
      </c>
      <c r="I47" s="11">
        <f>IF(C47="","N/A",IF(G47=0,"Unpaid",IF(G47&lt;D47,"Partial","Paid")))</f>
        <v/>
      </c>
      <c r="J47" s="13">
        <f>IF(I47="Paid",0,IF(I47="Partial",2,5))</f>
        <v/>
      </c>
      <c r="K47" s="14">
        <f>IFERROR(MIN(H47*0.05,500),0)</f>
        <v/>
      </c>
      <c r="L47" s="14">
        <f>H47+K47</f>
        <v/>
      </c>
      <c r="M47" s="11" t="inlineStr">
        <is>
          <t>Cheque</t>
        </is>
      </c>
      <c r="N47" s="11" t="inlineStr">
        <is>
          <t>RCP-1034</t>
        </is>
      </c>
      <c r="O47" s="11" t="inlineStr"/>
    </row>
    <row r="48" ht="22" customHeight="1">
      <c r="B48" s="16" t="inlineStr">
        <is>
          <t>C-301</t>
        </is>
      </c>
      <c r="C48" s="16" t="inlineStr">
        <is>
          <t>Neeta Joshi</t>
        </is>
      </c>
      <c r="D48" s="19" t="n">
        <v>5000</v>
      </c>
      <c r="E48" s="20" t="n">
        <v>45748</v>
      </c>
      <c r="F48" s="20" t="inlineStr"/>
      <c r="G48" s="19" t="n">
        <v>0</v>
      </c>
      <c r="H48" s="19">
        <f>D48-G48</f>
        <v/>
      </c>
      <c r="I48" s="16">
        <f>IF(C48="","N/A",IF(G48=0,"Unpaid",IF(G48&lt;D48,"Partial","Paid")))</f>
        <v/>
      </c>
      <c r="J48" s="18">
        <f>IF(I48="Paid",0,IF(I48="Partial",2,5))</f>
        <v/>
      </c>
      <c r="K48" s="19">
        <f>IFERROR(MIN(H48*0.05,500),0)</f>
        <v/>
      </c>
      <c r="L48" s="19">
        <f>H48+K48</f>
        <v/>
      </c>
      <c r="M48" s="16" t="inlineStr">
        <is>
          <t>Cash</t>
        </is>
      </c>
      <c r="N48" s="16" t="inlineStr"/>
      <c r="O48" s="16" t="inlineStr">
        <is>
          <t>Follow up immediately</t>
        </is>
      </c>
    </row>
    <row r="49" ht="22" customHeight="1">
      <c r="B49" s="11" t="inlineStr">
        <is>
          <t>C-302</t>
        </is>
      </c>
      <c r="C49" s="11" t="inlineStr">
        <is>
          <t>Bilal Siddiqui</t>
        </is>
      </c>
      <c r="D49" s="14" t="n">
        <v>5500</v>
      </c>
      <c r="E49" s="15" t="n">
        <v>45748</v>
      </c>
      <c r="F49" s="15" t="n">
        <v>45750</v>
      </c>
      <c r="G49" s="14" t="n">
        <v>5500</v>
      </c>
      <c r="H49" s="14">
        <f>D49-G49</f>
        <v/>
      </c>
      <c r="I49" s="11">
        <f>IF(C49="","N/A",IF(G49=0,"Unpaid",IF(G49&lt;D49,"Partial","Paid")))</f>
        <v/>
      </c>
      <c r="J49" s="13">
        <f>IF(I49="Paid",0,IF(I49="Partial",2,5))</f>
        <v/>
      </c>
      <c r="K49" s="14">
        <f>IFERROR(MIN(H49*0.05,500),0)</f>
        <v/>
      </c>
      <c r="L49" s="14">
        <f>H49+K49</f>
        <v/>
      </c>
      <c r="M49" s="11" t="inlineStr">
        <is>
          <t>Bank Transfer</t>
        </is>
      </c>
      <c r="N49" s="11" t="inlineStr">
        <is>
          <t>RCP-1035</t>
        </is>
      </c>
      <c r="O49" s="11" t="inlineStr"/>
    </row>
    <row r="50" ht="22" customHeight="1">
      <c r="B50" s="16" t="inlineStr">
        <is>
          <t>D-101</t>
        </is>
      </c>
      <c r="C50" s="16" t="inlineStr">
        <is>
          <t>Priya Nair</t>
        </is>
      </c>
      <c r="D50" s="19" t="n">
        <v>2450</v>
      </c>
      <c r="E50" s="20" t="n">
        <v>45748</v>
      </c>
      <c r="F50" s="20" t="n">
        <v>45751</v>
      </c>
      <c r="G50" s="19" t="n">
        <v>2450</v>
      </c>
      <c r="H50" s="19">
        <f>D50-G50</f>
        <v/>
      </c>
      <c r="I50" s="16">
        <f>IF(C50="","N/A",IF(G50=0,"Unpaid",IF(G50&lt;D50,"Partial","Paid")))</f>
        <v/>
      </c>
      <c r="J50" s="18">
        <f>IF(I50="Paid",0,IF(I50="Partial",2,5))</f>
        <v/>
      </c>
      <c r="K50" s="19">
        <f>IFERROR(MIN(H50*0.05,500),0)</f>
        <v/>
      </c>
      <c r="L50" s="19">
        <f>H50+K50</f>
        <v/>
      </c>
      <c r="M50" s="16" t="inlineStr">
        <is>
          <t>Cheque</t>
        </is>
      </c>
      <c r="N50" s="16" t="inlineStr">
        <is>
          <t>RCP-1036</t>
        </is>
      </c>
      <c r="O50" s="16" t="inlineStr"/>
    </row>
    <row r="51" ht="22" customHeight="1">
      <c r="B51" s="11" t="inlineStr">
        <is>
          <t>D-102</t>
        </is>
      </c>
      <c r="C51" s="11" t="inlineStr">
        <is>
          <t>Faisal Rahman</t>
        </is>
      </c>
      <c r="D51" s="14" t="n">
        <v>2500</v>
      </c>
      <c r="E51" s="15" t="n">
        <v>45748</v>
      </c>
      <c r="F51" s="15" t="n">
        <v>45748</v>
      </c>
      <c r="G51" s="14" t="n">
        <v>2500</v>
      </c>
      <c r="H51" s="14">
        <f>D51-G51</f>
        <v/>
      </c>
      <c r="I51" s="11">
        <f>IF(C51="","N/A",IF(G51=0,"Unpaid",IF(G51&lt;D51,"Partial","Paid")))</f>
        <v/>
      </c>
      <c r="J51" s="13">
        <f>IF(I51="Paid",0,IF(I51="Partial",2,5))</f>
        <v/>
      </c>
      <c r="K51" s="14">
        <f>IFERROR(MIN(H51*0.05,500),0)</f>
        <v/>
      </c>
      <c r="L51" s="14">
        <f>H51+K51</f>
        <v/>
      </c>
      <c r="M51" s="11" t="inlineStr">
        <is>
          <t>Cash</t>
        </is>
      </c>
      <c r="N51" s="11" t="inlineStr">
        <is>
          <t>RCP-1037</t>
        </is>
      </c>
      <c r="O51" s="11" t="inlineStr"/>
    </row>
    <row r="52" ht="22" customHeight="1">
      <c r="B52" s="16" t="inlineStr">
        <is>
          <t>D-103</t>
        </is>
      </c>
      <c r="C52" s="16" t="inlineStr">
        <is>
          <t>Anita Desai</t>
        </is>
      </c>
      <c r="D52" s="19" t="n">
        <v>2600</v>
      </c>
      <c r="E52" s="20" t="n">
        <v>45748</v>
      </c>
      <c r="F52" s="20" t="n">
        <v>45750</v>
      </c>
      <c r="G52" s="19" t="n">
        <v>1690</v>
      </c>
      <c r="H52" s="19">
        <f>D52-G52</f>
        <v/>
      </c>
      <c r="I52" s="16">
        <f>IF(C52="","N/A",IF(G52=0,"Unpaid",IF(G52&lt;D52,"Partial","Paid")))</f>
        <v/>
      </c>
      <c r="J52" s="18">
        <f>IF(I52="Paid",0,IF(I52="Partial",2,5))</f>
        <v/>
      </c>
      <c r="K52" s="19">
        <f>IFERROR(MIN(H52*0.05,500),0)</f>
        <v/>
      </c>
      <c r="L52" s="19">
        <f>H52+K52</f>
        <v/>
      </c>
      <c r="M52" s="16" t="inlineStr">
        <is>
          <t>Bank Transfer</t>
        </is>
      </c>
      <c r="N52" s="16" t="inlineStr">
        <is>
          <t>RCP-1038</t>
        </is>
      </c>
      <c r="O52" s="16" t="inlineStr">
        <is>
          <t>Partial payment received</t>
        </is>
      </c>
    </row>
    <row r="53" ht="22" customHeight="1">
      <c r="B53" s="11" t="inlineStr">
        <is>
          <t>D-104</t>
        </is>
      </c>
      <c r="C53" s="11" t="inlineStr">
        <is>
          <t>Karim Othman</t>
        </is>
      </c>
      <c r="D53" s="14" t="n">
        <v>2700</v>
      </c>
      <c r="E53" s="15" t="n">
        <v>45748</v>
      </c>
      <c r="F53" s="15" t="n">
        <v>45750</v>
      </c>
      <c r="G53" s="14" t="n">
        <v>2700</v>
      </c>
      <c r="H53" s="14">
        <f>D53-G53</f>
        <v/>
      </c>
      <c r="I53" s="11">
        <f>IF(C53="","N/A",IF(G53=0,"Unpaid",IF(G53&lt;D53,"Partial","Paid")))</f>
        <v/>
      </c>
      <c r="J53" s="13">
        <f>IF(I53="Paid",0,IF(I53="Partial",2,5))</f>
        <v/>
      </c>
      <c r="K53" s="14">
        <f>IFERROR(MIN(H53*0.05,500),0)</f>
        <v/>
      </c>
      <c r="L53" s="14">
        <f>H53+K53</f>
        <v/>
      </c>
      <c r="M53" s="11" t="inlineStr">
        <is>
          <t>Bank Transfer</t>
        </is>
      </c>
      <c r="N53" s="11" t="inlineStr">
        <is>
          <t>RCP-1039</t>
        </is>
      </c>
      <c r="O53" s="11" t="inlineStr"/>
    </row>
    <row r="54" ht="22" customHeight="1">
      <c r="B54" s="16" t="inlineStr">
        <is>
          <t>D-201</t>
        </is>
      </c>
      <c r="C54" s="16" t="inlineStr">
        <is>
          <t>Ramesh Iyer</t>
        </is>
      </c>
      <c r="D54" s="19" t="n">
        <v>3900</v>
      </c>
      <c r="E54" s="20" t="n">
        <v>45748</v>
      </c>
      <c r="F54" s="20" t="n">
        <v>45751</v>
      </c>
      <c r="G54" s="19" t="n">
        <v>3900</v>
      </c>
      <c r="H54" s="19">
        <f>D54-G54</f>
        <v/>
      </c>
      <c r="I54" s="16">
        <f>IF(C54="","N/A",IF(G54=0,"Unpaid",IF(G54&lt;D54,"Partial","Paid")))</f>
        <v/>
      </c>
      <c r="J54" s="18">
        <f>IF(I54="Paid",0,IF(I54="Partial",2,5))</f>
        <v/>
      </c>
      <c r="K54" s="19">
        <f>IFERROR(MIN(H54*0.05,500),0)</f>
        <v/>
      </c>
      <c r="L54" s="19">
        <f>H54+K54</f>
        <v/>
      </c>
      <c r="M54" s="16" t="inlineStr">
        <is>
          <t>Cheque</t>
        </is>
      </c>
      <c r="N54" s="16" t="inlineStr">
        <is>
          <t>RCP-1040</t>
        </is>
      </c>
      <c r="O54" s="16" t="inlineStr"/>
    </row>
    <row r="55" ht="22" customHeight="1">
      <c r="B55" s="11" t="inlineStr">
        <is>
          <t>D-202</t>
        </is>
      </c>
      <c r="C55" s="11" t="inlineStr">
        <is>
          <t>Salma Khatoon</t>
        </is>
      </c>
      <c r="D55" s="14" t="n">
        <v>4100</v>
      </c>
      <c r="E55" s="15" t="n">
        <v>45748</v>
      </c>
      <c r="F55" s="15" t="inlineStr"/>
      <c r="G55" s="14" t="n">
        <v>0</v>
      </c>
      <c r="H55" s="14">
        <f>D55-G55</f>
        <v/>
      </c>
      <c r="I55" s="11">
        <f>IF(C55="","N/A",IF(G55=0,"Unpaid",IF(G55&lt;D55,"Partial","Paid")))</f>
        <v/>
      </c>
      <c r="J55" s="13">
        <f>IF(I55="Paid",0,IF(I55="Partial",2,5))</f>
        <v/>
      </c>
      <c r="K55" s="14">
        <f>IFERROR(MIN(H55*0.05,500),0)</f>
        <v/>
      </c>
      <c r="L55" s="14">
        <f>H55+K55</f>
        <v/>
      </c>
      <c r="M55" s="11" t="inlineStr">
        <is>
          <t>Cash</t>
        </is>
      </c>
      <c r="N55" s="11" t="inlineStr"/>
      <c r="O55" s="11" t="inlineStr">
        <is>
          <t>Follow up immediately</t>
        </is>
      </c>
    </row>
    <row r="56" ht="22" customHeight="1">
      <c r="B56" s="16" t="inlineStr">
        <is>
          <t>D-203</t>
        </is>
      </c>
      <c r="C56" s="16" t="inlineStr">
        <is>
          <t>Naveed Akhtar</t>
        </is>
      </c>
      <c r="D56" s="19" t="n">
        <v>3500</v>
      </c>
      <c r="E56" s="20" t="n">
        <v>45748</v>
      </c>
      <c r="F56" s="20" t="n">
        <v>45749</v>
      </c>
      <c r="G56" s="19" t="n">
        <v>3500</v>
      </c>
      <c r="H56" s="19">
        <f>D56-G56</f>
        <v/>
      </c>
      <c r="I56" s="16">
        <f>IF(C56="","N/A",IF(G56=0,"Unpaid",IF(G56&lt;D56,"Partial","Paid")))</f>
        <v/>
      </c>
      <c r="J56" s="18">
        <f>IF(I56="Paid",0,IF(I56="Partial",2,5))</f>
        <v/>
      </c>
      <c r="K56" s="19">
        <f>IFERROR(MIN(H56*0.05,500),0)</f>
        <v/>
      </c>
      <c r="L56" s="19">
        <f>H56+K56</f>
        <v/>
      </c>
      <c r="M56" s="16" t="inlineStr">
        <is>
          <t>Bank Transfer</t>
        </is>
      </c>
      <c r="N56" s="16" t="inlineStr">
        <is>
          <t>RCP-1041</t>
        </is>
      </c>
      <c r="O56" s="16" t="inlineStr"/>
    </row>
    <row r="57" ht="22" customHeight="1">
      <c r="B57" s="11" t="inlineStr">
        <is>
          <t>D-204</t>
        </is>
      </c>
      <c r="C57" s="11" t="inlineStr"/>
      <c r="D57" s="14" t="n">
        <v>3800</v>
      </c>
      <c r="E57" s="15" t="n">
        <v>45748</v>
      </c>
      <c r="F57" s="15" t="inlineStr"/>
      <c r="G57" s="14" t="n">
        <v>0</v>
      </c>
      <c r="H57" s="14">
        <f>D57-G57</f>
        <v/>
      </c>
      <c r="I57" s="11">
        <f>IF(C57="","N/A",IF(G57=0,"Unpaid",IF(G57&lt;D57,"Partial","Paid")))</f>
        <v/>
      </c>
      <c r="J57" s="13">
        <f>IF(I57="Paid",0,IF(I57="Partial",2,5))</f>
        <v/>
      </c>
      <c r="K57" s="14">
        <f>IFERROR(MIN(H57*0.05,500),0)</f>
        <v/>
      </c>
      <c r="L57" s="14">
        <f>H57+K57</f>
        <v/>
      </c>
      <c r="M57" s="11" t="inlineStr"/>
      <c r="N57" s="11" t="inlineStr"/>
      <c r="O57" s="11" t="inlineStr">
        <is>
          <t>Unit Vacant</t>
        </is>
      </c>
    </row>
    <row r="58" ht="22" customHeight="1">
      <c r="B58" s="16" t="inlineStr">
        <is>
          <t>D-S01</t>
        </is>
      </c>
      <c r="C58" s="16" t="inlineStr">
        <is>
          <t>Deepa Menon</t>
        </is>
      </c>
      <c r="D58" s="19" t="n">
        <v>6000</v>
      </c>
      <c r="E58" s="20" t="n">
        <v>45748</v>
      </c>
      <c r="F58" s="20" t="n">
        <v>45750</v>
      </c>
      <c r="G58" s="19" t="n">
        <v>6000</v>
      </c>
      <c r="H58" s="19">
        <f>D58-G58</f>
        <v/>
      </c>
      <c r="I58" s="16">
        <f>IF(C58="","N/A",IF(G58=0,"Unpaid",IF(G58&lt;D58,"Partial","Paid")))</f>
        <v/>
      </c>
      <c r="J58" s="18">
        <f>IF(I58="Paid",0,IF(I58="Partial",2,5))</f>
        <v/>
      </c>
      <c r="K58" s="19">
        <f>IFERROR(MIN(H58*0.05,500),0)</f>
        <v/>
      </c>
      <c r="L58" s="19">
        <f>H58+K58</f>
        <v/>
      </c>
      <c r="M58" s="16" t="inlineStr">
        <is>
          <t>Cheque</t>
        </is>
      </c>
      <c r="N58" s="16" t="inlineStr">
        <is>
          <t>RCP-1042</t>
        </is>
      </c>
      <c r="O58" s="16" t="inlineStr"/>
    </row>
    <row r="59" ht="22" customHeight="1">
      <c r="B59" s="11" t="inlineStr">
        <is>
          <t>D-S02</t>
        </is>
      </c>
      <c r="C59" s="11" t="inlineStr">
        <is>
          <t>Usman Ghani</t>
        </is>
      </c>
      <c r="D59" s="14" t="n">
        <v>8000</v>
      </c>
      <c r="E59" s="15" t="n">
        <v>45748</v>
      </c>
      <c r="F59" s="15" t="n">
        <v>45751</v>
      </c>
      <c r="G59" s="14" t="n">
        <v>8000</v>
      </c>
      <c r="H59" s="14">
        <f>D59-G59</f>
        <v/>
      </c>
      <c r="I59" s="11">
        <f>IF(C59="","N/A",IF(G59=0,"Unpaid",IF(G59&lt;D59,"Partial","Paid")))</f>
        <v/>
      </c>
      <c r="J59" s="13">
        <f>IF(I59="Paid",0,IF(I59="Partial",2,5))</f>
        <v/>
      </c>
      <c r="K59" s="14">
        <f>IFERROR(MIN(H59*0.05,500),0)</f>
        <v/>
      </c>
      <c r="L59" s="14">
        <f>H59+K59</f>
        <v/>
      </c>
      <c r="M59" s="11" t="inlineStr">
        <is>
          <t>Bank Transfer</t>
        </is>
      </c>
      <c r="N59" s="11" t="inlineStr">
        <is>
          <t>RCP-1043</t>
        </is>
      </c>
      <c r="O59" s="11" t="inlineStr"/>
    </row>
    <row r="61">
      <c r="B61" s="25" t="inlineStr">
        <is>
          <t>COLLECTION SUMMARY</t>
        </is>
      </c>
    </row>
    <row r="62">
      <c r="B62" s="26" t="inlineStr">
        <is>
          <t>Total Expected</t>
        </is>
      </c>
      <c r="D62" s="27">
        <f>SUM(D5:D59)</f>
        <v/>
      </c>
    </row>
    <row r="63">
      <c r="B63" s="26" t="inlineStr">
        <is>
          <t>Total Collected</t>
        </is>
      </c>
      <c r="D63" s="27">
        <f>SUM(G5:G59)</f>
        <v/>
      </c>
    </row>
    <row r="64">
      <c r="B64" s="26" t="inlineStr">
        <is>
          <t>Total Outstanding</t>
        </is>
      </c>
      <c r="D64" s="27">
        <f>SUM(H5:H59)</f>
        <v/>
      </c>
    </row>
    <row r="65">
      <c r="B65" s="26" t="inlineStr">
        <is>
          <t>Collection Rate</t>
        </is>
      </c>
      <c r="D65" s="28">
        <f>IFERROR(SUM(G5:G59)/SUM(D5:D59),0)</f>
        <v/>
      </c>
    </row>
    <row r="66">
      <c r="B66" s="26" t="inlineStr">
        <is>
          <t># Paid</t>
        </is>
      </c>
      <c r="D66" s="29">
        <f>COUNTIF(I5:I59,"Paid")</f>
        <v/>
      </c>
    </row>
    <row r="67">
      <c r="B67" s="26" t="inlineStr">
        <is>
          <t># Partial</t>
        </is>
      </c>
      <c r="D67" s="29">
        <f>COUNTIF(I5:I59,"Partial")</f>
        <v/>
      </c>
    </row>
    <row r="68">
      <c r="B68" s="26" t="inlineStr">
        <is>
          <t># Unpaid</t>
        </is>
      </c>
      <c r="D68" s="29">
        <f>COUNTIF(I5:I59,"Unpaid")</f>
        <v/>
      </c>
    </row>
  </sheetData>
  <mergeCells count="9">
    <mergeCell ref="B61:E61"/>
    <mergeCell ref="B68:C68"/>
    <mergeCell ref="B62:C62"/>
    <mergeCell ref="B64:C64"/>
    <mergeCell ref="B2:O2"/>
    <mergeCell ref="B67:C67"/>
    <mergeCell ref="B66:C66"/>
    <mergeCell ref="B63:C63"/>
    <mergeCell ref="B65:C65"/>
  </mergeCells>
  <conditionalFormatting sqref="I5:I59">
    <cfRule type="cellIs" priority="1" operator="equal" dxfId="0">
      <formula>"Paid"</formula>
    </cfRule>
    <cfRule type="cellIs" priority="2" operator="equal" dxfId="2">
      <formula>"Partial"</formula>
    </cfRule>
    <cfRule type="cellIs" priority="3" operator="equal" dxfId="1">
      <formula>"Unpaid"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D4A3E"/>
    <outlinePr summaryBelow="1" summaryRight="1"/>
    <pageSetUpPr/>
  </sheetPr>
  <dimension ref="B2:L1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6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  <col width="16" customWidth="1" min="11" max="11"/>
    <col width="24" customWidth="1" min="12" max="12"/>
  </cols>
  <sheetData>
    <row r="1" ht="15" customHeight="1"/>
    <row r="2" ht="32" customHeight="1">
      <c r="B2" s="30" t="inlineStr">
        <is>
          <t>⚠ Contact all tenants listed here immediately. Send SMS/WhatsApp reminder.</t>
        </is>
      </c>
    </row>
    <row r="3" ht="32" customHeight="1">
      <c r="B3" s="1" t="inlineStr">
        <is>
          <t>Payment Alerts — Tenants Who Haven't Paid by the 5th</t>
        </is>
      </c>
    </row>
    <row r="4" ht="8" customHeight="1"/>
    <row r="5" ht="28" customHeight="1">
      <c r="B5" s="10" t="inlineStr">
        <is>
          <t>Unit ID</t>
        </is>
      </c>
      <c r="C5" s="10" t="inlineStr">
        <is>
          <t>Tenant Name</t>
        </is>
      </c>
      <c r="D5" s="10" t="inlineStr">
        <is>
          <t>Phone</t>
        </is>
      </c>
      <c r="E5" s="10" t="inlineStr">
        <is>
          <t>Monthly Rent</t>
        </is>
      </c>
      <c r="F5" s="10" t="inlineStr">
        <is>
          <t>Due Date</t>
        </is>
      </c>
      <c r="G5" s="10" t="inlineStr">
        <is>
          <t>Days Late</t>
        </is>
      </c>
      <c r="H5" s="10" t="inlineStr">
        <is>
          <t>Late Fee</t>
        </is>
      </c>
      <c r="I5" s="10" t="inlineStr">
        <is>
          <t>Total Due</t>
        </is>
      </c>
      <c r="J5" s="10" t="inlineStr">
        <is>
          <t>SMS Sent?</t>
        </is>
      </c>
      <c r="K5" s="10" t="inlineStr">
        <is>
          <t>Follow-up Date</t>
        </is>
      </c>
      <c r="L5" s="10" t="inlineStr">
        <is>
          <t>Notes</t>
        </is>
      </c>
    </row>
    <row r="6" ht="22" customHeight="1">
      <c r="B6" s="11" t="inlineStr">
        <is>
          <t>A-103</t>
        </is>
      </c>
      <c r="C6" s="11" t="inlineStr">
        <is>
          <t>Fatima Noor</t>
        </is>
      </c>
      <c r="D6" s="11" t="inlineStr">
        <is>
          <t>054-345-6789</t>
        </is>
      </c>
      <c r="E6" s="14" t="n">
        <v>2400</v>
      </c>
      <c r="F6" s="15" t="n">
        <v>45748</v>
      </c>
      <c r="G6" s="13" t="n">
        <v>5</v>
      </c>
      <c r="H6" s="14" t="n">
        <v>120</v>
      </c>
      <c r="I6" s="14" t="n">
        <v>2520</v>
      </c>
      <c r="J6" s="11" t="inlineStr">
        <is>
          <t>No</t>
        </is>
      </c>
      <c r="K6" s="15" t="n">
        <v>45754</v>
      </c>
      <c r="L6" s="11" t="inlineStr">
        <is>
          <t>No response to calls</t>
        </is>
      </c>
    </row>
    <row r="7" ht="22" customHeight="1">
      <c r="B7" s="16" t="inlineStr">
        <is>
          <t>A-110</t>
        </is>
      </c>
      <c r="C7" s="16" t="inlineStr">
        <is>
          <t>Youssef Ibrahim</t>
        </is>
      </c>
      <c r="D7" s="16" t="inlineStr">
        <is>
          <t>055-890-1234</t>
        </is>
      </c>
      <c r="E7" s="19" t="n">
        <v>2550</v>
      </c>
      <c r="F7" s="20" t="n">
        <v>45748</v>
      </c>
      <c r="G7" s="18" t="n">
        <v>2</v>
      </c>
      <c r="H7" s="19" t="n">
        <v>51</v>
      </c>
      <c r="I7" s="19" t="n">
        <v>1071</v>
      </c>
      <c r="J7" s="16" t="inlineStr">
        <is>
          <t>No</t>
        </is>
      </c>
      <c r="K7" s="20" t="n">
        <v>45754</v>
      </c>
      <c r="L7" s="16" t="inlineStr">
        <is>
          <t>Partial payment received</t>
        </is>
      </c>
    </row>
    <row r="8" ht="22" customHeight="1">
      <c r="B8" s="11" t="inlineStr">
        <is>
          <t>A-205</t>
        </is>
      </c>
      <c r="C8" s="11" t="inlineStr">
        <is>
          <t>Hassan Malik</t>
        </is>
      </c>
      <c r="D8" s="11" t="inlineStr">
        <is>
          <t>050-345-6780</t>
        </is>
      </c>
      <c r="E8" s="14" t="n">
        <v>3900</v>
      </c>
      <c r="F8" s="15" t="n">
        <v>45748</v>
      </c>
      <c r="G8" s="13" t="n">
        <v>5</v>
      </c>
      <c r="H8" s="14" t="n">
        <v>195</v>
      </c>
      <c r="I8" s="14" t="n">
        <v>4095</v>
      </c>
      <c r="J8" s="11" t="inlineStr">
        <is>
          <t>Yes</t>
        </is>
      </c>
      <c r="K8" s="15" t="n">
        <v>45754</v>
      </c>
      <c r="L8" s="11" t="inlineStr">
        <is>
          <t>Promised to pay by 10th</t>
        </is>
      </c>
    </row>
    <row r="9" ht="22" customHeight="1">
      <c r="B9" s="16" t="inlineStr">
        <is>
          <t>B-107</t>
        </is>
      </c>
      <c r="C9" s="16" t="inlineStr">
        <is>
          <t>Zainab Khan</t>
        </is>
      </c>
      <c r="D9" s="16" t="inlineStr">
        <is>
          <t>054-901-2340</t>
        </is>
      </c>
      <c r="E9" s="19" t="n">
        <v>2300</v>
      </c>
      <c r="F9" s="20" t="n">
        <v>45748</v>
      </c>
      <c r="G9" s="18" t="n">
        <v>2</v>
      </c>
      <c r="H9" s="19" t="n">
        <v>57.5</v>
      </c>
      <c r="I9" s="19" t="n">
        <v>1207.5</v>
      </c>
      <c r="J9" s="16" t="inlineStr">
        <is>
          <t>Yes</t>
        </is>
      </c>
      <c r="K9" s="20" t="n">
        <v>45754</v>
      </c>
      <c r="L9" s="16" t="inlineStr">
        <is>
          <t>Partial payment received</t>
        </is>
      </c>
    </row>
    <row r="10" ht="22" customHeight="1">
      <c r="B10" s="11" t="inlineStr">
        <is>
          <t>C-101</t>
        </is>
      </c>
      <c r="C10" s="11" t="inlineStr">
        <is>
          <t>Imran Sheikh</t>
        </is>
      </c>
      <c r="D10" s="11" t="inlineStr">
        <is>
          <t>052-666-7788</t>
        </is>
      </c>
      <c r="E10" s="14" t="n">
        <v>2650</v>
      </c>
      <c r="F10" s="15" t="n">
        <v>45748</v>
      </c>
      <c r="G10" s="13" t="n">
        <v>5</v>
      </c>
      <c r="H10" s="14" t="n">
        <v>132.5</v>
      </c>
      <c r="I10" s="14" t="n">
        <v>2782.5</v>
      </c>
      <c r="J10" s="11" t="inlineStr">
        <is>
          <t>No</t>
        </is>
      </c>
      <c r="K10" s="15" t="n">
        <v>45754</v>
      </c>
      <c r="L10" s="11" t="inlineStr">
        <is>
          <t>No response to calls</t>
        </is>
      </c>
    </row>
    <row r="11" ht="22" customHeight="1">
      <c r="B11" s="16" t="inlineStr">
        <is>
          <t>C-204</t>
        </is>
      </c>
      <c r="C11" s="16" t="inlineStr">
        <is>
          <t>Arun Kumar</t>
        </is>
      </c>
      <c r="D11" s="16" t="inlineStr">
        <is>
          <t>052-544-6677</t>
        </is>
      </c>
      <c r="E11" s="19" t="n">
        <v>4150</v>
      </c>
      <c r="F11" s="20" t="n">
        <v>45748</v>
      </c>
      <c r="G11" s="18" t="n">
        <v>2</v>
      </c>
      <c r="H11" s="19" t="n">
        <v>62.25</v>
      </c>
      <c r="I11" s="19" t="n">
        <v>1307.25</v>
      </c>
      <c r="J11" s="16" t="inlineStr">
        <is>
          <t>No</t>
        </is>
      </c>
      <c r="K11" s="20" t="n">
        <v>45754</v>
      </c>
      <c r="L11" s="16" t="inlineStr">
        <is>
          <t>Partial payment received</t>
        </is>
      </c>
    </row>
    <row r="12" ht="22" customHeight="1">
      <c r="B12" s="11" t="inlineStr">
        <is>
          <t>C-301</t>
        </is>
      </c>
      <c r="C12" s="11" t="inlineStr">
        <is>
          <t>Neeta Joshi</t>
        </is>
      </c>
      <c r="D12" s="11" t="inlineStr">
        <is>
          <t>052-988-0011</t>
        </is>
      </c>
      <c r="E12" s="14" t="n">
        <v>5000</v>
      </c>
      <c r="F12" s="15" t="n">
        <v>45748</v>
      </c>
      <c r="G12" s="13" t="n">
        <v>5</v>
      </c>
      <c r="H12" s="14" t="n">
        <v>250</v>
      </c>
      <c r="I12" s="14" t="n">
        <v>5250</v>
      </c>
      <c r="J12" s="11" t="inlineStr">
        <is>
          <t>Yes</t>
        </is>
      </c>
      <c r="K12" s="15" t="n">
        <v>45754</v>
      </c>
      <c r="L12" s="11" t="inlineStr">
        <is>
          <t>Requesting payment plan</t>
        </is>
      </c>
    </row>
    <row r="13" ht="22" customHeight="1">
      <c r="B13" s="16" t="inlineStr">
        <is>
          <t>D-103</t>
        </is>
      </c>
      <c r="C13" s="16" t="inlineStr">
        <is>
          <t>Anita Desai</t>
        </is>
      </c>
      <c r="D13" s="16" t="inlineStr">
        <is>
          <t>052-432-4455</t>
        </is>
      </c>
      <c r="E13" s="19" t="n">
        <v>2600</v>
      </c>
      <c r="F13" s="20" t="n">
        <v>45748</v>
      </c>
      <c r="G13" s="18" t="n">
        <v>2</v>
      </c>
      <c r="H13" s="19" t="n">
        <v>45.5</v>
      </c>
      <c r="I13" s="19" t="n">
        <v>955.5</v>
      </c>
      <c r="J13" s="16" t="inlineStr">
        <is>
          <t>Yes</t>
        </is>
      </c>
      <c r="K13" s="20" t="n">
        <v>45754</v>
      </c>
      <c r="L13" s="16" t="inlineStr">
        <is>
          <t>Partial payment received</t>
        </is>
      </c>
    </row>
    <row r="14" ht="22" customHeight="1">
      <c r="B14" s="11" t="inlineStr">
        <is>
          <t>D-202</t>
        </is>
      </c>
      <c r="C14" s="11" t="inlineStr">
        <is>
          <t>Salma Khatoon</t>
        </is>
      </c>
      <c r="D14" s="11" t="inlineStr">
        <is>
          <t>050-765-7788</t>
        </is>
      </c>
      <c r="E14" s="14" t="n">
        <v>4100</v>
      </c>
      <c r="F14" s="15" t="n">
        <v>45748</v>
      </c>
      <c r="G14" s="13" t="n">
        <v>5</v>
      </c>
      <c r="H14" s="14" t="n">
        <v>205</v>
      </c>
      <c r="I14" s="14" t="n">
        <v>4305</v>
      </c>
      <c r="J14" s="11" t="inlineStr">
        <is>
          <t>No</t>
        </is>
      </c>
      <c r="K14" s="15" t="n">
        <v>45754</v>
      </c>
      <c r="L14" s="11" t="inlineStr">
        <is>
          <t>No response to calls</t>
        </is>
      </c>
    </row>
  </sheetData>
  <mergeCells count="2">
    <mergeCell ref="B2:L2"/>
    <mergeCell ref="B3:L3"/>
  </mergeCells>
  <conditionalFormatting sqref="G6:G14">
    <cfRule type="cellIs" priority="1" operator="greaterThan" dxfId="1">
      <formula>30</formula>
    </cfRule>
    <cfRule type="cellIs" priority="2" operator="greaterThan" dxfId="2">
      <formula>15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D4A3E"/>
    <outlinePr summaryBelow="1" summaryRight="1"/>
    <pageSetUpPr/>
  </sheetPr>
  <dimension ref="B2:M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16" customWidth="1" min="4" max="4"/>
    <col width="26" customWidth="1" min="5" max="5"/>
    <col width="12" customWidth="1" min="6" max="6"/>
    <col width="14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28" customWidth="1" min="13" max="13"/>
  </cols>
  <sheetData>
    <row r="1" ht="15" customHeight="1"/>
    <row r="2" ht="32" customHeight="1">
      <c r="B2" s="1" t="inlineStr">
        <is>
          <t>Maintenance Log &amp; Cost Tracker</t>
        </is>
      </c>
    </row>
    <row r="3" ht="8" customHeight="1"/>
    <row r="4" ht="28" customHeight="1">
      <c r="B4" s="10" t="inlineStr">
        <is>
          <t>Request #</t>
        </is>
      </c>
      <c r="C4" s="10" t="inlineStr">
        <is>
          <t>Date Reported</t>
        </is>
      </c>
      <c r="D4" s="10" t="inlineStr">
        <is>
          <t>Unit/Building</t>
        </is>
      </c>
      <c r="E4" s="10" t="inlineStr">
        <is>
          <t>Issue Description</t>
        </is>
      </c>
      <c r="F4" s="10" t="inlineStr">
        <is>
          <t>Priority</t>
        </is>
      </c>
      <c r="G4" s="10" t="inlineStr">
        <is>
          <t>Status</t>
        </is>
      </c>
      <c r="H4" s="10" t="inlineStr">
        <is>
          <t>Assigned To</t>
        </is>
      </c>
      <c r="I4" s="10" t="inlineStr">
        <is>
          <t>Date Completed</t>
        </is>
      </c>
      <c r="J4" s="10" t="inlineStr">
        <is>
          <t>Estimated Cost</t>
        </is>
      </c>
      <c r="K4" s="10" t="inlineStr">
        <is>
          <t>Actual Cost</t>
        </is>
      </c>
      <c r="L4" s="10" t="inlineStr">
        <is>
          <t>Variance</t>
        </is>
      </c>
      <c r="M4" s="10" t="inlineStr">
        <is>
          <t>Notes</t>
        </is>
      </c>
    </row>
    <row r="5" ht="22" customHeight="1">
      <c r="B5" s="11" t="inlineStr">
        <is>
          <t>MR-001</t>
        </is>
      </c>
      <c r="C5" s="15" t="n">
        <v>45744</v>
      </c>
      <c r="D5" s="11" t="inlineStr">
        <is>
          <t>B-108</t>
        </is>
      </c>
      <c r="E5" s="11" t="inlineStr">
        <is>
          <t>AC not cooling</t>
        </is>
      </c>
      <c r="F5" s="11" t="inlineStr">
        <is>
          <t>Urgent</t>
        </is>
      </c>
      <c r="G5" s="11" t="inlineStr">
        <is>
          <t>Completed</t>
        </is>
      </c>
      <c r="H5" s="11" t="inlineStr">
        <is>
          <t>Al Amal AC Services</t>
        </is>
      </c>
      <c r="I5" s="15" t="n">
        <v>45746</v>
      </c>
      <c r="J5" s="14" t="n">
        <v>350</v>
      </c>
      <c r="K5" s="14" t="n">
        <v>380</v>
      </c>
      <c r="L5" s="11" t="n"/>
      <c r="M5" s="14">
        <f>IFERROR(K5-J5,0)</f>
        <v/>
      </c>
    </row>
    <row r="6" ht="22" customHeight="1">
      <c r="B6" s="16" t="inlineStr">
        <is>
          <t>MR-002</t>
        </is>
      </c>
      <c r="C6" s="20" t="n">
        <v>45745</v>
      </c>
      <c r="D6" s="16" t="inlineStr">
        <is>
          <t>A-103</t>
        </is>
      </c>
      <c r="E6" s="16" t="inlineStr">
        <is>
          <t>Water leak in bathroom</t>
        </is>
      </c>
      <c r="F6" s="16" t="inlineStr">
        <is>
          <t>High</t>
        </is>
      </c>
      <c r="G6" s="16" t="inlineStr">
        <is>
          <t>In Progress</t>
        </is>
      </c>
      <c r="H6" s="16" t="inlineStr">
        <is>
          <t>Al Jazira Plumbing</t>
        </is>
      </c>
      <c r="I6" s="17" t="n"/>
      <c r="J6" s="19" t="n">
        <v>200</v>
      </c>
      <c r="K6" s="31" t="n"/>
      <c r="L6" s="16" t="n"/>
      <c r="M6" s="19">
        <f>IFERROR(K6-J6,0)</f>
        <v/>
      </c>
    </row>
    <row r="7" ht="22" customHeight="1">
      <c r="B7" s="11" t="inlineStr">
        <is>
          <t>MR-003</t>
        </is>
      </c>
      <c r="C7" s="15" t="n">
        <v>45746</v>
      </c>
      <c r="D7" s="11" t="inlineStr">
        <is>
          <t>C-112</t>
        </is>
      </c>
      <c r="E7" s="11" t="inlineStr">
        <is>
          <t>Door lock broken</t>
        </is>
      </c>
      <c r="F7" s="11" t="inlineStr">
        <is>
          <t>Medium</t>
        </is>
      </c>
      <c r="G7" s="11" t="inlineStr">
        <is>
          <t>Open</t>
        </is>
      </c>
      <c r="H7" s="11" t="inlineStr">
        <is>
          <t>Secure Locksmith</t>
        </is>
      </c>
      <c r="I7" s="12" t="n"/>
      <c r="J7" s="14" t="n">
        <v>150</v>
      </c>
      <c r="K7" s="32" t="n"/>
      <c r="L7" s="11" t="n"/>
      <c r="M7" s="14">
        <f>IFERROR(K7-J7,0)</f>
        <v/>
      </c>
    </row>
    <row r="8" ht="22" customHeight="1">
      <c r="B8" s="16" t="inlineStr">
        <is>
          <t>MR-004</t>
        </is>
      </c>
      <c r="C8" s="20" t="n">
        <v>45748</v>
      </c>
      <c r="D8" s="16" t="inlineStr">
        <is>
          <t>A-110</t>
        </is>
      </c>
      <c r="E8" s="16" t="inlineStr">
        <is>
          <t>Paint touch-up needed</t>
        </is>
      </c>
      <c r="F8" s="16" t="inlineStr">
        <is>
          <t>Low</t>
        </is>
      </c>
      <c r="G8" s="16" t="inlineStr">
        <is>
          <t>Completed</t>
        </is>
      </c>
      <c r="H8" s="16" t="inlineStr">
        <is>
          <t>Al Reef Painters</t>
        </is>
      </c>
      <c r="I8" s="20" t="n">
        <v>45750</v>
      </c>
      <c r="J8" s="19" t="n">
        <v>100</v>
      </c>
      <c r="K8" s="19" t="n">
        <v>100</v>
      </c>
      <c r="L8" s="16" t="n"/>
      <c r="M8" s="19">
        <f>IFERROR(K8-J8,0)</f>
        <v/>
      </c>
    </row>
    <row r="9" ht="22" customHeight="1">
      <c r="B9" s="11" t="inlineStr">
        <is>
          <t>MR-005</t>
        </is>
      </c>
      <c r="C9" s="15" t="n">
        <v>45748</v>
      </c>
      <c r="D9" s="11" t="inlineStr">
        <is>
          <t>D-103</t>
        </is>
      </c>
      <c r="E9" s="11" t="inlineStr">
        <is>
          <t>Kitchen pipe blocked</t>
        </is>
      </c>
      <c r="F9" s="11" t="inlineStr">
        <is>
          <t>High</t>
        </is>
      </c>
      <c r="G9" s="11" t="inlineStr">
        <is>
          <t>Completed</t>
        </is>
      </c>
      <c r="H9" s="11" t="inlineStr">
        <is>
          <t>Quick Fix Plumbing</t>
        </is>
      </c>
      <c r="I9" s="15" t="n">
        <v>45749</v>
      </c>
      <c r="J9" s="14" t="n">
        <v>250</v>
      </c>
      <c r="K9" s="14" t="n">
        <v>270</v>
      </c>
      <c r="L9" s="11" t="n"/>
      <c r="M9" s="14">
        <f>IFERROR(K9-J9,0)</f>
        <v/>
      </c>
    </row>
    <row r="10" ht="22" customHeight="1">
      <c r="B10" s="16" t="inlineStr">
        <is>
          <t>MR-006</t>
        </is>
      </c>
      <c r="C10" s="20" t="n">
        <v>45749</v>
      </c>
      <c r="D10" s="16" t="inlineStr">
        <is>
          <t>B-105</t>
        </is>
      </c>
      <c r="E10" s="16" t="inlineStr">
        <is>
          <t>AC filter replacement</t>
        </is>
      </c>
      <c r="F10" s="16" t="inlineStr">
        <is>
          <t>Medium</t>
        </is>
      </c>
      <c r="G10" s="16" t="inlineStr">
        <is>
          <t>Completed</t>
        </is>
      </c>
      <c r="H10" s="16" t="inlineStr">
        <is>
          <t>Cool Air Maintenance</t>
        </is>
      </c>
      <c r="I10" s="20" t="n">
        <v>45750</v>
      </c>
      <c r="J10" s="19" t="n">
        <v>120</v>
      </c>
      <c r="K10" s="19" t="n">
        <v>120</v>
      </c>
      <c r="L10" s="16" t="n"/>
      <c r="M10" s="19">
        <f>IFERROR(K10-J10,0)</f>
        <v/>
      </c>
    </row>
    <row r="11" ht="22" customHeight="1">
      <c r="B11" s="11" t="inlineStr">
        <is>
          <t>MR-007</t>
        </is>
      </c>
      <c r="C11" s="15" t="n">
        <v>45749</v>
      </c>
      <c r="D11" s="11" t="inlineStr">
        <is>
          <t>C-109</t>
        </is>
      </c>
      <c r="E11" s="11" t="inlineStr">
        <is>
          <t>Electrical socket sparking</t>
        </is>
      </c>
      <c r="F11" s="11" t="inlineStr">
        <is>
          <t>Urgent</t>
        </is>
      </c>
      <c r="G11" s="11" t="inlineStr">
        <is>
          <t>Completed</t>
        </is>
      </c>
      <c r="H11" s="11" t="inlineStr">
        <is>
          <t>Safe Wire Electric</t>
        </is>
      </c>
      <c r="I11" s="15" t="n">
        <v>45749</v>
      </c>
      <c r="J11" s="14" t="n">
        <v>180</v>
      </c>
      <c r="K11" s="14" t="n">
        <v>200</v>
      </c>
      <c r="L11" s="11" t="n"/>
      <c r="M11" s="14">
        <f>IFERROR(K11-J11,0)</f>
        <v/>
      </c>
    </row>
    <row r="12" ht="22" customHeight="1">
      <c r="B12" s="16" t="inlineStr">
        <is>
          <t>MR-008</t>
        </is>
      </c>
      <c r="C12" s="20" t="n">
        <v>45750</v>
      </c>
      <c r="D12" s="16" t="inlineStr">
        <is>
          <t>A-106</t>
        </is>
      </c>
      <c r="E12" s="16" t="inlineStr">
        <is>
          <t>Bathroom faucet leak</t>
        </is>
      </c>
      <c r="F12" s="16" t="inlineStr">
        <is>
          <t>Medium</t>
        </is>
      </c>
      <c r="G12" s="16" t="inlineStr">
        <is>
          <t>In Progress</t>
        </is>
      </c>
      <c r="H12" s="16" t="inlineStr">
        <is>
          <t>Al Jazira Plumbing</t>
        </is>
      </c>
      <c r="I12" s="17" t="n"/>
      <c r="J12" s="19" t="n">
        <v>90</v>
      </c>
      <c r="K12" s="31" t="n"/>
      <c r="L12" s="16" t="n"/>
      <c r="M12" s="19">
        <f>IFERROR(K12-J12,0)</f>
        <v/>
      </c>
    </row>
    <row r="13" ht="22" customHeight="1">
      <c r="B13" s="11" t="inlineStr">
        <is>
          <t>MR-009</t>
        </is>
      </c>
      <c r="C13" s="15" t="n">
        <v>45750</v>
      </c>
      <c r="D13" s="11" t="inlineStr">
        <is>
          <t>D-108</t>
        </is>
      </c>
      <c r="E13" s="11" t="inlineStr">
        <is>
          <t>Window glass crack</t>
        </is>
      </c>
      <c r="F13" s="11" t="inlineStr">
        <is>
          <t>High</t>
        </is>
      </c>
      <c r="G13" s="11" t="inlineStr">
        <is>
          <t>Open</t>
        </is>
      </c>
      <c r="H13" s="11" t="inlineStr">
        <is>
          <t>Crystal Glass Works</t>
        </is>
      </c>
      <c r="I13" s="12" t="n"/>
      <c r="J13" s="14" t="n">
        <v>300</v>
      </c>
      <c r="K13" s="32" t="n"/>
      <c r="L13" s="11" t="n"/>
      <c r="M13" s="14">
        <f>IFERROR(K13-J13,0)</f>
        <v/>
      </c>
    </row>
    <row r="14" ht="22" customHeight="1">
      <c r="B14" s="16" t="inlineStr">
        <is>
          <t>MR-010</t>
        </is>
      </c>
      <c r="C14" s="20" t="n">
        <v>45750</v>
      </c>
      <c r="D14" s="16" t="inlineStr">
        <is>
          <t>Building B</t>
        </is>
      </c>
      <c r="E14" s="16" t="inlineStr">
        <is>
          <t>Elevator maintenance</t>
        </is>
      </c>
      <c r="F14" s="16" t="inlineStr">
        <is>
          <t>Medium</t>
        </is>
      </c>
      <c r="G14" s="16" t="inlineStr">
        <is>
          <t>Completed</t>
        </is>
      </c>
      <c r="H14" s="16" t="inlineStr">
        <is>
          <t>Otis Elevators</t>
        </is>
      </c>
      <c r="I14" s="20" t="n">
        <v>45751</v>
      </c>
      <c r="J14" s="19" t="n">
        <v>2500</v>
      </c>
      <c r="K14" s="19" t="n">
        <v>2500</v>
      </c>
      <c r="L14" s="16" t="n"/>
      <c r="M14" s="19">
        <f>IFERROR(K14-J14,0)</f>
        <v/>
      </c>
    </row>
    <row r="15" ht="22" customHeight="1">
      <c r="B15" s="11" t="inlineStr">
        <is>
          <t>MR-011</t>
        </is>
      </c>
      <c r="C15" s="15" t="n">
        <v>45751</v>
      </c>
      <c r="D15" s="11" t="inlineStr">
        <is>
          <t>Building A</t>
        </is>
      </c>
      <c r="E15" s="11" t="inlineStr">
        <is>
          <t>Common area lighting</t>
        </is>
      </c>
      <c r="F15" s="11" t="inlineStr">
        <is>
          <t>Low</t>
        </is>
      </c>
      <c r="G15" s="11" t="inlineStr">
        <is>
          <t>In Progress</t>
        </is>
      </c>
      <c r="H15" s="11" t="inlineStr">
        <is>
          <t>Safe Wire Electric</t>
        </is>
      </c>
      <c r="I15" s="12" t="n"/>
      <c r="J15" s="14" t="n">
        <v>400</v>
      </c>
      <c r="K15" s="32" t="n"/>
      <c r="L15" s="11" t="n"/>
      <c r="M15" s="14">
        <f>IFERROR(K15-J15,0)</f>
        <v/>
      </c>
    </row>
    <row r="16" ht="22" customHeight="1">
      <c r="B16" s="16" t="inlineStr">
        <is>
          <t>MR-012</t>
        </is>
      </c>
      <c r="C16" s="20" t="n">
        <v>45751</v>
      </c>
      <c r="D16" s="16" t="inlineStr">
        <is>
          <t>Building C</t>
        </is>
      </c>
      <c r="E16" s="16" t="inlineStr">
        <is>
          <t>Pest control treatment</t>
        </is>
      </c>
      <c r="F16" s="16" t="inlineStr">
        <is>
          <t>Medium</t>
        </is>
      </c>
      <c r="G16" s="16" t="inlineStr">
        <is>
          <t>Completed</t>
        </is>
      </c>
      <c r="H16" s="16" t="inlineStr">
        <is>
          <t>Al Reef Pest Control</t>
        </is>
      </c>
      <c r="I16" s="20" t="n">
        <v>45752</v>
      </c>
      <c r="J16" s="19" t="n">
        <v>800</v>
      </c>
      <c r="K16" s="19" t="n">
        <v>800</v>
      </c>
      <c r="L16" s="16" t="n"/>
      <c r="M16" s="19">
        <f>IFERROR(K16-J16,0)</f>
        <v/>
      </c>
    </row>
    <row r="17" ht="22" customHeight="1">
      <c r="B17" s="11" t="inlineStr">
        <is>
          <t>MR-013</t>
        </is>
      </c>
      <c r="C17" s="15" t="n">
        <v>45751</v>
      </c>
      <c r="D17" s="11" t="inlineStr">
        <is>
          <t>Building D</t>
        </is>
      </c>
      <c r="E17" s="11" t="inlineStr">
        <is>
          <t>Roof waterproofing</t>
        </is>
      </c>
      <c r="F17" s="11" t="inlineStr">
        <is>
          <t>High</t>
        </is>
      </c>
      <c r="G17" s="11" t="inlineStr">
        <is>
          <t>In Progress</t>
        </is>
      </c>
      <c r="H17" s="11" t="inlineStr">
        <is>
          <t>Al Shamil Waterproofing</t>
        </is>
      </c>
      <c r="I17" s="12" t="n"/>
      <c r="J17" s="14" t="n">
        <v>3500</v>
      </c>
      <c r="K17" s="32" t="n"/>
      <c r="L17" s="11" t="n"/>
      <c r="M17" s="14">
        <f>IFERROR(K17-J17,0)</f>
        <v/>
      </c>
    </row>
    <row r="18" ht="22" customHeight="1">
      <c r="B18" s="16" t="inlineStr">
        <is>
          <t>MR-014</t>
        </is>
      </c>
      <c r="C18" s="20" t="n">
        <v>45752</v>
      </c>
      <c r="D18" s="16" t="inlineStr">
        <is>
          <t>Building A</t>
        </is>
      </c>
      <c r="E18" s="16" t="inlineStr">
        <is>
          <t>Intercom system repair</t>
        </is>
      </c>
      <c r="F18" s="16" t="inlineStr">
        <is>
          <t>Medium</t>
        </is>
      </c>
      <c r="G18" s="16" t="inlineStr">
        <is>
          <t>Open</t>
        </is>
      </c>
      <c r="H18" s="16" t="inlineStr">
        <is>
          <t>Secure Comm Tech</t>
        </is>
      </c>
      <c r="I18" s="17" t="n"/>
      <c r="J18" s="19" t="n">
        <v>600</v>
      </c>
      <c r="K18" s="31" t="n"/>
      <c r="L18" s="16" t="n"/>
      <c r="M18" s="19">
        <f>IFERROR(K18-J18,0)</f>
        <v/>
      </c>
    </row>
    <row r="19" ht="22" customHeight="1">
      <c r="B19" s="11" t="inlineStr">
        <is>
          <t>MR-015</t>
        </is>
      </c>
      <c r="C19" s="15" t="n">
        <v>45752</v>
      </c>
      <c r="D19" s="11" t="inlineStr">
        <is>
          <t>All Buildings</t>
        </is>
      </c>
      <c r="E19" s="11" t="inlineStr">
        <is>
          <t>Parking area cleaning</t>
        </is>
      </c>
      <c r="F19" s="11" t="inlineStr">
        <is>
          <t>Low</t>
        </is>
      </c>
      <c r="G19" s="11" t="inlineStr">
        <is>
          <t>Completed</t>
        </is>
      </c>
      <c r="H19" s="11" t="inlineStr">
        <is>
          <t>Al Reef Cleaning</t>
        </is>
      </c>
      <c r="I19" s="15" t="n">
        <v>45752</v>
      </c>
      <c r="J19" s="14" t="n">
        <v>500</v>
      </c>
      <c r="K19" s="14" t="n">
        <v>500</v>
      </c>
      <c r="L19" s="11" t="n"/>
      <c r="M19" s="14">
        <f>IFERROR(K19-J19,0)</f>
        <v/>
      </c>
    </row>
    <row r="20" ht="26" customHeight="1">
      <c r="B20" s="22" t="inlineStr">
        <is>
          <t>TOTAL</t>
        </is>
      </c>
      <c r="C20" s="22" t="n"/>
      <c r="D20" s="22" t="n"/>
      <c r="E20" s="22" t="n"/>
      <c r="F20" s="22" t="n"/>
      <c r="G20" s="22" t="n"/>
      <c r="H20" s="22" t="n"/>
      <c r="I20" s="22" t="n"/>
      <c r="J20" s="24">
        <f>SUM(J5:J19)</f>
        <v/>
      </c>
      <c r="K20" s="24">
        <f>SUM(K5:K19)</f>
        <v/>
      </c>
      <c r="L20" s="24">
        <f>SUM(L5:L19)</f>
        <v/>
      </c>
      <c r="M20" s="22" t="n"/>
    </row>
  </sheetData>
  <mergeCells count="1">
    <mergeCell ref="B2:M2"/>
  </mergeCells>
  <conditionalFormatting sqref="F5:F19">
    <cfRule type="cellIs" priority="1" operator="equal" dxfId="1">
      <formula>"Urgent"</formula>
    </cfRule>
    <cfRule type="cellIs" priority="2" operator="equal" dxfId="2">
      <formula>"High"</formula>
    </cfRule>
  </conditionalFormatting>
  <conditionalFormatting sqref="G5:G19">
    <cfRule type="cellIs" priority="3" operator="equal" dxfId="1">
      <formula>"Open"</formula>
    </cfRule>
    <cfRule type="cellIs" priority="4" operator="equal" dxfId="2">
      <formula>"In Progress"</formula>
    </cfRule>
    <cfRule type="cellIs" priority="5" operator="equal" dxfId="0">
      <formula>"Completed"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D4A3E"/>
    <outlinePr summaryBelow="1" summaryRight="1"/>
    <pageSetUpPr/>
  </sheetPr>
  <dimension ref="B2:J5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18" customWidth="1" min="4" max="4"/>
    <col width="30" customWidth="1" min="5" max="5"/>
    <col width="22" customWidth="1" min="6" max="6"/>
    <col width="14" customWidth="1" min="7" max="7"/>
    <col width="16" customWidth="1" min="8" max="8"/>
    <col width="14" customWidth="1" min="9" max="9"/>
    <col width="24" customWidth="1" min="10" max="10"/>
  </cols>
  <sheetData>
    <row r="1" ht="15" customHeight="1"/>
    <row r="2" ht="32" customHeight="1">
      <c r="B2" s="1" t="inlineStr">
        <is>
          <t>Operating Expenses — April 2025</t>
        </is>
      </c>
    </row>
    <row r="3" ht="8" customHeight="1"/>
    <row r="4" ht="28" customHeight="1">
      <c r="B4" s="10" t="inlineStr">
        <is>
          <t>#</t>
        </is>
      </c>
      <c r="C4" s="10" t="inlineStr">
        <is>
          <t>Date</t>
        </is>
      </c>
      <c r="D4" s="10" t="inlineStr">
        <is>
          <t>Category</t>
        </is>
      </c>
      <c r="E4" s="10" t="inlineStr">
        <is>
          <t>Description</t>
        </is>
      </c>
      <c r="F4" s="10" t="inlineStr">
        <is>
          <t>Vendor/Payee</t>
        </is>
      </c>
      <c r="G4" s="10" t="inlineStr">
        <is>
          <t>Amount</t>
        </is>
      </c>
      <c r="H4" s="10" t="inlineStr">
        <is>
          <t>Payment Method</t>
        </is>
      </c>
      <c r="I4" s="10" t="inlineStr">
        <is>
          <t>Reference</t>
        </is>
      </c>
      <c r="J4" s="10" t="inlineStr">
        <is>
          <t>Notes</t>
        </is>
      </c>
    </row>
    <row r="5" ht="22" customHeight="1">
      <c r="B5" s="11" t="n">
        <v>1</v>
      </c>
      <c r="C5" s="15" t="n">
        <v>45748</v>
      </c>
      <c r="D5" s="11" t="inlineStr">
        <is>
          <t>Manpower</t>
        </is>
      </c>
      <c r="E5" s="11" t="inlineStr">
        <is>
          <t>Security Guard — Building A &amp; B</t>
        </is>
      </c>
      <c r="F5" s="11" t="inlineStr">
        <is>
          <t>Al Ameen Security</t>
        </is>
      </c>
      <c r="G5" s="14" t="n">
        <v>3500</v>
      </c>
      <c r="H5" s="11" t="inlineStr">
        <is>
          <t>Bank Transfer</t>
        </is>
      </c>
      <c r="I5" s="11" t="inlineStr">
        <is>
          <t>PAY-0401</t>
        </is>
      </c>
      <c r="J5" s="11" t="inlineStr">
        <is>
          <t>Monthly salary</t>
        </is>
      </c>
    </row>
    <row r="6" ht="22" customHeight="1">
      <c r="B6" s="16" t="n">
        <v>2</v>
      </c>
      <c r="C6" s="20" t="n">
        <v>45748</v>
      </c>
      <c r="D6" s="16" t="inlineStr">
        <is>
          <t>Manpower</t>
        </is>
      </c>
      <c r="E6" s="16" t="inlineStr">
        <is>
          <t>Security Guard — Building C &amp; D</t>
        </is>
      </c>
      <c r="F6" s="16" t="inlineStr">
        <is>
          <t>Al Ameen Security</t>
        </is>
      </c>
      <c r="G6" s="19" t="n">
        <v>3500</v>
      </c>
      <c r="H6" s="16" t="inlineStr">
        <is>
          <t>Bank Transfer</t>
        </is>
      </c>
      <c r="I6" s="16" t="inlineStr">
        <is>
          <t>PAY-0402</t>
        </is>
      </c>
      <c r="J6" s="16" t="inlineStr">
        <is>
          <t>Monthly salary</t>
        </is>
      </c>
    </row>
    <row r="7" ht="22" customHeight="1">
      <c r="B7" s="11" t="n">
        <v>3</v>
      </c>
      <c r="C7" s="15" t="n">
        <v>45748</v>
      </c>
      <c r="D7" s="11" t="inlineStr">
        <is>
          <t>Manpower</t>
        </is>
      </c>
      <c r="E7" s="11" t="inlineStr">
        <is>
          <t>Security Guard — Night Shift</t>
        </is>
      </c>
      <c r="F7" s="11" t="inlineStr">
        <is>
          <t>Al Ameen Security</t>
        </is>
      </c>
      <c r="G7" s="14" t="n">
        <v>3500</v>
      </c>
      <c r="H7" s="11" t="inlineStr">
        <is>
          <t>Bank Transfer</t>
        </is>
      </c>
      <c r="I7" s="11" t="inlineStr">
        <is>
          <t>PAY-0403</t>
        </is>
      </c>
      <c r="J7" s="11" t="inlineStr">
        <is>
          <t>Monthly salary</t>
        </is>
      </c>
    </row>
    <row r="8" ht="22" customHeight="1">
      <c r="B8" s="16" t="n">
        <v>4</v>
      </c>
      <c r="C8" s="20" t="n">
        <v>45748</v>
      </c>
      <c r="D8" s="16" t="inlineStr">
        <is>
          <t>Manpower</t>
        </is>
      </c>
      <c r="E8" s="16" t="inlineStr">
        <is>
          <t>Cleaner — Building A &amp; B</t>
        </is>
      </c>
      <c r="F8" s="16" t="inlineStr">
        <is>
          <t>Al Reef Services</t>
        </is>
      </c>
      <c r="G8" s="19" t="n">
        <v>2500</v>
      </c>
      <c r="H8" s="16" t="inlineStr">
        <is>
          <t>Bank Transfer</t>
        </is>
      </c>
      <c r="I8" s="16" t="inlineStr">
        <is>
          <t>PAY-0404</t>
        </is>
      </c>
      <c r="J8" s="16" t="inlineStr">
        <is>
          <t>Monthly salary</t>
        </is>
      </c>
    </row>
    <row r="9" ht="22" customHeight="1">
      <c r="B9" s="11" t="n">
        <v>5</v>
      </c>
      <c r="C9" s="15" t="n">
        <v>45748</v>
      </c>
      <c r="D9" s="11" t="inlineStr">
        <is>
          <t>Manpower</t>
        </is>
      </c>
      <c r="E9" s="11" t="inlineStr">
        <is>
          <t>Cleaner — Building C &amp; D</t>
        </is>
      </c>
      <c r="F9" s="11" t="inlineStr">
        <is>
          <t>Al Reef Services</t>
        </is>
      </c>
      <c r="G9" s="14" t="n">
        <v>2500</v>
      </c>
      <c r="H9" s="11" t="inlineStr">
        <is>
          <t>Bank Transfer</t>
        </is>
      </c>
      <c r="I9" s="11" t="inlineStr">
        <is>
          <t>PAY-0405</t>
        </is>
      </c>
      <c r="J9" s="11" t="inlineStr">
        <is>
          <t>Monthly salary</t>
        </is>
      </c>
    </row>
    <row r="10" ht="22" customHeight="1">
      <c r="B10" s="16" t="n">
        <v>6</v>
      </c>
      <c r="C10" s="20" t="n">
        <v>45748</v>
      </c>
      <c r="D10" s="16" t="inlineStr">
        <is>
          <t>Manpower</t>
        </is>
      </c>
      <c r="E10" s="16" t="inlineStr">
        <is>
          <t>Building Supervisor</t>
        </is>
      </c>
      <c r="F10" s="16" t="inlineStr">
        <is>
          <t>Ahmad Al Rashid</t>
        </is>
      </c>
      <c r="G10" s="19" t="n">
        <v>4500</v>
      </c>
      <c r="H10" s="16" t="inlineStr">
        <is>
          <t>Bank Transfer</t>
        </is>
      </c>
      <c r="I10" s="16" t="inlineStr">
        <is>
          <t>PAY-0406</t>
        </is>
      </c>
      <c r="J10" s="16" t="inlineStr">
        <is>
          <t>Monthly salary</t>
        </is>
      </c>
    </row>
    <row r="11" ht="22" customHeight="1">
      <c r="B11" s="11" t="n">
        <v>7</v>
      </c>
      <c r="C11" s="15" t="n">
        <v>45748</v>
      </c>
      <c r="D11" s="11" t="inlineStr">
        <is>
          <t>Manpower</t>
        </is>
      </c>
      <c r="E11" s="11" t="inlineStr">
        <is>
          <t>Receptionist/Admin</t>
        </is>
      </c>
      <c r="F11" s="11" t="inlineStr">
        <is>
          <t>Fatima Al Suwaidi</t>
        </is>
      </c>
      <c r="G11" s="14" t="n">
        <v>3000</v>
      </c>
      <c r="H11" s="11" t="inlineStr">
        <is>
          <t>Bank Transfer</t>
        </is>
      </c>
      <c r="I11" s="11" t="inlineStr">
        <is>
          <t>PAY-0407</t>
        </is>
      </c>
      <c r="J11" s="11" t="inlineStr">
        <is>
          <t>Monthly salary</t>
        </is>
      </c>
    </row>
    <row r="12" ht="22" customHeight="1">
      <c r="B12" s="16" t="n">
        <v>8</v>
      </c>
      <c r="C12" s="20" t="n">
        <v>45749</v>
      </c>
      <c r="D12" s="16" t="inlineStr">
        <is>
          <t>Municipality Fees</t>
        </is>
      </c>
      <c r="E12" s="16" t="inlineStr">
        <is>
          <t>Ajman Municipality — Building A</t>
        </is>
      </c>
      <c r="F12" s="16" t="inlineStr">
        <is>
          <t>Ajman Municipality</t>
        </is>
      </c>
      <c r="G12" s="19" t="n">
        <v>2250</v>
      </c>
      <c r="H12" s="16" t="inlineStr">
        <is>
          <t>Bank Transfer</t>
        </is>
      </c>
      <c r="I12" s="16" t="inlineStr">
        <is>
          <t>MUN-0401</t>
        </is>
      </c>
      <c r="J12" s="16" t="inlineStr">
        <is>
          <t>5% of rental income</t>
        </is>
      </c>
    </row>
    <row r="13" ht="22" customHeight="1">
      <c r="B13" s="11" t="n">
        <v>9</v>
      </c>
      <c r="C13" s="15" t="n">
        <v>45749</v>
      </c>
      <c r="D13" s="11" t="inlineStr">
        <is>
          <t>Municipality Fees</t>
        </is>
      </c>
      <c r="E13" s="11" t="inlineStr">
        <is>
          <t>Ajman Municipality — Building B</t>
        </is>
      </c>
      <c r="F13" s="11" t="inlineStr">
        <is>
          <t>Ajman Municipality</t>
        </is>
      </c>
      <c r="G13" s="14" t="n">
        <v>2100</v>
      </c>
      <c r="H13" s="11" t="inlineStr">
        <is>
          <t>Bank Transfer</t>
        </is>
      </c>
      <c r="I13" s="11" t="inlineStr">
        <is>
          <t>MUN-0402</t>
        </is>
      </c>
      <c r="J13" s="11" t="inlineStr">
        <is>
          <t>5% of rental income</t>
        </is>
      </c>
    </row>
    <row r="14" ht="22" customHeight="1">
      <c r="B14" s="16" t="n">
        <v>10</v>
      </c>
      <c r="C14" s="20" t="n">
        <v>45749</v>
      </c>
      <c r="D14" s="16" t="inlineStr">
        <is>
          <t>Municipality Fees</t>
        </is>
      </c>
      <c r="E14" s="16" t="inlineStr">
        <is>
          <t>Ajman Municipality — Building C</t>
        </is>
      </c>
      <c r="F14" s="16" t="inlineStr">
        <is>
          <t>Ajman Municipality</t>
        </is>
      </c>
      <c r="G14" s="19" t="n">
        <v>2350</v>
      </c>
      <c r="H14" s="16" t="inlineStr">
        <is>
          <t>Bank Transfer</t>
        </is>
      </c>
      <c r="I14" s="16" t="inlineStr">
        <is>
          <t>MUN-0403</t>
        </is>
      </c>
      <c r="J14" s="16" t="inlineStr">
        <is>
          <t>5% of rental income</t>
        </is>
      </c>
    </row>
    <row r="15" ht="22" customHeight="1">
      <c r="B15" s="11" t="n">
        <v>11</v>
      </c>
      <c r="C15" s="15" t="n">
        <v>45749</v>
      </c>
      <c r="D15" s="11" t="inlineStr">
        <is>
          <t>Municipality Fees</t>
        </is>
      </c>
      <c r="E15" s="11" t="inlineStr">
        <is>
          <t>Ajman Municipality — Building D</t>
        </is>
      </c>
      <c r="F15" s="11" t="inlineStr">
        <is>
          <t>Ajman Municipality</t>
        </is>
      </c>
      <c r="G15" s="14" t="n">
        <v>1800</v>
      </c>
      <c r="H15" s="11" t="inlineStr">
        <is>
          <t>Bank Transfer</t>
        </is>
      </c>
      <c r="I15" s="11" t="inlineStr">
        <is>
          <t>MUN-0404</t>
        </is>
      </c>
      <c r="J15" s="11" t="inlineStr">
        <is>
          <t>5% of rental income</t>
        </is>
      </c>
    </row>
    <row r="16" ht="22" customHeight="1">
      <c r="B16" s="16" t="n">
        <v>12</v>
      </c>
      <c r="C16" s="20" t="n">
        <v>45749</v>
      </c>
      <c r="D16" s="16" t="inlineStr">
        <is>
          <t>Maintenance</t>
        </is>
      </c>
      <c r="E16" s="16" t="inlineStr">
        <is>
          <t>AC repair — Unit B-108</t>
        </is>
      </c>
      <c r="F16" s="16" t="inlineStr">
        <is>
          <t>Al Amal AC Services</t>
        </is>
      </c>
      <c r="G16" s="19" t="n">
        <v>380</v>
      </c>
      <c r="H16" s="16" t="inlineStr">
        <is>
          <t>Cash</t>
        </is>
      </c>
      <c r="I16" s="16" t="inlineStr">
        <is>
          <t>INV-M001</t>
        </is>
      </c>
      <c r="J16" s="16" t="inlineStr">
        <is>
          <t>MR-001 completed</t>
        </is>
      </c>
    </row>
    <row r="17" ht="22" customHeight="1">
      <c r="B17" s="11" t="n">
        <v>13</v>
      </c>
      <c r="C17" s="15" t="n">
        <v>45750</v>
      </c>
      <c r="D17" s="11" t="inlineStr">
        <is>
          <t>Maintenance</t>
        </is>
      </c>
      <c r="E17" s="11" t="inlineStr">
        <is>
          <t>Water leak repair — Unit A-103</t>
        </is>
      </c>
      <c r="F17" s="11" t="inlineStr">
        <is>
          <t>Al Jazira Plumbing</t>
        </is>
      </c>
      <c r="G17" s="14" t="n">
        <v>270</v>
      </c>
      <c r="H17" s="11" t="inlineStr">
        <is>
          <t>Cash</t>
        </is>
      </c>
      <c r="I17" s="11" t="inlineStr">
        <is>
          <t>INV-M005</t>
        </is>
      </c>
      <c r="J17" s="11" t="inlineStr">
        <is>
          <t>MR-005 completed</t>
        </is>
      </c>
    </row>
    <row r="18" ht="22" customHeight="1">
      <c r="B18" s="16" t="n">
        <v>14</v>
      </c>
      <c r="C18" s="20" t="n">
        <v>45750</v>
      </c>
      <c r="D18" s="16" t="inlineStr">
        <is>
          <t>Maintenance</t>
        </is>
      </c>
      <c r="E18" s="16" t="inlineStr">
        <is>
          <t>Electrical socket — Unit C-109</t>
        </is>
      </c>
      <c r="F18" s="16" t="inlineStr">
        <is>
          <t>Safe Wire Electric</t>
        </is>
      </c>
      <c r="G18" s="19" t="n">
        <v>200</v>
      </c>
      <c r="H18" s="16" t="inlineStr">
        <is>
          <t>Cash</t>
        </is>
      </c>
      <c r="I18" s="16" t="inlineStr">
        <is>
          <t>INV-M007</t>
        </is>
      </c>
      <c r="J18" s="16" t="inlineStr">
        <is>
          <t>MR-007 completed</t>
        </is>
      </c>
    </row>
    <row r="19" ht="22" customHeight="1">
      <c r="B19" s="11" t="n">
        <v>15</v>
      </c>
      <c r="C19" s="15" t="n">
        <v>45751</v>
      </c>
      <c r="D19" s="11" t="inlineStr">
        <is>
          <t>Maintenance</t>
        </is>
      </c>
      <c r="E19" s="11" t="inlineStr">
        <is>
          <t>AC filter replacement — Unit B-105</t>
        </is>
      </c>
      <c r="F19" s="11" t="inlineStr">
        <is>
          <t>Cool Air Maintenance</t>
        </is>
      </c>
      <c r="G19" s="14" t="n">
        <v>120</v>
      </c>
      <c r="H19" s="11" t="inlineStr">
        <is>
          <t>Cash</t>
        </is>
      </c>
      <c r="I19" s="11" t="inlineStr">
        <is>
          <t>INV-M006</t>
        </is>
      </c>
      <c r="J19" s="11" t="inlineStr">
        <is>
          <t>MR-006 completed</t>
        </is>
      </c>
    </row>
    <row r="20" ht="22" customHeight="1">
      <c r="B20" s="16" t="n">
        <v>16</v>
      </c>
      <c r="C20" s="20" t="n">
        <v>45751</v>
      </c>
      <c r="D20" s="16" t="inlineStr">
        <is>
          <t>Maintenance</t>
        </is>
      </c>
      <c r="E20" s="16" t="inlineStr">
        <is>
          <t>Paint touch-up — Unit A-110</t>
        </is>
      </c>
      <c r="F20" s="16" t="inlineStr">
        <is>
          <t>Al Reef Painters</t>
        </is>
      </c>
      <c r="G20" s="19" t="n">
        <v>100</v>
      </c>
      <c r="H20" s="16" t="inlineStr">
        <is>
          <t>Cash</t>
        </is>
      </c>
      <c r="I20" s="16" t="inlineStr">
        <is>
          <t>INV-M004</t>
        </is>
      </c>
      <c r="J20" s="16" t="inlineStr">
        <is>
          <t>MR-004 completed</t>
        </is>
      </c>
    </row>
    <row r="21" ht="22" customHeight="1">
      <c r="B21" s="11" t="n">
        <v>17</v>
      </c>
      <c r="C21" s="15" t="n">
        <v>45752</v>
      </c>
      <c r="D21" s="11" t="inlineStr">
        <is>
          <t>Maintenance</t>
        </is>
      </c>
      <c r="E21" s="11" t="inlineStr">
        <is>
          <t>Pest control — Building C</t>
        </is>
      </c>
      <c r="F21" s="11" t="inlineStr">
        <is>
          <t>Al Reef Pest Control</t>
        </is>
      </c>
      <c r="G21" s="14" t="n">
        <v>800</v>
      </c>
      <c r="H21" s="11" t="inlineStr">
        <is>
          <t>Cheque</t>
        </is>
      </c>
      <c r="I21" s="11" t="inlineStr">
        <is>
          <t>INV-M012</t>
        </is>
      </c>
      <c r="J21" s="11" t="inlineStr">
        <is>
          <t>MR-012 completed</t>
        </is>
      </c>
    </row>
    <row r="22" ht="22" customHeight="1">
      <c r="B22" s="16" t="n">
        <v>18</v>
      </c>
      <c r="C22" s="20" t="n">
        <v>45752</v>
      </c>
      <c r="D22" s="16" t="inlineStr">
        <is>
          <t>Maintenance</t>
        </is>
      </c>
      <c r="E22" s="16" t="inlineStr">
        <is>
          <t>Elevator service — Building B</t>
        </is>
      </c>
      <c r="F22" s="16" t="inlineStr">
        <is>
          <t>Otis Elevators</t>
        </is>
      </c>
      <c r="G22" s="19" t="n">
        <v>2500</v>
      </c>
      <c r="H22" s="16" t="inlineStr">
        <is>
          <t>Cheque</t>
        </is>
      </c>
      <c r="I22" s="16" t="inlineStr">
        <is>
          <t>INV-M010</t>
        </is>
      </c>
      <c r="J22" s="16" t="inlineStr">
        <is>
          <t>MR-010 quarterly</t>
        </is>
      </c>
    </row>
    <row r="23" ht="22" customHeight="1">
      <c r="B23" s="11" t="n">
        <v>19</v>
      </c>
      <c r="C23" s="15" t="n">
        <v>45752</v>
      </c>
      <c r="D23" s="11" t="inlineStr">
        <is>
          <t>Maintenance</t>
        </is>
      </c>
      <c r="E23" s="11" t="inlineStr">
        <is>
          <t>Parking cleaning — All Buildings</t>
        </is>
      </c>
      <c r="F23" s="11" t="inlineStr">
        <is>
          <t>Al Reef Cleaning</t>
        </is>
      </c>
      <c r="G23" s="14" t="n">
        <v>500</v>
      </c>
      <c r="H23" s="11" t="inlineStr">
        <is>
          <t>Cash</t>
        </is>
      </c>
      <c r="I23" s="11" t="inlineStr">
        <is>
          <t>INV-M015</t>
        </is>
      </c>
      <c r="J23" s="11" t="inlineStr">
        <is>
          <t>MR-015 monthly</t>
        </is>
      </c>
    </row>
    <row r="24" ht="22" customHeight="1">
      <c r="B24" s="16" t="n">
        <v>20</v>
      </c>
      <c r="C24" s="20" t="n">
        <v>45752</v>
      </c>
      <c r="D24" s="16" t="inlineStr">
        <is>
          <t>Maintenance</t>
        </is>
      </c>
      <c r="E24" s="16" t="inlineStr">
        <is>
          <t>Kitchen pipe — Unit D-103</t>
        </is>
      </c>
      <c r="F24" s="16" t="inlineStr">
        <is>
          <t>Quick Fix Plumbing</t>
        </is>
      </c>
      <c r="G24" s="19" t="n">
        <v>270</v>
      </c>
      <c r="H24" s="16" t="inlineStr">
        <is>
          <t>Cash</t>
        </is>
      </c>
      <c r="I24" s="16" t="inlineStr">
        <is>
          <t>INV-M005B</t>
        </is>
      </c>
      <c r="J24" s="16" t="inlineStr">
        <is>
          <t>Additional work</t>
        </is>
      </c>
    </row>
    <row r="25" ht="22" customHeight="1">
      <c r="B25" s="11" t="n">
        <v>21</v>
      </c>
      <c r="C25" s="15" t="n">
        <v>45748</v>
      </c>
      <c r="D25" s="11" t="inlineStr">
        <is>
          <t>Leasing Commission</t>
        </is>
      </c>
      <c r="E25" s="11" t="inlineStr">
        <is>
          <t>New tenant placement — 3 units</t>
        </is>
      </c>
      <c r="F25" s="11" t="inlineStr">
        <is>
          <t>Al Reef Leasing</t>
        </is>
      </c>
      <c r="G25" s="14" t="n">
        <v>5200</v>
      </c>
      <c r="H25" s="11" t="inlineStr">
        <is>
          <t>Cheque</t>
        </is>
      </c>
      <c r="I25" s="11" t="inlineStr">
        <is>
          <t>COM-0401</t>
        </is>
      </c>
      <c r="J25" s="11" t="inlineStr">
        <is>
          <t>Commission for March placements</t>
        </is>
      </c>
    </row>
    <row r="26" ht="22" customHeight="1">
      <c r="B26" s="16" t="n">
        <v>22</v>
      </c>
      <c r="C26" s="20" t="n">
        <v>45748</v>
      </c>
      <c r="D26" s="16" t="inlineStr">
        <is>
          <t>Insurance</t>
        </is>
      </c>
      <c r="E26" s="16" t="inlineStr">
        <is>
          <t>Building insurance — All Buildings</t>
        </is>
      </c>
      <c r="F26" s="16" t="inlineStr">
        <is>
          <t>Oman Insurance Co.</t>
        </is>
      </c>
      <c r="G26" s="19" t="n">
        <v>4200</v>
      </c>
      <c r="H26" s="16" t="inlineStr">
        <is>
          <t>Bank Transfer</t>
        </is>
      </c>
      <c r="I26" s="16" t="inlineStr">
        <is>
          <t>INS-0401</t>
        </is>
      </c>
      <c r="J26" s="16" t="inlineStr">
        <is>
          <t>Quarterly premium</t>
        </is>
      </c>
    </row>
    <row r="27" ht="22" customHeight="1">
      <c r="B27" s="11" t="n">
        <v>23</v>
      </c>
      <c r="C27" s="15" t="n">
        <v>45752</v>
      </c>
      <c r="D27" s="11" t="inlineStr">
        <is>
          <t>Utilities</t>
        </is>
      </c>
      <c r="E27" s="11" t="inlineStr">
        <is>
          <t>DEWA — Common areas Building A</t>
        </is>
      </c>
      <c r="F27" s="11" t="inlineStr">
        <is>
          <t>DEWA</t>
        </is>
      </c>
      <c r="G27" s="14" t="n">
        <v>1800</v>
      </c>
      <c r="H27" s="11" t="inlineStr">
        <is>
          <t>Bank Transfer</t>
        </is>
      </c>
      <c r="I27" s="11" t="inlineStr">
        <is>
          <t>DEWA-A04</t>
        </is>
      </c>
      <c r="J27" s="11" t="inlineStr">
        <is>
          <t>Electricity &amp; water</t>
        </is>
      </c>
    </row>
    <row r="28" ht="22" customHeight="1">
      <c r="B28" s="16" t="n">
        <v>24</v>
      </c>
      <c r="C28" s="20" t="n">
        <v>45752</v>
      </c>
      <c r="D28" s="16" t="inlineStr">
        <is>
          <t>Utilities</t>
        </is>
      </c>
      <c r="E28" s="16" t="inlineStr">
        <is>
          <t>DEWA — Common areas Building B</t>
        </is>
      </c>
      <c r="F28" s="16" t="inlineStr">
        <is>
          <t>DEWA</t>
        </is>
      </c>
      <c r="G28" s="19" t="n">
        <v>1700</v>
      </c>
      <c r="H28" s="16" t="inlineStr">
        <is>
          <t>Bank Transfer</t>
        </is>
      </c>
      <c r="I28" s="16" t="inlineStr">
        <is>
          <t>DEWA-B04</t>
        </is>
      </c>
      <c r="J28" s="16" t="inlineStr">
        <is>
          <t>Electricity &amp; water</t>
        </is>
      </c>
    </row>
    <row r="29" ht="22" customHeight="1">
      <c r="B29" s="11" t="n">
        <v>25</v>
      </c>
      <c r="C29" s="15" t="n">
        <v>45752</v>
      </c>
      <c r="D29" s="11" t="inlineStr">
        <is>
          <t>Utilities</t>
        </is>
      </c>
      <c r="E29" s="11" t="inlineStr">
        <is>
          <t>DEWA — Common areas Building C</t>
        </is>
      </c>
      <c r="F29" s="11" t="inlineStr">
        <is>
          <t>DEWA</t>
        </is>
      </c>
      <c r="G29" s="14" t="n">
        <v>1900</v>
      </c>
      <c r="H29" s="11" t="inlineStr">
        <is>
          <t>Bank Transfer</t>
        </is>
      </c>
      <c r="I29" s="11" t="inlineStr">
        <is>
          <t>DEWA-C04</t>
        </is>
      </c>
      <c r="J29" s="11" t="inlineStr">
        <is>
          <t>Electricity &amp; water</t>
        </is>
      </c>
    </row>
    <row r="30" ht="22" customHeight="1">
      <c r="B30" s="16" t="n">
        <v>26</v>
      </c>
      <c r="C30" s="20" t="n">
        <v>45752</v>
      </c>
      <c r="D30" s="16" t="inlineStr">
        <is>
          <t>Utilities</t>
        </is>
      </c>
      <c r="E30" s="16" t="inlineStr">
        <is>
          <t>DEWA — Common areas Building D</t>
        </is>
      </c>
      <c r="F30" s="16" t="inlineStr">
        <is>
          <t>DEWA</t>
        </is>
      </c>
      <c r="G30" s="19" t="n">
        <v>1400</v>
      </c>
      <c r="H30" s="16" t="inlineStr">
        <is>
          <t>Bank Transfer</t>
        </is>
      </c>
      <c r="I30" s="16" t="inlineStr">
        <is>
          <t>DEWA-D04</t>
        </is>
      </c>
      <c r="J30" s="16" t="inlineStr">
        <is>
          <t>Electricity &amp; water</t>
        </is>
      </c>
    </row>
    <row r="31" ht="22" customHeight="1">
      <c r="B31" s="11" t="n">
        <v>27</v>
      </c>
      <c r="C31" s="15" t="n">
        <v>45750</v>
      </c>
      <c r="D31" s="11" t="inlineStr">
        <is>
          <t>Marketing</t>
        </is>
      </c>
      <c r="E31" s="11" t="inlineStr">
        <is>
          <t>Property listing — Bayut &amp; Dubizzle</t>
        </is>
      </c>
      <c r="F31" s="11" t="inlineStr">
        <is>
          <t>Bayut/Dubizzle</t>
        </is>
      </c>
      <c r="G31" s="14" t="n">
        <v>1000</v>
      </c>
      <c r="H31" s="11" t="inlineStr">
        <is>
          <t>Credit Card</t>
        </is>
      </c>
      <c r="I31" s="11" t="inlineStr">
        <is>
          <t>MKT-0401</t>
        </is>
      </c>
      <c r="J31" s="11" t="inlineStr">
        <is>
          <t>Premium listing 30 days</t>
        </is>
      </c>
    </row>
    <row r="32" ht="22" customHeight="1">
      <c r="B32" s="16" t="n">
        <v>28</v>
      </c>
      <c r="C32" s="20" t="n">
        <v>45750</v>
      </c>
      <c r="D32" s="16" t="inlineStr">
        <is>
          <t>Marketing</t>
        </is>
      </c>
      <c r="E32" s="16" t="inlineStr">
        <is>
          <t>Social media ads</t>
        </is>
      </c>
      <c r="F32" s="16" t="inlineStr">
        <is>
          <t>Meta Ads</t>
        </is>
      </c>
      <c r="G32" s="19" t="n">
        <v>500</v>
      </c>
      <c r="H32" s="16" t="inlineStr">
        <is>
          <t>Credit Card</t>
        </is>
      </c>
      <c r="I32" s="16" t="inlineStr">
        <is>
          <t>MKT-0402</t>
        </is>
      </c>
      <c r="J32" s="16" t="inlineStr">
        <is>
          <t>Instagram/Facebook campaigns</t>
        </is>
      </c>
    </row>
    <row r="33" ht="22" customHeight="1">
      <c r="B33" s="11" t="n">
        <v>29</v>
      </c>
      <c r="C33" s="15" t="n">
        <v>45749</v>
      </c>
      <c r="D33" s="11" t="inlineStr">
        <is>
          <t>Legal</t>
        </is>
      </c>
      <c r="E33" s="11" t="inlineStr">
        <is>
          <t>Contract preparation — 4 new tenants</t>
        </is>
      </c>
      <c r="F33" s="11" t="inlineStr">
        <is>
          <t>Al Suwaidi Advocates</t>
        </is>
      </c>
      <c r="G33" s="14" t="n">
        <v>2000</v>
      </c>
      <c r="H33" s="11" t="inlineStr">
        <is>
          <t>Cheque</t>
        </is>
      </c>
      <c r="I33" s="11" t="inlineStr">
        <is>
          <t>LEG-0401</t>
        </is>
      </c>
      <c r="J33" s="11" t="inlineStr">
        <is>
          <t>Ejari registration included</t>
        </is>
      </c>
    </row>
    <row r="34" ht="22" customHeight="1">
      <c r="B34" s="16" t="n">
        <v>30</v>
      </c>
      <c r="C34" s="20" t="n">
        <v>45748</v>
      </c>
      <c r="D34" s="16" t="inlineStr">
        <is>
          <t>Cleaning</t>
        </is>
      </c>
      <c r="E34" s="16" t="inlineStr">
        <is>
          <t>Deep cleaning — Vacant units</t>
        </is>
      </c>
      <c r="F34" s="16" t="inlineStr">
        <is>
          <t>Al Reef Cleaning</t>
        </is>
      </c>
      <c r="G34" s="19" t="n">
        <v>1200</v>
      </c>
      <c r="H34" s="16" t="inlineStr">
        <is>
          <t>Cash</t>
        </is>
      </c>
      <c r="I34" s="16" t="inlineStr">
        <is>
          <t>CLN-0401</t>
        </is>
      </c>
      <c r="J34" s="16" t="inlineStr">
        <is>
          <t>7 vacant units prep</t>
        </is>
      </c>
    </row>
    <row r="35" ht="22" customHeight="1">
      <c r="B35" s="11" t="n">
        <v>31</v>
      </c>
      <c r="C35" s="15" t="n">
        <v>45748</v>
      </c>
      <c r="D35" s="11" t="inlineStr">
        <is>
          <t>Cleaning</t>
        </is>
      </c>
      <c r="E35" s="11" t="inlineStr">
        <is>
          <t>Monthly deep cleaning — Common areas</t>
        </is>
      </c>
      <c r="F35" s="11" t="inlineStr">
        <is>
          <t>Al Reef Cleaning</t>
        </is>
      </c>
      <c r="G35" s="14" t="n">
        <v>2000</v>
      </c>
      <c r="H35" s="11" t="inlineStr">
        <is>
          <t>Cheque</t>
        </is>
      </c>
      <c r="I35" s="11" t="inlineStr">
        <is>
          <t>CLN-0402</t>
        </is>
      </c>
      <c r="J35" s="11" t="inlineStr">
        <is>
          <t>All 4 buildings</t>
        </is>
      </c>
    </row>
    <row r="36" ht="22" customHeight="1">
      <c r="B36" s="16" t="n">
        <v>32</v>
      </c>
      <c r="C36" s="20" t="n">
        <v>45748</v>
      </c>
      <c r="D36" s="16" t="inlineStr">
        <is>
          <t>Security</t>
        </is>
      </c>
      <c r="E36" s="16" t="inlineStr">
        <is>
          <t>CCTV monitoring service</t>
        </is>
      </c>
      <c r="F36" s="16" t="inlineStr">
        <is>
          <t>Secure Vision LLC</t>
        </is>
      </c>
      <c r="G36" s="19" t="n">
        <v>1800</v>
      </c>
      <c r="H36" s="16" t="inlineStr">
        <is>
          <t>Bank Transfer</t>
        </is>
      </c>
      <c r="I36" s="16" t="inlineStr">
        <is>
          <t>SEC-0401</t>
        </is>
      </c>
      <c r="J36" s="16" t="inlineStr">
        <is>
          <t>Monthly monitoring fee</t>
        </is>
      </c>
    </row>
    <row r="37" ht="22" customHeight="1">
      <c r="B37" s="11" t="n">
        <v>33</v>
      </c>
      <c r="C37" s="15" t="n">
        <v>45751</v>
      </c>
      <c r="D37" s="11" t="inlineStr">
        <is>
          <t>Pest Control</t>
        </is>
      </c>
      <c r="E37" s="11" t="inlineStr">
        <is>
          <t>Monthly treatment — All Buildings</t>
        </is>
      </c>
      <c r="F37" s="11" t="inlineStr">
        <is>
          <t>Al Reef Pest Control</t>
        </is>
      </c>
      <c r="G37" s="14" t="n">
        <v>1200</v>
      </c>
      <c r="H37" s="11" t="inlineStr">
        <is>
          <t>Cheque</t>
        </is>
      </c>
      <c r="I37" s="11" t="inlineStr">
        <is>
          <t>PST-0401</t>
        </is>
      </c>
      <c r="J37" s="11" t="inlineStr">
        <is>
          <t>Preventive treatment</t>
        </is>
      </c>
    </row>
    <row r="38" ht="22" customHeight="1">
      <c r="B38" s="16" t="n">
        <v>34</v>
      </c>
      <c r="C38" s="20" t="n">
        <v>45748</v>
      </c>
      <c r="D38" s="16" t="inlineStr">
        <is>
          <t>Elevator Service</t>
        </is>
      </c>
      <c r="E38" s="16" t="inlineStr">
        <is>
          <t>Monthly maintenance — All elevators</t>
        </is>
      </c>
      <c r="F38" s="16" t="inlineStr">
        <is>
          <t>Otis Elevators</t>
        </is>
      </c>
      <c r="G38" s="19" t="n">
        <v>2800</v>
      </c>
      <c r="H38" s="16" t="inlineStr">
        <is>
          <t>Bank Transfer</t>
        </is>
      </c>
      <c r="I38" s="16" t="inlineStr">
        <is>
          <t>ELV-0401</t>
        </is>
      </c>
      <c r="J38" s="16" t="inlineStr">
        <is>
          <t>4 elevators across buildings</t>
        </is>
      </c>
    </row>
    <row r="39" ht="22" customHeight="1">
      <c r="B39" s="11" t="n">
        <v>35</v>
      </c>
      <c r="C39" s="15" t="n">
        <v>45752</v>
      </c>
      <c r="D39" s="11" t="inlineStr">
        <is>
          <t>Other</t>
        </is>
      </c>
      <c r="E39" s="11" t="inlineStr">
        <is>
          <t>Office supplies &amp; stationery</t>
        </is>
      </c>
      <c r="F39" s="11" t="inlineStr">
        <is>
          <t>Al Gulf Stationery</t>
        </is>
      </c>
      <c r="G39" s="14" t="n">
        <v>200</v>
      </c>
      <c r="H39" s="11" t="inlineStr">
        <is>
          <t>Cash</t>
        </is>
      </c>
      <c r="I39" s="11" t="inlineStr">
        <is>
          <t>OTH-0401</t>
        </is>
      </c>
      <c r="J39" s="11" t="inlineStr">
        <is>
          <t>Printer paper, ink, folders</t>
        </is>
      </c>
    </row>
    <row r="40" ht="22" customHeight="1">
      <c r="B40" s="16" t="n">
        <v>36</v>
      </c>
      <c r="C40" s="20" t="n">
        <v>45752</v>
      </c>
      <c r="D40" s="16" t="inlineStr">
        <is>
          <t>Other</t>
        </is>
      </c>
      <c r="E40" s="16" t="inlineStr">
        <is>
          <t>Internet &amp; phone — Office</t>
        </is>
      </c>
      <c r="F40" s="16" t="inlineStr">
        <is>
          <t>Etisalat</t>
        </is>
      </c>
      <c r="G40" s="19" t="n">
        <v>300</v>
      </c>
      <c r="H40" s="16" t="inlineStr">
        <is>
          <t>Bank Transfer</t>
        </is>
      </c>
      <c r="I40" s="16" t="inlineStr">
        <is>
          <t>OTH-0402</t>
        </is>
      </c>
      <c r="J40" s="16" t="inlineStr">
        <is>
          <t>Monthly telecom bill</t>
        </is>
      </c>
    </row>
    <row r="41" ht="26" customHeight="1">
      <c r="B41" s="21" t="inlineStr">
        <is>
          <t>GRAND TOTAL</t>
        </is>
      </c>
      <c r="C41" s="22" t="n"/>
      <c r="D41" s="22" t="n"/>
      <c r="E41" s="22" t="n"/>
      <c r="F41" s="22" t="n"/>
      <c r="G41" s="24">
        <f>SUM(G5:G40)</f>
        <v/>
      </c>
      <c r="H41" s="22" t="n"/>
      <c r="I41" s="22" t="n"/>
      <c r="J41" s="22" t="n"/>
    </row>
    <row r="43">
      <c r="B43" s="25" t="inlineStr">
        <is>
          <t>SUMMARY BY CATEGORY</t>
        </is>
      </c>
    </row>
    <row r="44">
      <c r="B44" s="26" t="inlineStr">
        <is>
          <t>Manpower</t>
        </is>
      </c>
      <c r="D44" s="27">
        <f>SUMPRODUCT((D5:D40="Manpower")*G5:G40)</f>
        <v/>
      </c>
    </row>
    <row r="45">
      <c r="B45" s="26" t="inlineStr">
        <is>
          <t>Municipality Fees</t>
        </is>
      </c>
      <c r="D45" s="27">
        <f>SUMPRODUCT((D5:D40="Municipality Fees")*G5:G40)</f>
        <v/>
      </c>
    </row>
    <row r="46">
      <c r="B46" s="26" t="inlineStr">
        <is>
          <t>Maintenance</t>
        </is>
      </c>
      <c r="D46" s="27">
        <f>SUMPRODUCT((D5:D40="Maintenance")*G5:G40)</f>
        <v/>
      </c>
    </row>
    <row r="47">
      <c r="B47" s="26" t="inlineStr">
        <is>
          <t>Leasing Commission</t>
        </is>
      </c>
      <c r="D47" s="27">
        <f>SUMPRODUCT((D5:D40="Leasing Commission")*G5:G40)</f>
        <v/>
      </c>
    </row>
    <row r="48">
      <c r="B48" s="26" t="inlineStr">
        <is>
          <t>Insurance</t>
        </is>
      </c>
      <c r="D48" s="27">
        <f>SUMPRODUCT((D5:D40="Insurance")*G5:G40)</f>
        <v/>
      </c>
    </row>
    <row r="49">
      <c r="B49" s="26" t="inlineStr">
        <is>
          <t>Utilities</t>
        </is>
      </c>
      <c r="D49" s="27">
        <f>SUMPRODUCT((D5:D40="Utilities")*G5:G40)</f>
        <v/>
      </c>
    </row>
    <row r="50">
      <c r="B50" s="26" t="inlineStr">
        <is>
          <t>Marketing</t>
        </is>
      </c>
      <c r="D50" s="27">
        <f>SUMPRODUCT((D5:D40="Marketing")*G5:G40)</f>
        <v/>
      </c>
    </row>
    <row r="51">
      <c r="B51" s="26" t="inlineStr">
        <is>
          <t>Legal</t>
        </is>
      </c>
      <c r="D51" s="27">
        <f>SUMPRODUCT((D5:D40="Legal")*G5:G40)</f>
        <v/>
      </c>
    </row>
    <row r="52">
      <c r="B52" s="26" t="inlineStr">
        <is>
          <t>Cleaning</t>
        </is>
      </c>
      <c r="D52" s="27">
        <f>SUMPRODUCT((D5:D40="Cleaning")*G5:G40)</f>
        <v/>
      </c>
    </row>
    <row r="53">
      <c r="B53" s="26" t="inlineStr">
        <is>
          <t>Security</t>
        </is>
      </c>
      <c r="D53" s="27">
        <f>SUMPRODUCT((D5:D40="Security")*G5:G40)</f>
        <v/>
      </c>
    </row>
    <row r="54">
      <c r="B54" s="26" t="inlineStr">
        <is>
          <t>Pest Control</t>
        </is>
      </c>
      <c r="D54" s="27">
        <f>SUMPRODUCT((D5:D40="Pest Control")*G5:G40)</f>
        <v/>
      </c>
    </row>
    <row r="55">
      <c r="B55" s="26" t="inlineStr">
        <is>
          <t>Elevator Service</t>
        </is>
      </c>
      <c r="D55" s="27">
        <f>SUMPRODUCT((D5:D40="Elevator Service")*G5:G40)</f>
        <v/>
      </c>
    </row>
    <row r="56">
      <c r="B56" s="26" t="inlineStr">
        <is>
          <t>Other</t>
        </is>
      </c>
      <c r="D56" s="27">
        <f>SUMPRODUCT((D5:D40="Other")*G5:G40)</f>
        <v/>
      </c>
    </row>
  </sheetData>
  <mergeCells count="15">
    <mergeCell ref="B55:C55"/>
    <mergeCell ref="B52:C52"/>
    <mergeCell ref="B44:C44"/>
    <mergeCell ref="B47:C47"/>
    <mergeCell ref="B48:C48"/>
    <mergeCell ref="B54:C54"/>
    <mergeCell ref="B43:E43"/>
    <mergeCell ref="B51:C51"/>
    <mergeCell ref="B45:C45"/>
    <mergeCell ref="B46:C46"/>
    <mergeCell ref="B50:C50"/>
    <mergeCell ref="B56:C56"/>
    <mergeCell ref="B49:C49"/>
    <mergeCell ref="B53:C53"/>
    <mergeCell ref="B2:J2"/>
  </mergeCells>
  <conditionalFormatting sqref="G5:G40">
    <cfRule type="cellIs" priority="1" operator="greaterThan" dxfId="2">
      <formula>3000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D4A3E"/>
    <outlinePr summaryBelow="1" summaryRight="1"/>
    <pageSetUpPr/>
  </sheetPr>
  <dimension ref="B2:O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15" customHeight="1"/>
    <row r="2" ht="32" customHeight="1">
      <c r="B2" s="1" t="inlineStr">
        <is>
          <t>Revenue Analysis — 2025</t>
        </is>
      </c>
    </row>
    <row r="3" ht="8" customHeight="1"/>
    <row r="4" ht="28" customHeight="1">
      <c r="B4" s="10" t="inlineStr">
        <is>
          <t>Category</t>
        </is>
      </c>
      <c r="C4" s="10" t="inlineStr">
        <is>
          <t>Jan</t>
        </is>
      </c>
      <c r="D4" s="10" t="inlineStr">
        <is>
          <t>Feb</t>
        </is>
      </c>
      <c r="E4" s="10" t="inlineStr">
        <is>
          <t>Mar</t>
        </is>
      </c>
      <c r="F4" s="10" t="inlineStr">
        <is>
          <t>Apr</t>
        </is>
      </c>
      <c r="G4" s="10" t="inlineStr">
        <is>
          <t>May</t>
        </is>
      </c>
      <c r="H4" s="10" t="inlineStr">
        <is>
          <t>Jun</t>
        </is>
      </c>
      <c r="I4" s="10" t="inlineStr">
        <is>
          <t>Jul</t>
        </is>
      </c>
      <c r="J4" s="10" t="inlineStr">
        <is>
          <t>Aug</t>
        </is>
      </c>
      <c r="K4" s="10" t="inlineStr">
        <is>
          <t>Sep</t>
        </is>
      </c>
      <c r="L4" s="10" t="inlineStr">
        <is>
          <t>Oct</t>
        </is>
      </c>
      <c r="M4" s="10" t="inlineStr">
        <is>
          <t>Nov</t>
        </is>
      </c>
      <c r="N4" s="10" t="inlineStr">
        <is>
          <t>Dec</t>
        </is>
      </c>
      <c r="O4" s="10" t="inlineStr">
        <is>
          <t>YTD</t>
        </is>
      </c>
    </row>
    <row r="5" ht="22" customHeight="1">
      <c r="B5" s="11" t="inlineStr">
        <is>
          <t>Rental Income</t>
        </is>
      </c>
      <c r="C5" s="14" t="n">
        <v>172500</v>
      </c>
      <c r="D5" s="14" t="n">
        <v>175800</v>
      </c>
      <c r="E5" s="14" t="n">
        <v>181200</v>
      </c>
      <c r="F5" s="14" t="n">
        <v>185340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0</v>
      </c>
      <c r="M5" s="14" t="n">
        <v>0</v>
      </c>
      <c r="N5" s="14" t="n">
        <v>0</v>
      </c>
      <c r="O5" s="14">
        <f>SUM(C5:N5)</f>
        <v/>
      </c>
    </row>
    <row r="6" ht="22" customHeight="1">
      <c r="B6" s="16" t="inlineStr">
        <is>
          <t>Late Fee Income</t>
        </is>
      </c>
      <c r="C6" s="19" t="n">
        <v>2800</v>
      </c>
      <c r="D6" s="19" t="n">
        <v>3200</v>
      </c>
      <c r="E6" s="19" t="n">
        <v>3500</v>
      </c>
      <c r="F6" s="19" t="n">
        <v>3200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</v>
      </c>
      <c r="O6" s="19">
        <f>SUM(C6:N6)</f>
        <v/>
      </c>
    </row>
    <row r="7" ht="22" customHeight="1">
      <c r="B7" s="11" t="inlineStr">
        <is>
          <t>Municipality Fees Collected</t>
        </is>
      </c>
      <c r="C7" s="14" t="n">
        <v>8625</v>
      </c>
      <c r="D7" s="14" t="n">
        <v>8790</v>
      </c>
      <c r="E7" s="14" t="n">
        <v>9060</v>
      </c>
      <c r="F7" s="14" t="n">
        <v>9267</v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>
        <f>SUM(C7:N7)</f>
        <v/>
      </c>
    </row>
    <row r="8" ht="22" customHeight="1">
      <c r="B8" s="16" t="inlineStr">
        <is>
          <t>Other Income</t>
        </is>
      </c>
      <c r="C8" s="19" t="n">
        <v>500</v>
      </c>
      <c r="D8" s="19" t="n">
        <v>500</v>
      </c>
      <c r="E8" s="19" t="n">
        <v>500</v>
      </c>
      <c r="F8" s="19" t="n">
        <v>500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19">
        <f>SUM(C8:N8)</f>
        <v/>
      </c>
    </row>
    <row r="9" ht="22" customHeight="1">
      <c r="B9" s="33" t="inlineStr">
        <is>
          <t>Gross Revenue</t>
        </is>
      </c>
      <c r="C9" s="34">
        <f>SUM(C5:C8)</f>
        <v/>
      </c>
      <c r="D9" s="34">
        <f>SUM(D5:D8)</f>
        <v/>
      </c>
      <c r="E9" s="34">
        <f>SUM(E5:E8)</f>
        <v/>
      </c>
      <c r="F9" s="34">
        <f>SUM(F5:F8)</f>
        <v/>
      </c>
      <c r="G9" s="34">
        <f>SUM(G5:G8)</f>
        <v/>
      </c>
      <c r="H9" s="34">
        <f>SUM(H5:H8)</f>
        <v/>
      </c>
      <c r="I9" s="34">
        <f>SUM(I5:I8)</f>
        <v/>
      </c>
      <c r="J9" s="34">
        <f>SUM(J5:J8)</f>
        <v/>
      </c>
      <c r="K9" s="34">
        <f>SUM(K5:K8)</f>
        <v/>
      </c>
      <c r="L9" s="34">
        <f>SUM(L5:L8)</f>
        <v/>
      </c>
      <c r="M9" s="34">
        <f>SUM(M5:M8)</f>
        <v/>
      </c>
      <c r="N9" s="34">
        <f>SUM(N5:N8)</f>
        <v/>
      </c>
      <c r="O9" s="34">
        <f>SUM(C9:N9)</f>
        <v/>
      </c>
    </row>
    <row r="10" ht="22" customHeight="1">
      <c r="B10" s="16" t="inlineStr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31" t="n"/>
    </row>
    <row r="11" ht="22" customHeight="1">
      <c r="B11" s="11" t="inlineStr">
        <is>
          <t>Less: Vacancy Loss</t>
        </is>
      </c>
      <c r="C11" s="14" t="n">
        <v>-22000</v>
      </c>
      <c r="D11" s="14" t="n">
        <v>-18500</v>
      </c>
      <c r="E11" s="14" t="n">
        <v>-16800</v>
      </c>
      <c r="F11" s="14" t="n">
        <v>-15960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>
        <f>SUM(C11:N11)</f>
        <v/>
      </c>
    </row>
    <row r="12" ht="22" customHeight="1">
      <c r="B12" s="16" t="inlineStr">
        <is>
          <t>Less: Bad Debt</t>
        </is>
      </c>
      <c r="C12" s="19" t="n">
        <v>-5000</v>
      </c>
      <c r="D12" s="19" t="n">
        <v>-3500</v>
      </c>
      <c r="E12" s="19" t="n">
        <v>-4500</v>
      </c>
      <c r="F12" s="19" t="n">
        <v>-7000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>
        <f>SUM(C12:N12)</f>
        <v/>
      </c>
    </row>
    <row r="13" ht="22" customHeight="1">
      <c r="B13" s="33" t="inlineStr">
        <is>
          <t>Net Revenue</t>
        </is>
      </c>
      <c r="C13" s="34">
        <f>C9+C11+C12</f>
        <v/>
      </c>
      <c r="D13" s="34">
        <f>D9+D11+D12</f>
        <v/>
      </c>
      <c r="E13" s="34">
        <f>E9+E11+E12</f>
        <v/>
      </c>
      <c r="F13" s="34">
        <f>F9+F11+F12</f>
        <v/>
      </c>
      <c r="G13" s="34">
        <f>G9+G11+G12</f>
        <v/>
      </c>
      <c r="H13" s="34">
        <f>H9+H11+H12</f>
        <v/>
      </c>
      <c r="I13" s="34">
        <f>I9+I11+I12</f>
        <v/>
      </c>
      <c r="J13" s="34">
        <f>J9+J11+J12</f>
        <v/>
      </c>
      <c r="K13" s="34">
        <f>K9+K11+K12</f>
        <v/>
      </c>
      <c r="L13" s="34">
        <f>L9+L11+L12</f>
        <v/>
      </c>
      <c r="M13" s="34">
        <f>M9+M11+M12</f>
        <v/>
      </c>
      <c r="N13" s="34">
        <f>N9+N11+N12</f>
        <v/>
      </c>
      <c r="O13" s="34">
        <f>SUM(C13:N13)</f>
        <v/>
      </c>
    </row>
    <row r="30">
      <c r="B30" s="7" t="inlineStr">
        <is>
          <t>Month</t>
        </is>
      </c>
      <c r="C30" s="7" t="inlineStr">
        <is>
          <t>Jan</t>
        </is>
      </c>
      <c r="D30" s="7" t="inlineStr">
        <is>
          <t>Feb</t>
        </is>
      </c>
      <c r="E30" s="7" t="inlineStr">
        <is>
          <t>Mar</t>
        </is>
      </c>
      <c r="F30" s="7" t="inlineStr">
        <is>
          <t>Apr</t>
        </is>
      </c>
    </row>
    <row r="31">
      <c r="B31" s="7" t="inlineStr">
        <is>
          <t>Rental Income</t>
        </is>
      </c>
      <c r="C31" t="n">
        <v>172500</v>
      </c>
      <c r="D31" t="n">
        <v>175800</v>
      </c>
      <c r="E31" t="n">
        <v>181200</v>
      </c>
      <c r="F31" t="n">
        <v>185340</v>
      </c>
    </row>
    <row r="32">
      <c r="B32" s="7" t="inlineStr">
        <is>
          <t>Vacancy Loss</t>
        </is>
      </c>
      <c r="C32" t="n">
        <v>-22000</v>
      </c>
      <c r="D32" t="n">
        <v>-18500</v>
      </c>
      <c r="E32" t="n">
        <v>-16800</v>
      </c>
      <c r="F32" t="n">
        <v>-15960</v>
      </c>
    </row>
  </sheetData>
  <mergeCells count="1">
    <mergeCell ref="B2:O2"/>
  </mergeCells>
  <conditionalFormatting sqref="C5:O5">
    <cfRule type="cellIs" priority="1" operator="lessThan" dxfId="1">
      <formula>0</formula>
    </cfRule>
    <cfRule type="cellIs" priority="2" operator="greaterThan" dxfId="0">
      <formula>0</formula>
    </cfRule>
  </conditionalFormatting>
  <conditionalFormatting sqref="C6:O6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C7:O7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C8:O8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C9:O9">
    <cfRule type="cellIs" priority="9" operator="lessThan" dxfId="1">
      <formula>0</formula>
    </cfRule>
    <cfRule type="cellIs" priority="10" operator="greaterThan" dxfId="0">
      <formula>0</formula>
    </cfRule>
  </conditionalFormatting>
  <conditionalFormatting sqref="C10:O10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C11:O11">
    <cfRule type="cellIs" priority="13" operator="lessThan" dxfId="1">
      <formula>0</formula>
    </cfRule>
    <cfRule type="cellIs" priority="14" operator="greaterThan" dxfId="0">
      <formula>0</formula>
    </cfRule>
  </conditionalFormatting>
  <conditionalFormatting sqref="C12:O12">
    <cfRule type="cellIs" priority="15" operator="lessThan" dxfId="1">
      <formula>0</formula>
    </cfRule>
    <cfRule type="cellIs" priority="16" operator="greaterThan" dxfId="0">
      <formula>0</formula>
    </cfRule>
  </conditionalFormatting>
  <conditionalFormatting sqref="C13:O13">
    <cfRule type="cellIs" priority="17" operator="lessThan" dxfId="1">
      <formula>0</formula>
    </cfRule>
    <cfRule type="cellIs" priority="18" operator="greaterThan" dxfId="0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D4A3E"/>
    <outlinePr summaryBelow="1" summaryRight="1"/>
    <pageSetUpPr/>
  </sheetPr>
  <dimension ref="B2:E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18" customWidth="1" min="4" max="4"/>
    <col width="12" customWidth="1" min="5" max="5"/>
  </cols>
  <sheetData>
    <row r="1" ht="15" customHeight="1"/>
    <row r="2" ht="32" customHeight="1">
      <c r="B2" s="1" t="inlineStr">
        <is>
          <t>Profit &amp; Loss Statement — Al Reef Al Janoubi — April 2025</t>
        </is>
      </c>
    </row>
    <row r="3" ht="8" customHeight="1"/>
    <row r="4" ht="28" customHeight="1">
      <c r="B4" s="10" t="inlineStr">
        <is>
          <t>Category</t>
        </is>
      </c>
      <c r="C4" s="10" t="inlineStr">
        <is>
          <t>Sub-Category</t>
        </is>
      </c>
      <c r="D4" s="10" t="inlineStr">
        <is>
          <t>Amount (AED)</t>
        </is>
      </c>
      <c r="E4" s="10" t="inlineStr">
        <is>
          <t>Margin</t>
        </is>
      </c>
    </row>
    <row r="5" ht="24" customHeight="1">
      <c r="B5" s="35" t="inlineStr">
        <is>
          <t>REVENUE</t>
        </is>
      </c>
    </row>
    <row r="6" ht="22" customHeight="1">
      <c r="C6" s="26" t="inlineStr">
        <is>
          <t>Rental Income</t>
        </is>
      </c>
      <c r="D6" s="36" t="n">
        <v>185340</v>
      </c>
    </row>
    <row r="7" ht="22" customHeight="1">
      <c r="C7" s="26" t="inlineStr">
        <is>
          <t>Late Fee Income</t>
        </is>
      </c>
      <c r="D7" s="36" t="n">
        <v>3200</v>
      </c>
    </row>
    <row r="8" ht="22" customHeight="1">
      <c r="C8" s="26" t="inlineStr">
        <is>
          <t>Other Income</t>
        </is>
      </c>
      <c r="D8" s="36" t="n">
        <v>500</v>
      </c>
    </row>
    <row r="9" ht="26" customHeight="1">
      <c r="B9" s="37" t="inlineStr">
        <is>
          <t>Total Revenue</t>
        </is>
      </c>
      <c r="C9" s="38" t="n"/>
      <c r="D9" s="39">
        <f>SUM(D6:D8)</f>
        <v/>
      </c>
      <c r="E9" s="38" t="n"/>
    </row>
    <row r="10" ht="8" customHeight="1"/>
    <row r="11" ht="24" customHeight="1">
      <c r="B11" s="35" t="inlineStr">
        <is>
          <t>COST OF OPERATIONS</t>
        </is>
      </c>
    </row>
    <row r="12" ht="22" customHeight="1">
      <c r="C12" s="26" t="inlineStr">
        <is>
          <t>Manpower/Staff</t>
        </is>
      </c>
      <c r="D12" s="36" t="n">
        <v>24000</v>
      </c>
    </row>
    <row r="13" ht="22" customHeight="1">
      <c r="C13" s="26" t="inlineStr">
        <is>
          <t>Maintenance</t>
        </is>
      </c>
      <c r="D13" s="36" t="n">
        <v>10500</v>
      </c>
    </row>
    <row r="14" ht="22" customHeight="1">
      <c r="C14" s="26" t="inlineStr">
        <is>
          <t>Municipality Fees</t>
        </is>
      </c>
      <c r="D14" s="36" t="n">
        <v>8500</v>
      </c>
    </row>
    <row r="15" ht="22" customHeight="1">
      <c r="C15" s="26" t="inlineStr">
        <is>
          <t>Leasing Commissions</t>
        </is>
      </c>
      <c r="D15" s="36" t="n">
        <v>5200</v>
      </c>
    </row>
    <row r="16" ht="22" customHeight="1">
      <c r="C16" s="26" t="inlineStr">
        <is>
          <t>Insurance</t>
        </is>
      </c>
      <c r="D16" s="36" t="n">
        <v>4200</v>
      </c>
    </row>
    <row r="17" ht="22" customHeight="1">
      <c r="C17" s="26" t="inlineStr">
        <is>
          <t>Utilities (DEWA)</t>
        </is>
      </c>
      <c r="D17" s="36" t="n">
        <v>6800</v>
      </c>
    </row>
    <row r="18" ht="26" customHeight="1">
      <c r="B18" s="37" t="inlineStr">
        <is>
          <t>Total COO</t>
        </is>
      </c>
      <c r="C18" s="38" t="n"/>
      <c r="D18" s="38" t="n"/>
      <c r="E18" s="38" t="n"/>
    </row>
    <row r="19" ht="8" customHeight="1">
      <c r="D19" s="27">
        <f>SUM(D13:D18)</f>
        <v/>
      </c>
    </row>
    <row r="20" ht="24" customHeight="1">
      <c r="B20" s="35" t="inlineStr">
        <is>
          <t>GROSS PROFIT</t>
        </is>
      </c>
    </row>
    <row r="21" ht="26" customHeight="1">
      <c r="B21" s="37" t="inlineStr">
        <is>
          <t>Gross Profit</t>
        </is>
      </c>
      <c r="C21" s="38" t="n"/>
      <c r="D21" s="38" t="n"/>
      <c r="E21" s="38" t="n"/>
    </row>
    <row r="22" ht="26" customHeight="1">
      <c r="B22" s="37" t="inlineStr">
        <is>
          <t>Gross Margin</t>
        </is>
      </c>
      <c r="C22" s="38" t="n"/>
      <c r="D22" s="39">
        <f>D9-D19</f>
        <v/>
      </c>
      <c r="E22" s="38" t="n"/>
    </row>
    <row r="23" ht="8" customHeight="1">
      <c r="D23" s="28">
        <f>IFERROR(D22/D9,0)</f>
        <v/>
      </c>
    </row>
    <row r="24" ht="24" customHeight="1">
      <c r="B24" s="35" t="inlineStr">
        <is>
          <t>OPERATING EXPENSES</t>
        </is>
      </c>
    </row>
    <row r="25" ht="22" customHeight="1">
      <c r="C25" s="26" t="inlineStr">
        <is>
          <t>Marketing</t>
        </is>
      </c>
      <c r="D25" s="36" t="n">
        <v>1500</v>
      </c>
    </row>
    <row r="26" ht="22" customHeight="1">
      <c r="C26" s="26" t="inlineStr">
        <is>
          <t>Legal</t>
        </is>
      </c>
      <c r="D26" s="36" t="n">
        <v>2000</v>
      </c>
    </row>
    <row r="27" ht="22" customHeight="1">
      <c r="C27" s="26" t="inlineStr">
        <is>
          <t>Cleaning</t>
        </is>
      </c>
      <c r="D27" s="36" t="n">
        <v>3200</v>
      </c>
    </row>
    <row r="28" ht="22" customHeight="1">
      <c r="C28" s="26" t="inlineStr">
        <is>
          <t>Security (CCTV)</t>
        </is>
      </c>
      <c r="D28" s="36" t="n">
        <v>1800</v>
      </c>
    </row>
    <row r="29" ht="22" customHeight="1">
      <c r="C29" s="26" t="inlineStr">
        <is>
          <t>Pest Control</t>
        </is>
      </c>
      <c r="D29" s="36" t="n">
        <v>1200</v>
      </c>
    </row>
    <row r="30" ht="22" customHeight="1">
      <c r="C30" s="26" t="inlineStr">
        <is>
          <t>Elevator Service</t>
        </is>
      </c>
      <c r="D30" s="36" t="n">
        <v>2800</v>
      </c>
    </row>
    <row r="31" ht="22" customHeight="1">
      <c r="C31" s="26" t="inlineStr">
        <is>
          <t>Other</t>
        </is>
      </c>
      <c r="D31" s="36" t="n">
        <v>500</v>
      </c>
    </row>
    <row r="32" ht="26" customHeight="1">
      <c r="B32" s="37" t="inlineStr">
        <is>
          <t>Total OpEx</t>
        </is>
      </c>
      <c r="C32" s="38" t="n"/>
      <c r="D32" s="38" t="n"/>
      <c r="E32" s="38" t="n"/>
    </row>
    <row r="33" ht="8" customHeight="1">
      <c r="D33" s="27">
        <f>SUM(D27:D32)</f>
        <v/>
      </c>
    </row>
    <row r="34" ht="24" customHeight="1">
      <c r="B34" s="35" t="inlineStr">
        <is>
          <t>NET PROFIT</t>
        </is>
      </c>
    </row>
    <row r="35" ht="26" customHeight="1">
      <c r="B35" s="37" t="inlineStr">
        <is>
          <t>Net Profit</t>
        </is>
      </c>
      <c r="C35" s="38" t="n"/>
      <c r="D35" s="38" t="n"/>
      <c r="E35" s="38" t="n"/>
    </row>
    <row r="36" ht="26" customHeight="1">
      <c r="B36" s="37" t="inlineStr">
        <is>
          <t>Net Margin</t>
        </is>
      </c>
      <c r="C36" s="38" t="n"/>
      <c r="D36" s="39">
        <f>D22-D33</f>
        <v/>
      </c>
      <c r="E36" s="38" t="n"/>
    </row>
    <row r="37">
      <c r="D37" s="28">
        <f>IFERROR(D36/D9,0)</f>
        <v/>
      </c>
    </row>
  </sheetData>
  <mergeCells count="1">
    <mergeCell ref="B2:D2"/>
  </mergeCells>
  <conditionalFormatting sqref="D6">
    <cfRule type="cellIs" priority="1" operator="lessThan" dxfId="1">
      <formula>0</formula>
    </cfRule>
  </conditionalFormatting>
  <conditionalFormatting sqref="D7">
    <cfRule type="cellIs" priority="2" operator="lessThan" dxfId="1">
      <formula>0</formula>
    </cfRule>
  </conditionalFormatting>
  <conditionalFormatting sqref="D8">
    <cfRule type="cellIs" priority="3" operator="lessThan" dxfId="1">
      <formula>0</formula>
    </cfRule>
  </conditionalFormatting>
  <conditionalFormatting sqref="D9">
    <cfRule type="cellIs" priority="4" operator="lessThan" dxfId="1">
      <formula>0</formula>
    </cfRule>
  </conditionalFormatting>
  <conditionalFormatting sqref="D13">
    <cfRule type="cellIs" priority="5" operator="lessThan" dxfId="1">
      <formula>0</formula>
    </cfRule>
  </conditionalFormatting>
  <conditionalFormatting sqref="D14">
    <cfRule type="cellIs" priority="6" operator="lessThan" dxfId="1">
      <formula>0</formula>
    </cfRule>
  </conditionalFormatting>
  <conditionalFormatting sqref="D15">
    <cfRule type="cellIs" priority="7" operator="lessThan" dxfId="1">
      <formula>0</formula>
    </cfRule>
  </conditionalFormatting>
  <conditionalFormatting sqref="D16">
    <cfRule type="cellIs" priority="8" operator="lessThan" dxfId="1">
      <formula>0</formula>
    </cfRule>
  </conditionalFormatting>
  <conditionalFormatting sqref="D17">
    <cfRule type="cellIs" priority="9" operator="lessThan" dxfId="1">
      <formula>0</formula>
    </cfRule>
  </conditionalFormatting>
  <conditionalFormatting sqref="D18">
    <cfRule type="cellIs" priority="10" operator="lessThan" dxfId="1">
      <formula>0</formula>
    </cfRule>
  </conditionalFormatting>
  <conditionalFormatting sqref="D19">
    <cfRule type="cellIs" priority="11" operator="lessThan" dxfId="1">
      <formula>0</formula>
    </cfRule>
  </conditionalFormatting>
  <conditionalFormatting sqref="D22">
    <cfRule type="cellIs" priority="12" operator="lessThan" dxfId="1">
      <formula>0</formula>
    </cfRule>
  </conditionalFormatting>
  <conditionalFormatting sqref="D23">
    <cfRule type="cellIs" priority="13" operator="lessThan" dxfId="1">
      <formula>0</formula>
    </cfRule>
  </conditionalFormatting>
  <conditionalFormatting sqref="D27">
    <cfRule type="cellIs" priority="14" operator="lessThan" dxfId="1">
      <formula>0</formula>
    </cfRule>
  </conditionalFormatting>
  <conditionalFormatting sqref="D28">
    <cfRule type="cellIs" priority="15" operator="lessThan" dxfId="1">
      <formula>0</formula>
    </cfRule>
  </conditionalFormatting>
  <conditionalFormatting sqref="D29">
    <cfRule type="cellIs" priority="16" operator="lessThan" dxfId="1">
      <formula>0</formula>
    </cfRule>
  </conditionalFormatting>
  <conditionalFormatting sqref="D30">
    <cfRule type="cellIs" priority="17" operator="lessThan" dxfId="1">
      <formula>0</formula>
    </cfRule>
  </conditionalFormatting>
  <conditionalFormatting sqref="D31">
    <cfRule type="cellIs" priority="18" operator="lessThan" dxfId="1">
      <formula>0</formula>
    </cfRule>
  </conditionalFormatting>
  <conditionalFormatting sqref="D32">
    <cfRule type="cellIs" priority="19" operator="lessThan" dxfId="1">
      <formula>0</formula>
    </cfRule>
  </conditionalFormatting>
  <conditionalFormatting sqref="D33">
    <cfRule type="cellIs" priority="20" operator="lessThan" dxfId="1">
      <formula>0</formula>
    </cfRule>
  </conditionalFormatting>
  <conditionalFormatting sqref="D36">
    <cfRule type="cellIs" priority="21" operator="lessThan" dxfId="1">
      <formula>0</formula>
    </cfRule>
  </conditionalFormatting>
  <conditionalFormatting sqref="D37">
    <cfRule type="cellIs" priority="22" operator="less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D4A3E"/>
    <outlinePr summaryBelow="1" summaryRight="1"/>
    <pageSetUpPr/>
  </sheetPr>
  <dimension ref="B2:M6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4" customWidth="1" min="4" max="4"/>
    <col width="14" customWidth="1" min="5" max="5"/>
    <col width="16" customWidth="1" min="6" max="6"/>
    <col width="14" customWidth="1" min="7" max="7"/>
    <col width="18" customWidth="1" min="8" max="8"/>
    <col width="14" customWidth="1" min="9" max="9"/>
    <col width="14" customWidth="1" min="10" max="10"/>
    <col width="16" customWidth="1" min="11" max="11"/>
    <col width="14" customWidth="1" min="12" max="12"/>
    <col width="26" customWidth="1" min="13" max="13"/>
  </cols>
  <sheetData>
    <row r="1" ht="15" customHeight="1"/>
    <row r="2" ht="32" customHeight="1">
      <c r="B2" s="1" t="inlineStr">
        <is>
          <t>Lease Contract Tracker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Tenant Name</t>
        </is>
      </c>
      <c r="D4" s="10" t="inlineStr">
        <is>
          <t>Contract Start</t>
        </is>
      </c>
      <c r="E4" s="10" t="inlineStr">
        <is>
          <t>Contract End</t>
        </is>
      </c>
      <c r="F4" s="10" t="inlineStr">
        <is>
          <t>Duration (Months)</t>
        </is>
      </c>
      <c r="G4" s="10" t="inlineStr">
        <is>
          <t>Monthly Rent</t>
        </is>
      </c>
      <c r="H4" s="10" t="inlineStr">
        <is>
          <t>Total Contract Value</t>
        </is>
      </c>
      <c r="I4" s="10" t="inlineStr">
        <is>
          <t>Days Remaining</t>
        </is>
      </c>
      <c r="J4" s="10" t="inlineStr">
        <is>
          <t>Status</t>
        </is>
      </c>
      <c r="K4" s="10" t="inlineStr">
        <is>
          <t>Renewal Status</t>
        </is>
      </c>
      <c r="L4" s="10" t="inlineStr">
        <is>
          <t>New Rent</t>
        </is>
      </c>
      <c r="M4" s="10" t="inlineStr">
        <is>
          <t>Notes</t>
        </is>
      </c>
    </row>
    <row r="5" ht="22" customHeight="1">
      <c r="B5" s="11" t="inlineStr">
        <is>
          <t>A-101</t>
        </is>
      </c>
      <c r="C5" s="11" t="inlineStr">
        <is>
          <t>Muhammad Ali</t>
        </is>
      </c>
      <c r="D5" s="15" t="n">
        <v>45352</v>
      </c>
      <c r="E5" s="15" t="n">
        <v>45716</v>
      </c>
      <c r="F5" s="13" t="n">
        <v>11</v>
      </c>
      <c r="G5" s="14" t="n">
        <v>2200</v>
      </c>
      <c r="H5" s="14" t="n">
        <v>24200</v>
      </c>
      <c r="I5" s="13" t="n">
        <v>0</v>
      </c>
      <c r="J5" s="11" t="inlineStr">
        <is>
          <t>Expired</t>
        </is>
      </c>
      <c r="K5" s="11" t="inlineStr">
        <is>
          <t>Not Renewed</t>
        </is>
      </c>
      <c r="L5" s="32" t="inlineStr"/>
      <c r="M5" s="11" t="inlineStr">
        <is>
          <t>Tenant vacating, unit available</t>
        </is>
      </c>
    </row>
    <row r="6" ht="22" customHeight="1">
      <c r="B6" s="16" t="inlineStr">
        <is>
          <t>A-102</t>
        </is>
      </c>
      <c r="C6" s="16" t="inlineStr">
        <is>
          <t>Ahmed Khan</t>
        </is>
      </c>
      <c r="D6" s="20" t="n">
        <v>45384</v>
      </c>
      <c r="E6" s="20" t="n">
        <v>45749</v>
      </c>
      <c r="F6" s="18" t="n">
        <v>12</v>
      </c>
      <c r="G6" s="19" t="n">
        <v>2300</v>
      </c>
      <c r="H6" s="19" t="n">
        <v>27600</v>
      </c>
      <c r="I6" s="18" t="n">
        <v>0</v>
      </c>
      <c r="J6" s="16" t="inlineStr">
        <is>
          <t>Expired</t>
        </is>
      </c>
      <c r="K6" s="16" t="inlineStr"/>
      <c r="L6" s="31" t="inlineStr"/>
      <c r="M6" s="16" t="inlineStr"/>
    </row>
    <row r="7" ht="22" customHeight="1">
      <c r="B7" s="11" t="inlineStr">
        <is>
          <t>A-103</t>
        </is>
      </c>
      <c r="C7" s="11" t="inlineStr">
        <is>
          <t>Fatima Noor</t>
        </is>
      </c>
      <c r="D7" s="15" t="n">
        <v>45476</v>
      </c>
      <c r="E7" s="15" t="n">
        <v>45841</v>
      </c>
      <c r="F7" s="13" t="n">
        <v>12</v>
      </c>
      <c r="G7" s="14" t="n">
        <v>2400</v>
      </c>
      <c r="H7" s="14" t="n">
        <v>28800</v>
      </c>
      <c r="I7" s="13" t="n">
        <v>89</v>
      </c>
      <c r="J7" s="11" t="inlineStr">
        <is>
          <t>Renewal Due</t>
        </is>
      </c>
      <c r="K7" s="11" t="inlineStr"/>
      <c r="L7" s="32" t="inlineStr"/>
      <c r="M7" s="11" t="inlineStr">
        <is>
          <t>Renewal discussion needed</t>
        </is>
      </c>
    </row>
    <row r="8" ht="22" customHeight="1">
      <c r="B8" s="16" t="inlineStr">
        <is>
          <t>A-105</t>
        </is>
      </c>
      <c r="C8" s="16" t="inlineStr">
        <is>
          <t>Rajesh Kumar</t>
        </is>
      </c>
      <c r="D8" s="20" t="n">
        <v>45413</v>
      </c>
      <c r="E8" s="20" t="n">
        <v>45777</v>
      </c>
      <c r="F8" s="18" t="n">
        <v>11</v>
      </c>
      <c r="G8" s="19" t="n">
        <v>2600</v>
      </c>
      <c r="H8" s="19" t="n">
        <v>28600</v>
      </c>
      <c r="I8" s="18" t="n">
        <v>25</v>
      </c>
      <c r="J8" s="16" t="inlineStr">
        <is>
          <t>Expiring Soon</t>
        </is>
      </c>
      <c r="K8" s="16" t="inlineStr">
        <is>
          <t>In Negotiation</t>
        </is>
      </c>
      <c r="L8" s="19" t="n">
        <v>3900</v>
      </c>
      <c r="M8" s="16" t="inlineStr">
        <is>
          <t>Contact tenant for renewal</t>
        </is>
      </c>
    </row>
    <row r="9" ht="22" customHeight="1">
      <c r="B9" s="11" t="inlineStr">
        <is>
          <t>A-106</t>
        </is>
      </c>
      <c r="C9" s="11" t="inlineStr">
        <is>
          <t>Priya Sharma</t>
        </is>
      </c>
      <c r="D9" s="15" t="n">
        <v>45296</v>
      </c>
      <c r="E9" s="15" t="n">
        <v>45662</v>
      </c>
      <c r="F9" s="13" t="n">
        <v>12</v>
      </c>
      <c r="G9" s="14" t="n">
        <v>2700</v>
      </c>
      <c r="H9" s="14" t="n">
        <v>32400</v>
      </c>
      <c r="I9" s="13" t="n">
        <v>0</v>
      </c>
      <c r="J9" s="11" t="inlineStr">
        <is>
          <t>Expired</t>
        </is>
      </c>
      <c r="K9" s="11" t="inlineStr"/>
      <c r="L9" s="32" t="inlineStr"/>
      <c r="M9" s="11" t="inlineStr"/>
    </row>
    <row r="10" ht="22" customHeight="1">
      <c r="B10" s="16" t="inlineStr">
        <is>
          <t>A-107</t>
        </is>
      </c>
      <c r="C10" s="16" t="inlineStr">
        <is>
          <t>Omar Hassan</t>
        </is>
      </c>
      <c r="D10" s="20" t="n">
        <v>45458</v>
      </c>
      <c r="E10" s="20" t="n">
        <v>45823</v>
      </c>
      <c r="F10" s="18" t="n">
        <v>12</v>
      </c>
      <c r="G10" s="19" t="n">
        <v>2800</v>
      </c>
      <c r="H10" s="19" t="n">
        <v>33600</v>
      </c>
      <c r="I10" s="18" t="n">
        <v>71</v>
      </c>
      <c r="J10" s="16" t="inlineStr">
        <is>
          <t>Renewal Due</t>
        </is>
      </c>
      <c r="K10" s="16" t="inlineStr">
        <is>
          <t>In Negotiation</t>
        </is>
      </c>
      <c r="L10" s="19" t="n">
        <v>3750</v>
      </c>
      <c r="M10" s="16" t="inlineStr">
        <is>
          <t>Renewal discussion needed</t>
        </is>
      </c>
    </row>
    <row r="11" ht="22" customHeight="1">
      <c r="B11" s="11" t="inlineStr">
        <is>
          <t>A-108</t>
        </is>
      </c>
      <c r="C11" s="11" t="inlineStr">
        <is>
          <t>Layla Mahmoud</t>
        </is>
      </c>
      <c r="D11" s="15" t="n">
        <v>45480</v>
      </c>
      <c r="E11" s="15" t="n">
        <v>45845</v>
      </c>
      <c r="F11" s="13" t="n">
        <v>12</v>
      </c>
      <c r="G11" s="14" t="n">
        <v>2350</v>
      </c>
      <c r="H11" s="14" t="n">
        <v>28200</v>
      </c>
      <c r="I11" s="13" t="n">
        <v>93</v>
      </c>
      <c r="J11" s="11" t="inlineStr">
        <is>
          <t>Active</t>
        </is>
      </c>
      <c r="K11" s="11" t="inlineStr"/>
      <c r="L11" s="32" t="inlineStr"/>
      <c r="M11" s="11" t="inlineStr"/>
    </row>
    <row r="12" ht="22" customHeight="1">
      <c r="B12" s="16" t="inlineStr">
        <is>
          <t>A-110</t>
        </is>
      </c>
      <c r="C12" s="16" t="inlineStr">
        <is>
          <t>Youssef Ibrahim</t>
        </is>
      </c>
      <c r="D12" s="20" t="n">
        <v>45573</v>
      </c>
      <c r="E12" s="20" t="n">
        <v>45938</v>
      </c>
      <c r="F12" s="18" t="n">
        <v>12</v>
      </c>
      <c r="G12" s="19" t="n">
        <v>2550</v>
      </c>
      <c r="H12" s="19" t="n">
        <v>30600</v>
      </c>
      <c r="I12" s="18" t="n">
        <v>186</v>
      </c>
      <c r="J12" s="16" t="inlineStr">
        <is>
          <t>Active</t>
        </is>
      </c>
      <c r="K12" s="16" t="inlineStr"/>
      <c r="L12" s="31" t="inlineStr"/>
      <c r="M12" s="16" t="inlineStr"/>
    </row>
    <row r="13" ht="22" customHeight="1">
      <c r="B13" s="11" t="inlineStr">
        <is>
          <t>A-201</t>
        </is>
      </c>
      <c r="C13" s="11" t="inlineStr">
        <is>
          <t>Sunil Patel</t>
        </is>
      </c>
      <c r="D13" s="15" t="n">
        <v>45300</v>
      </c>
      <c r="E13" s="15" t="n">
        <v>45666</v>
      </c>
      <c r="F13" s="13" t="n">
        <v>12</v>
      </c>
      <c r="G13" s="14" t="n">
        <v>3500</v>
      </c>
      <c r="H13" s="14" t="n">
        <v>42000</v>
      </c>
      <c r="I13" s="13" t="n">
        <v>0</v>
      </c>
      <c r="J13" s="11" t="inlineStr">
        <is>
          <t>Expired</t>
        </is>
      </c>
      <c r="K13" s="11" t="inlineStr"/>
      <c r="L13" s="32" t="inlineStr"/>
      <c r="M13" s="11" t="inlineStr"/>
    </row>
    <row r="14" ht="22" customHeight="1">
      <c r="B14" s="16" t="inlineStr">
        <is>
          <t>A-202</t>
        </is>
      </c>
      <c r="C14" s="16" t="inlineStr">
        <is>
          <t>Maria Santos</t>
        </is>
      </c>
      <c r="D14" s="20" t="n">
        <v>45392</v>
      </c>
      <c r="E14" s="20" t="n">
        <v>45757</v>
      </c>
      <c r="F14" s="18" t="n">
        <v>12</v>
      </c>
      <c r="G14" s="19" t="n">
        <v>3600</v>
      </c>
      <c r="H14" s="19" t="n">
        <v>43200</v>
      </c>
      <c r="I14" s="18" t="n">
        <v>5</v>
      </c>
      <c r="J14" s="16" t="inlineStr">
        <is>
          <t>Expiring Soon</t>
        </is>
      </c>
      <c r="K14" s="16" t="inlineStr"/>
      <c r="L14" s="31" t="inlineStr"/>
      <c r="M14" s="16" t="inlineStr">
        <is>
          <t>Contact tenant for renewal</t>
        </is>
      </c>
    </row>
    <row r="15" ht="22" customHeight="1">
      <c r="B15" s="11" t="inlineStr">
        <is>
          <t>A-203</t>
        </is>
      </c>
      <c r="C15" s="11" t="inlineStr">
        <is>
          <t>Jose Reyes</t>
        </is>
      </c>
      <c r="D15" s="15" t="n">
        <v>45352</v>
      </c>
      <c r="E15" s="15" t="n">
        <v>45716</v>
      </c>
      <c r="F15" s="13" t="n">
        <v>11</v>
      </c>
      <c r="G15" s="14" t="n">
        <v>3700</v>
      </c>
      <c r="H15" s="14" t="n">
        <v>40700</v>
      </c>
      <c r="I15" s="13" t="n">
        <v>0</v>
      </c>
      <c r="J15" s="11" t="inlineStr">
        <is>
          <t>Expired</t>
        </is>
      </c>
      <c r="K15" s="11" t="inlineStr">
        <is>
          <t>Renewed</t>
        </is>
      </c>
      <c r="L15" s="14" t="n">
        <v>3800</v>
      </c>
      <c r="M15" s="11" t="inlineStr">
        <is>
          <t>New contract signed</t>
        </is>
      </c>
    </row>
    <row r="16" ht="22" customHeight="1">
      <c r="B16" s="16" t="inlineStr">
        <is>
          <t>A-204</t>
        </is>
      </c>
      <c r="C16" s="16" t="inlineStr">
        <is>
          <t>Nadia Ahmed</t>
        </is>
      </c>
      <c r="D16" s="20" t="n">
        <v>45577</v>
      </c>
      <c r="E16" s="20" t="n">
        <v>45942</v>
      </c>
      <c r="F16" s="18" t="n">
        <v>12</v>
      </c>
      <c r="G16" s="19" t="n">
        <v>3800</v>
      </c>
      <c r="H16" s="19" t="n">
        <v>45600</v>
      </c>
      <c r="I16" s="18" t="n">
        <v>190</v>
      </c>
      <c r="J16" s="16" t="inlineStr">
        <is>
          <t>Active</t>
        </is>
      </c>
      <c r="K16" s="16" t="inlineStr"/>
      <c r="L16" s="31" t="inlineStr"/>
      <c r="M16" s="16" t="inlineStr"/>
    </row>
    <row r="17" ht="22" customHeight="1">
      <c r="B17" s="11" t="inlineStr">
        <is>
          <t>A-205</t>
        </is>
      </c>
      <c r="C17" s="11" t="inlineStr">
        <is>
          <t>Hassan Malik</t>
        </is>
      </c>
      <c r="D17" s="15" t="n">
        <v>45304</v>
      </c>
      <c r="E17" s="15" t="n">
        <v>45670</v>
      </c>
      <c r="F17" s="13" t="n">
        <v>12</v>
      </c>
      <c r="G17" s="14" t="n">
        <v>3900</v>
      </c>
      <c r="H17" s="14" t="n">
        <v>46800</v>
      </c>
      <c r="I17" s="13" t="n">
        <v>0</v>
      </c>
      <c r="J17" s="11" t="inlineStr">
        <is>
          <t>Expired</t>
        </is>
      </c>
      <c r="K17" s="11" t="inlineStr"/>
      <c r="L17" s="32" t="inlineStr"/>
      <c r="M17" s="11" t="inlineStr"/>
    </row>
    <row r="18" ht="22" customHeight="1">
      <c r="B18" s="16" t="inlineStr">
        <is>
          <t>B-101</t>
        </is>
      </c>
      <c r="C18" s="16" t="inlineStr">
        <is>
          <t>Deepak Sharma</t>
        </is>
      </c>
      <c r="D18" s="20" t="n">
        <v>45396</v>
      </c>
      <c r="E18" s="20" t="n">
        <v>45761</v>
      </c>
      <c r="F18" s="18" t="n">
        <v>12</v>
      </c>
      <c r="G18" s="19" t="n">
        <v>2250</v>
      </c>
      <c r="H18" s="19" t="n">
        <v>27000</v>
      </c>
      <c r="I18" s="18" t="n">
        <v>9</v>
      </c>
      <c r="J18" s="16" t="inlineStr">
        <is>
          <t>Expiring Soon</t>
        </is>
      </c>
      <c r="K18" s="16" t="inlineStr"/>
      <c r="L18" s="31" t="inlineStr"/>
      <c r="M18" s="16" t="inlineStr">
        <is>
          <t>Contact tenant for renewal</t>
        </is>
      </c>
    </row>
    <row r="19" ht="22" customHeight="1">
      <c r="B19" s="11" t="inlineStr">
        <is>
          <t>B-103</t>
        </is>
      </c>
      <c r="C19" s="11" t="inlineStr">
        <is>
          <t>Amina Yusuf</t>
        </is>
      </c>
      <c r="D19" s="15" t="n">
        <v>45488</v>
      </c>
      <c r="E19" s="15" t="n">
        <v>45853</v>
      </c>
      <c r="F19" s="13" t="n">
        <v>12</v>
      </c>
      <c r="G19" s="14" t="n">
        <v>2750</v>
      </c>
      <c r="H19" s="14" t="n">
        <v>33000</v>
      </c>
      <c r="I19" s="13" t="n">
        <v>101</v>
      </c>
      <c r="J19" s="11" t="inlineStr">
        <is>
          <t>Active</t>
        </is>
      </c>
      <c r="K19" s="11" t="inlineStr"/>
      <c r="L19" s="32" t="inlineStr"/>
      <c r="M19" s="11" t="inlineStr"/>
    </row>
    <row r="20" ht="22" customHeight="1">
      <c r="B20" s="16" t="inlineStr">
        <is>
          <t>B-104</t>
        </is>
      </c>
      <c r="C20" s="16" t="inlineStr">
        <is>
          <t>Khalid Al Mansouri</t>
        </is>
      </c>
      <c r="D20" s="20" t="n">
        <v>45413</v>
      </c>
      <c r="E20" s="20" t="n">
        <v>45777</v>
      </c>
      <c r="F20" s="18" t="n">
        <v>11</v>
      </c>
      <c r="G20" s="19" t="n">
        <v>2400</v>
      </c>
      <c r="H20" s="19" t="n">
        <v>26400</v>
      </c>
      <c r="I20" s="18" t="n">
        <v>25</v>
      </c>
      <c r="J20" s="16" t="inlineStr">
        <is>
          <t>Expiring Soon</t>
        </is>
      </c>
      <c r="K20" s="16" t="inlineStr">
        <is>
          <t>Pending</t>
        </is>
      </c>
      <c r="L20" s="31" t="inlineStr"/>
      <c r="M20" s="16" t="inlineStr">
        <is>
          <t>Contact tenant for renewal</t>
        </is>
      </c>
    </row>
    <row r="21" ht="22" customHeight="1">
      <c r="B21" s="11" t="inlineStr">
        <is>
          <t>B-105</t>
        </is>
      </c>
      <c r="C21" s="11" t="inlineStr">
        <is>
          <t>Sunita Devi</t>
        </is>
      </c>
      <c r="D21" s="15" t="n">
        <v>45308</v>
      </c>
      <c r="E21" s="15" t="n">
        <v>45674</v>
      </c>
      <c r="F21" s="13" t="n">
        <v>12</v>
      </c>
      <c r="G21" s="14" t="n">
        <v>2500</v>
      </c>
      <c r="H21" s="14" t="n">
        <v>30000</v>
      </c>
      <c r="I21" s="13" t="n">
        <v>0</v>
      </c>
      <c r="J21" s="11" t="inlineStr">
        <is>
          <t>Expired</t>
        </is>
      </c>
      <c r="K21" s="11" t="inlineStr"/>
      <c r="L21" s="32" t="inlineStr"/>
      <c r="M21" s="11" t="inlineStr"/>
    </row>
    <row r="22" ht="22" customHeight="1">
      <c r="B22" s="16" t="inlineStr">
        <is>
          <t>B-106</t>
        </is>
      </c>
      <c r="C22" s="16" t="inlineStr">
        <is>
          <t>Arjun Reddy</t>
        </is>
      </c>
      <c r="D22" s="20" t="n">
        <v>45400</v>
      </c>
      <c r="E22" s="20" t="n">
        <v>45765</v>
      </c>
      <c r="F22" s="18" t="n">
        <v>12</v>
      </c>
      <c r="G22" s="19" t="n">
        <v>2600</v>
      </c>
      <c r="H22" s="19" t="n">
        <v>31200</v>
      </c>
      <c r="I22" s="18" t="n">
        <v>13</v>
      </c>
      <c r="J22" s="16" t="inlineStr">
        <is>
          <t>Expiring Soon</t>
        </is>
      </c>
      <c r="K22" s="16" t="inlineStr"/>
      <c r="L22" s="31" t="inlineStr"/>
      <c r="M22" s="16" t="inlineStr">
        <is>
          <t>Contact tenant for renewal</t>
        </is>
      </c>
    </row>
    <row r="23" ht="22" customHeight="1">
      <c r="B23" s="11" t="inlineStr">
        <is>
          <t>B-107</t>
        </is>
      </c>
      <c r="C23" s="11" t="inlineStr">
        <is>
          <t>Zainab Khan</t>
        </is>
      </c>
      <c r="D23" s="15" t="n">
        <v>45492</v>
      </c>
      <c r="E23" s="15" t="n">
        <v>45857</v>
      </c>
      <c r="F23" s="13" t="n">
        <v>12</v>
      </c>
      <c r="G23" s="14" t="n">
        <v>2300</v>
      </c>
      <c r="H23" s="14" t="n">
        <v>27600</v>
      </c>
      <c r="I23" s="13" t="n">
        <v>105</v>
      </c>
      <c r="J23" s="11" t="inlineStr">
        <is>
          <t>Active</t>
        </is>
      </c>
      <c r="K23" s="11" t="inlineStr"/>
      <c r="L23" s="32" t="inlineStr"/>
      <c r="M23" s="11" t="inlineStr"/>
    </row>
    <row r="24" ht="22" customHeight="1">
      <c r="B24" s="16" t="inlineStr">
        <is>
          <t>B-108</t>
        </is>
      </c>
      <c r="C24" s="16" t="inlineStr">
        <is>
          <t>Rashid Ahmad</t>
        </is>
      </c>
      <c r="D24" s="20" t="n">
        <v>45458</v>
      </c>
      <c r="E24" s="20" t="n">
        <v>45823</v>
      </c>
      <c r="F24" s="18" t="n">
        <v>12</v>
      </c>
      <c r="G24" s="19" t="n">
        <v>2550</v>
      </c>
      <c r="H24" s="19" t="n">
        <v>30600</v>
      </c>
      <c r="I24" s="18" t="n">
        <v>71</v>
      </c>
      <c r="J24" s="16" t="inlineStr">
        <is>
          <t>Renewal Due</t>
        </is>
      </c>
      <c r="K24" s="16" t="inlineStr">
        <is>
          <t>Pending</t>
        </is>
      </c>
      <c r="L24" s="31" t="inlineStr"/>
      <c r="M24" s="16" t="inlineStr">
        <is>
          <t>Renewal discussion needed</t>
        </is>
      </c>
    </row>
    <row r="25" ht="22" customHeight="1">
      <c r="B25" s="11" t="inlineStr">
        <is>
          <t>B-202</t>
        </is>
      </c>
      <c r="C25" s="11" t="inlineStr">
        <is>
          <t>Meena Kumari</t>
        </is>
      </c>
      <c r="D25" s="15" t="n">
        <v>45312</v>
      </c>
      <c r="E25" s="15" t="n">
        <v>45678</v>
      </c>
      <c r="F25" s="13" t="n">
        <v>12</v>
      </c>
      <c r="G25" s="14" t="n">
        <v>4100</v>
      </c>
      <c r="H25" s="14" t="n">
        <v>49200</v>
      </c>
      <c r="I25" s="13" t="n">
        <v>0</v>
      </c>
      <c r="J25" s="11" t="inlineStr">
        <is>
          <t>Expired</t>
        </is>
      </c>
      <c r="K25" s="11" t="inlineStr"/>
      <c r="L25" s="32" t="inlineStr"/>
      <c r="M25" s="11" t="inlineStr"/>
    </row>
    <row r="26" ht="22" customHeight="1">
      <c r="B26" s="16" t="inlineStr">
        <is>
          <t>B-203</t>
        </is>
      </c>
      <c r="C26" s="16" t="inlineStr">
        <is>
          <t>Tariq Hussain</t>
        </is>
      </c>
      <c r="D26" s="20" t="n">
        <v>45404</v>
      </c>
      <c r="E26" s="20" t="n">
        <v>45769</v>
      </c>
      <c r="F26" s="18" t="n">
        <v>12</v>
      </c>
      <c r="G26" s="19" t="n">
        <v>4200</v>
      </c>
      <c r="H26" s="19" t="n">
        <v>50400</v>
      </c>
      <c r="I26" s="18" t="n">
        <v>17</v>
      </c>
      <c r="J26" s="16" t="inlineStr">
        <is>
          <t>Expiring Soon</t>
        </is>
      </c>
      <c r="K26" s="16" t="inlineStr"/>
      <c r="L26" s="31" t="inlineStr"/>
      <c r="M26" s="16" t="inlineStr">
        <is>
          <t>Contact tenant for renewal</t>
        </is>
      </c>
    </row>
    <row r="27" ht="22" customHeight="1">
      <c r="B27" s="11" t="inlineStr">
        <is>
          <t>B-204</t>
        </is>
      </c>
      <c r="C27" s="11" t="inlineStr">
        <is>
          <t>Sara Mahmoud</t>
        </is>
      </c>
      <c r="D27" s="15" t="n">
        <v>45352</v>
      </c>
      <c r="E27" s="15" t="n">
        <v>45716</v>
      </c>
      <c r="F27" s="13" t="n">
        <v>11</v>
      </c>
      <c r="G27" s="14" t="n">
        <v>3550</v>
      </c>
      <c r="H27" s="14" t="n">
        <v>39050</v>
      </c>
      <c r="I27" s="13" t="n">
        <v>0</v>
      </c>
      <c r="J27" s="11" t="inlineStr">
        <is>
          <t>Expired</t>
        </is>
      </c>
      <c r="K27" s="11" t="inlineStr">
        <is>
          <t>Not Renewed</t>
        </is>
      </c>
      <c r="L27" s="32" t="inlineStr"/>
      <c r="M27" s="11" t="inlineStr">
        <is>
          <t>Tenant vacating, unit available</t>
        </is>
      </c>
    </row>
    <row r="28" ht="22" customHeight="1">
      <c r="B28" s="16" t="inlineStr">
        <is>
          <t>B-205</t>
        </is>
      </c>
      <c r="C28" s="16" t="inlineStr">
        <is>
          <t>Vikram Singh</t>
        </is>
      </c>
      <c r="D28" s="20" t="n">
        <v>45589</v>
      </c>
      <c r="E28" s="20" t="n">
        <v>45954</v>
      </c>
      <c r="F28" s="18" t="n">
        <v>12</v>
      </c>
      <c r="G28" s="19" t="n">
        <v>3650</v>
      </c>
      <c r="H28" s="19" t="n">
        <v>43800</v>
      </c>
      <c r="I28" s="18" t="n">
        <v>202</v>
      </c>
      <c r="J28" s="16" t="inlineStr">
        <is>
          <t>Active</t>
        </is>
      </c>
      <c r="K28" s="16" t="inlineStr"/>
      <c r="L28" s="31" t="inlineStr"/>
      <c r="M28" s="16" t="inlineStr"/>
    </row>
    <row r="29" ht="22" customHeight="1">
      <c r="B29" s="11" t="inlineStr">
        <is>
          <t>B-206</t>
        </is>
      </c>
      <c r="C29" s="11" t="inlineStr">
        <is>
          <t>Noor Fatima</t>
        </is>
      </c>
      <c r="D29" s="15" t="n">
        <v>45316</v>
      </c>
      <c r="E29" s="15" t="n">
        <v>45682</v>
      </c>
      <c r="F29" s="13" t="n">
        <v>12</v>
      </c>
      <c r="G29" s="14" t="n">
        <v>3750</v>
      </c>
      <c r="H29" s="14" t="n">
        <v>45000</v>
      </c>
      <c r="I29" s="13" t="n">
        <v>0</v>
      </c>
      <c r="J29" s="11" t="inlineStr">
        <is>
          <t>Expired</t>
        </is>
      </c>
      <c r="K29" s="11" t="inlineStr"/>
      <c r="L29" s="32" t="inlineStr"/>
      <c r="M29" s="11" t="inlineStr"/>
    </row>
    <row r="30" ht="22" customHeight="1">
      <c r="B30" s="16" t="inlineStr">
        <is>
          <t>C-101</t>
        </is>
      </c>
      <c r="C30" s="16" t="inlineStr">
        <is>
          <t>Imran Sheikh</t>
        </is>
      </c>
      <c r="D30" s="20" t="n">
        <v>45408</v>
      </c>
      <c r="E30" s="20" t="n">
        <v>45773</v>
      </c>
      <c r="F30" s="18" t="n">
        <v>12</v>
      </c>
      <c r="G30" s="19" t="n">
        <v>2650</v>
      </c>
      <c r="H30" s="19" t="n">
        <v>31800</v>
      </c>
      <c r="I30" s="18" t="n">
        <v>21</v>
      </c>
      <c r="J30" s="16" t="inlineStr">
        <is>
          <t>Expiring Soon</t>
        </is>
      </c>
      <c r="K30" s="16" t="inlineStr"/>
      <c r="L30" s="31" t="inlineStr"/>
      <c r="M30" s="16" t="inlineStr">
        <is>
          <t>Contact tenant for renewal</t>
        </is>
      </c>
    </row>
    <row r="31" ht="22" customHeight="1">
      <c r="B31" s="11" t="inlineStr">
        <is>
          <t>C-102</t>
        </is>
      </c>
      <c r="C31" s="11" t="inlineStr">
        <is>
          <t>Ritu Patel</t>
        </is>
      </c>
      <c r="D31" s="15" t="n">
        <v>45500</v>
      </c>
      <c r="E31" s="15" t="n">
        <v>45865</v>
      </c>
      <c r="F31" s="13" t="n">
        <v>12</v>
      </c>
      <c r="G31" s="14" t="n">
        <v>2350</v>
      </c>
      <c r="H31" s="14" t="n">
        <v>28200</v>
      </c>
      <c r="I31" s="13" t="n">
        <v>113</v>
      </c>
      <c r="J31" s="11" t="inlineStr">
        <is>
          <t>Active</t>
        </is>
      </c>
      <c r="K31" s="11" t="inlineStr"/>
      <c r="L31" s="32" t="inlineStr"/>
      <c r="M31" s="11" t="inlineStr"/>
    </row>
    <row r="32" ht="22" customHeight="1">
      <c r="B32" s="16" t="inlineStr">
        <is>
          <t>C-104</t>
        </is>
      </c>
      <c r="C32" s="16" t="inlineStr">
        <is>
          <t>Samir Abbas</t>
        </is>
      </c>
      <c r="D32" s="20" t="n">
        <v>45413</v>
      </c>
      <c r="E32" s="20" t="n">
        <v>45777</v>
      </c>
      <c r="F32" s="18" t="n">
        <v>11</v>
      </c>
      <c r="G32" s="19" t="n">
        <v>2550</v>
      </c>
      <c r="H32" s="19" t="n">
        <v>28050</v>
      </c>
      <c r="I32" s="18" t="n">
        <v>25</v>
      </c>
      <c r="J32" s="16" t="inlineStr">
        <is>
          <t>Expiring Soon</t>
        </is>
      </c>
      <c r="K32" s="16" t="inlineStr">
        <is>
          <t>Pending</t>
        </is>
      </c>
      <c r="L32" s="31" t="inlineStr"/>
      <c r="M32" s="16" t="inlineStr">
        <is>
          <t>Contact tenant for renewal</t>
        </is>
      </c>
    </row>
    <row r="33" ht="22" customHeight="1">
      <c r="B33" s="11" t="inlineStr">
        <is>
          <t>C-105</t>
        </is>
      </c>
      <c r="C33" s="11" t="inlineStr">
        <is>
          <t>Pooja Sharma</t>
        </is>
      </c>
      <c r="D33" s="15" t="n">
        <v>45292</v>
      </c>
      <c r="E33" s="15" t="n">
        <v>45658</v>
      </c>
      <c r="F33" s="13" t="n">
        <v>12</v>
      </c>
      <c r="G33" s="14" t="n">
        <v>2200</v>
      </c>
      <c r="H33" s="14" t="n">
        <v>26400</v>
      </c>
      <c r="I33" s="13" t="n">
        <v>0</v>
      </c>
      <c r="J33" s="11" t="inlineStr">
        <is>
          <t>Expired</t>
        </is>
      </c>
      <c r="K33" s="11" t="inlineStr"/>
      <c r="L33" s="32" t="inlineStr"/>
      <c r="M33" s="11" t="inlineStr"/>
    </row>
    <row r="34" ht="22" customHeight="1">
      <c r="B34" s="16" t="inlineStr">
        <is>
          <t>C-106</t>
        </is>
      </c>
      <c r="C34" s="16" t="inlineStr">
        <is>
          <t>Farhan Ali</t>
        </is>
      </c>
      <c r="D34" s="20" t="n">
        <v>45384</v>
      </c>
      <c r="E34" s="20" t="n">
        <v>45749</v>
      </c>
      <c r="F34" s="18" t="n">
        <v>12</v>
      </c>
      <c r="G34" s="19" t="n">
        <v>2300</v>
      </c>
      <c r="H34" s="19" t="n">
        <v>27600</v>
      </c>
      <c r="I34" s="18" t="n">
        <v>0</v>
      </c>
      <c r="J34" s="16" t="inlineStr">
        <is>
          <t>Expired</t>
        </is>
      </c>
      <c r="K34" s="16" t="inlineStr"/>
      <c r="L34" s="31" t="inlineStr"/>
      <c r="M34" s="16" t="inlineStr"/>
    </row>
    <row r="35" ht="22" customHeight="1">
      <c r="B35" s="11" t="inlineStr">
        <is>
          <t>C-201</t>
        </is>
      </c>
      <c r="C35" s="11" t="inlineStr">
        <is>
          <t>Amira Hassan</t>
        </is>
      </c>
      <c r="D35" s="15" t="n">
        <v>45476</v>
      </c>
      <c r="E35" s="15" t="n">
        <v>45841</v>
      </c>
      <c r="F35" s="13" t="n">
        <v>12</v>
      </c>
      <c r="G35" s="14" t="n">
        <v>3850</v>
      </c>
      <c r="H35" s="14" t="n">
        <v>46200</v>
      </c>
      <c r="I35" s="13" t="n">
        <v>89</v>
      </c>
      <c r="J35" s="11" t="inlineStr">
        <is>
          <t>Renewal Due</t>
        </is>
      </c>
      <c r="K35" s="11" t="inlineStr"/>
      <c r="L35" s="32" t="inlineStr"/>
      <c r="M35" s="11" t="inlineStr">
        <is>
          <t>Renewal discussion needed</t>
        </is>
      </c>
    </row>
    <row r="36" ht="22" customHeight="1">
      <c r="B36" s="16" t="inlineStr">
        <is>
          <t>C-202</t>
        </is>
      </c>
      <c r="C36" s="16" t="inlineStr">
        <is>
          <t>Raj Patel</t>
        </is>
      </c>
      <c r="D36" s="20" t="n">
        <v>45569</v>
      </c>
      <c r="E36" s="20" t="n">
        <v>45934</v>
      </c>
      <c r="F36" s="18" t="n">
        <v>12</v>
      </c>
      <c r="G36" s="19" t="n">
        <v>3950</v>
      </c>
      <c r="H36" s="19" t="n">
        <v>47400</v>
      </c>
      <c r="I36" s="18" t="n">
        <v>182</v>
      </c>
      <c r="J36" s="16" t="inlineStr">
        <is>
          <t>Active</t>
        </is>
      </c>
      <c r="K36" s="16" t="inlineStr"/>
      <c r="L36" s="31" t="inlineStr"/>
      <c r="M36" s="16" t="inlineStr"/>
    </row>
    <row r="37" ht="22" customHeight="1">
      <c r="B37" s="11" t="inlineStr">
        <is>
          <t>C-203</t>
        </is>
      </c>
      <c r="C37" s="11" t="inlineStr">
        <is>
          <t>Leila Omar</t>
        </is>
      </c>
      <c r="D37" s="15" t="n">
        <v>45296</v>
      </c>
      <c r="E37" s="15" t="n">
        <v>45662</v>
      </c>
      <c r="F37" s="13" t="n">
        <v>12</v>
      </c>
      <c r="G37" s="14" t="n">
        <v>4050</v>
      </c>
      <c r="H37" s="14" t="n">
        <v>48600</v>
      </c>
      <c r="I37" s="13" t="n">
        <v>0</v>
      </c>
      <c r="J37" s="11" t="inlineStr">
        <is>
          <t>Expired</t>
        </is>
      </c>
      <c r="K37" s="11" t="inlineStr"/>
      <c r="L37" s="32" t="inlineStr"/>
      <c r="M37" s="11" t="inlineStr"/>
    </row>
    <row r="38" ht="22" customHeight="1">
      <c r="B38" s="16" t="inlineStr">
        <is>
          <t>C-204</t>
        </is>
      </c>
      <c r="C38" s="16" t="inlineStr">
        <is>
          <t>Arun Kumar</t>
        </is>
      </c>
      <c r="D38" s="20" t="n">
        <v>45388</v>
      </c>
      <c r="E38" s="20" t="n">
        <v>45753</v>
      </c>
      <c r="F38" s="18" t="n">
        <v>12</v>
      </c>
      <c r="G38" s="19" t="n">
        <v>4150</v>
      </c>
      <c r="H38" s="19" t="n">
        <v>49800</v>
      </c>
      <c r="I38" s="18" t="n">
        <v>1</v>
      </c>
      <c r="J38" s="16" t="inlineStr">
        <is>
          <t>Expiring Soon</t>
        </is>
      </c>
      <c r="K38" s="16" t="inlineStr"/>
      <c r="L38" s="31" t="inlineStr"/>
      <c r="M38" s="16" t="inlineStr">
        <is>
          <t>Contact tenant for renewal</t>
        </is>
      </c>
    </row>
    <row r="39" ht="22" customHeight="1">
      <c r="B39" s="11" t="inlineStr">
        <is>
          <t>C-205</t>
        </is>
      </c>
      <c r="C39" s="11" t="inlineStr">
        <is>
          <t>Sanjay Gupta</t>
        </is>
      </c>
      <c r="D39" s="15" t="n">
        <v>45480</v>
      </c>
      <c r="E39" s="15" t="n">
        <v>45845</v>
      </c>
      <c r="F39" s="13" t="n">
        <v>12</v>
      </c>
      <c r="G39" s="14" t="n">
        <v>3600</v>
      </c>
      <c r="H39" s="14" t="n">
        <v>43200</v>
      </c>
      <c r="I39" s="13" t="n">
        <v>93</v>
      </c>
      <c r="J39" s="11" t="inlineStr">
        <is>
          <t>Active</t>
        </is>
      </c>
      <c r="K39" s="11" t="inlineStr"/>
      <c r="L39" s="32" t="inlineStr"/>
      <c r="M39" s="11" t="inlineStr"/>
    </row>
    <row r="40" ht="22" customHeight="1">
      <c r="B40" s="16" t="inlineStr">
        <is>
          <t>C-207</t>
        </is>
      </c>
      <c r="C40" s="16" t="inlineStr">
        <is>
          <t>Huda Mahmoud</t>
        </is>
      </c>
      <c r="D40" s="20" t="n">
        <v>45352</v>
      </c>
      <c r="E40" s="20" t="n">
        <v>45716</v>
      </c>
      <c r="F40" s="18" t="n">
        <v>11</v>
      </c>
      <c r="G40" s="19" t="n">
        <v>4000</v>
      </c>
      <c r="H40" s="19" t="n">
        <v>44000</v>
      </c>
      <c r="I40" s="18" t="n">
        <v>0</v>
      </c>
      <c r="J40" s="16" t="inlineStr">
        <is>
          <t>Expired</t>
        </is>
      </c>
      <c r="K40" s="16" t="inlineStr">
        <is>
          <t>In Negotiation</t>
        </is>
      </c>
      <c r="L40" s="31" t="inlineStr"/>
      <c r="M40" s="16" t="inlineStr"/>
    </row>
    <row r="41" ht="22" customHeight="1">
      <c r="B41" s="11" t="inlineStr">
        <is>
          <t>C-208</t>
        </is>
      </c>
      <c r="C41" s="11" t="inlineStr">
        <is>
          <t>Waqar Ahmed</t>
        </is>
      </c>
      <c r="D41" s="15" t="n">
        <v>45300</v>
      </c>
      <c r="E41" s="15" t="n">
        <v>45666</v>
      </c>
      <c r="F41" s="13" t="n">
        <v>12</v>
      </c>
      <c r="G41" s="14" t="n">
        <v>3700</v>
      </c>
      <c r="H41" s="14" t="n">
        <v>44400</v>
      </c>
      <c r="I41" s="13" t="n">
        <v>0</v>
      </c>
      <c r="J41" s="11" t="inlineStr">
        <is>
          <t>Expired</t>
        </is>
      </c>
      <c r="K41" s="11" t="inlineStr"/>
      <c r="L41" s="32" t="inlineStr"/>
      <c r="M41" s="11" t="inlineStr"/>
    </row>
    <row r="42" ht="22" customHeight="1">
      <c r="B42" s="16" t="inlineStr">
        <is>
          <t>C-301</t>
        </is>
      </c>
      <c r="C42" s="16" t="inlineStr">
        <is>
          <t>Neeta Joshi</t>
        </is>
      </c>
      <c r="D42" s="20" t="n">
        <v>45392</v>
      </c>
      <c r="E42" s="20" t="n">
        <v>45757</v>
      </c>
      <c r="F42" s="18" t="n">
        <v>12</v>
      </c>
      <c r="G42" s="19" t="n">
        <v>5000</v>
      </c>
      <c r="H42" s="19" t="n">
        <v>60000</v>
      </c>
      <c r="I42" s="18" t="n">
        <v>5</v>
      </c>
      <c r="J42" s="16" t="inlineStr">
        <is>
          <t>Expiring Soon</t>
        </is>
      </c>
      <c r="K42" s="16" t="inlineStr"/>
      <c r="L42" s="31" t="inlineStr"/>
      <c r="M42" s="16" t="inlineStr">
        <is>
          <t>Contact tenant for renewal</t>
        </is>
      </c>
    </row>
    <row r="43" ht="22" customHeight="1">
      <c r="B43" s="11" t="inlineStr">
        <is>
          <t>C-302</t>
        </is>
      </c>
      <c r="C43" s="11" t="inlineStr">
        <is>
          <t>Bilal Siddiqui</t>
        </is>
      </c>
      <c r="D43" s="15" t="n">
        <v>45413</v>
      </c>
      <c r="E43" s="15" t="n">
        <v>45777</v>
      </c>
      <c r="F43" s="13" t="n">
        <v>11</v>
      </c>
      <c r="G43" s="14" t="n">
        <v>5500</v>
      </c>
      <c r="H43" s="14" t="n">
        <v>60500</v>
      </c>
      <c r="I43" s="13" t="n">
        <v>25</v>
      </c>
      <c r="J43" s="11" t="inlineStr">
        <is>
          <t>Expiring Soon</t>
        </is>
      </c>
      <c r="K43" s="11" t="inlineStr">
        <is>
          <t>In Negotiation</t>
        </is>
      </c>
      <c r="L43" s="14" t="n">
        <v>4200</v>
      </c>
      <c r="M43" s="11" t="inlineStr">
        <is>
          <t>Contact tenant for renewal</t>
        </is>
      </c>
    </row>
    <row r="44" ht="22" customHeight="1">
      <c r="B44" s="16" t="inlineStr">
        <is>
          <t>D-101</t>
        </is>
      </c>
      <c r="C44" s="16" t="inlineStr">
        <is>
          <t>Priya Nair</t>
        </is>
      </c>
      <c r="D44" s="20" t="n">
        <v>45577</v>
      </c>
      <c r="E44" s="20" t="n">
        <v>45942</v>
      </c>
      <c r="F44" s="18" t="n">
        <v>12</v>
      </c>
      <c r="G44" s="19" t="n">
        <v>2450</v>
      </c>
      <c r="H44" s="19" t="n">
        <v>29400</v>
      </c>
      <c r="I44" s="18" t="n">
        <v>190</v>
      </c>
      <c r="J44" s="16" t="inlineStr">
        <is>
          <t>Active</t>
        </is>
      </c>
      <c r="K44" s="16" t="inlineStr"/>
      <c r="L44" s="31" t="inlineStr"/>
      <c r="M44" s="16" t="inlineStr"/>
    </row>
    <row r="45" ht="22" customHeight="1">
      <c r="B45" s="11" t="inlineStr">
        <is>
          <t>D-102</t>
        </is>
      </c>
      <c r="C45" s="11" t="inlineStr">
        <is>
          <t>Faisal Rahman</t>
        </is>
      </c>
      <c r="D45" s="15" t="n">
        <v>45304</v>
      </c>
      <c r="E45" s="15" t="n">
        <v>45670</v>
      </c>
      <c r="F45" s="13" t="n">
        <v>12</v>
      </c>
      <c r="G45" s="14" t="n">
        <v>2500</v>
      </c>
      <c r="H45" s="14" t="n">
        <v>30000</v>
      </c>
      <c r="I45" s="13" t="n">
        <v>0</v>
      </c>
      <c r="J45" s="11" t="inlineStr">
        <is>
          <t>Expired</t>
        </is>
      </c>
      <c r="K45" s="11" t="inlineStr"/>
      <c r="L45" s="32" t="inlineStr"/>
      <c r="M45" s="11" t="inlineStr"/>
    </row>
    <row r="46" ht="22" customHeight="1">
      <c r="B46" s="16" t="inlineStr">
        <is>
          <t>D-103</t>
        </is>
      </c>
      <c r="C46" s="16" t="inlineStr">
        <is>
          <t>Anita Desai</t>
        </is>
      </c>
      <c r="D46" s="20" t="n">
        <v>45396</v>
      </c>
      <c r="E46" s="20" t="n">
        <v>45761</v>
      </c>
      <c r="F46" s="18" t="n">
        <v>12</v>
      </c>
      <c r="G46" s="19" t="n">
        <v>2600</v>
      </c>
      <c r="H46" s="19" t="n">
        <v>31200</v>
      </c>
      <c r="I46" s="18" t="n">
        <v>9</v>
      </c>
      <c r="J46" s="16" t="inlineStr">
        <is>
          <t>Expiring Soon</t>
        </is>
      </c>
      <c r="K46" s="16" t="inlineStr"/>
      <c r="L46" s="31" t="inlineStr"/>
      <c r="M46" s="16" t="inlineStr">
        <is>
          <t>Contact tenant for renewal</t>
        </is>
      </c>
    </row>
    <row r="47" ht="22" customHeight="1">
      <c r="B47" s="11" t="inlineStr">
        <is>
          <t>D-104</t>
        </is>
      </c>
      <c r="C47" s="11" t="inlineStr">
        <is>
          <t>Karim Othman</t>
        </is>
      </c>
      <c r="D47" s="15" t="n">
        <v>45427</v>
      </c>
      <c r="E47" s="15" t="n">
        <v>45792</v>
      </c>
      <c r="F47" s="13" t="n">
        <v>12</v>
      </c>
      <c r="G47" s="14" t="n">
        <v>2700</v>
      </c>
      <c r="H47" s="14" t="n">
        <v>32400</v>
      </c>
      <c r="I47" s="13" t="n">
        <v>40</v>
      </c>
      <c r="J47" s="11" t="inlineStr">
        <is>
          <t>Renewal Due</t>
        </is>
      </c>
      <c r="K47" s="11" t="inlineStr">
        <is>
          <t>Pending</t>
        </is>
      </c>
      <c r="L47" s="32" t="inlineStr"/>
      <c r="M47" s="11" t="inlineStr">
        <is>
          <t>Renewal discussion needed</t>
        </is>
      </c>
    </row>
    <row r="48" ht="22" customHeight="1">
      <c r="B48" s="16" t="inlineStr">
        <is>
          <t>D-201</t>
        </is>
      </c>
      <c r="C48" s="16" t="inlineStr">
        <is>
          <t>Ramesh Iyer</t>
        </is>
      </c>
      <c r="D48" s="20" t="n">
        <v>45581</v>
      </c>
      <c r="E48" s="20" t="n">
        <v>45946</v>
      </c>
      <c r="F48" s="18" t="n">
        <v>12</v>
      </c>
      <c r="G48" s="19" t="n">
        <v>3900</v>
      </c>
      <c r="H48" s="19" t="n">
        <v>46800</v>
      </c>
      <c r="I48" s="18" t="n">
        <v>194</v>
      </c>
      <c r="J48" s="16" t="inlineStr">
        <is>
          <t>Active</t>
        </is>
      </c>
      <c r="K48" s="16" t="inlineStr"/>
      <c r="L48" s="31" t="inlineStr"/>
      <c r="M48" s="16" t="inlineStr"/>
    </row>
    <row r="49" ht="22" customHeight="1">
      <c r="B49" s="11" t="inlineStr">
        <is>
          <t>D-202</t>
        </is>
      </c>
      <c r="C49" s="11" t="inlineStr">
        <is>
          <t>Salma Khatoon</t>
        </is>
      </c>
      <c r="D49" s="15" t="n">
        <v>45308</v>
      </c>
      <c r="E49" s="15" t="n">
        <v>45674</v>
      </c>
      <c r="F49" s="13" t="n">
        <v>12</v>
      </c>
      <c r="G49" s="14" t="n">
        <v>4100</v>
      </c>
      <c r="H49" s="14" t="n">
        <v>49200</v>
      </c>
      <c r="I49" s="13" t="n">
        <v>0</v>
      </c>
      <c r="J49" s="11" t="inlineStr">
        <is>
          <t>Expired</t>
        </is>
      </c>
      <c r="K49" s="11" t="inlineStr"/>
      <c r="L49" s="32" t="inlineStr"/>
      <c r="M49" s="11" t="inlineStr"/>
    </row>
    <row r="50" ht="22" customHeight="1">
      <c r="B50" s="16" t="inlineStr">
        <is>
          <t>D-203</t>
        </is>
      </c>
      <c r="C50" s="16" t="inlineStr">
        <is>
          <t>Naveed Akhtar</t>
        </is>
      </c>
      <c r="D50" s="20" t="n">
        <v>45352</v>
      </c>
      <c r="E50" s="20" t="n">
        <v>45716</v>
      </c>
      <c r="F50" s="18" t="n">
        <v>11</v>
      </c>
      <c r="G50" s="19" t="n">
        <v>3500</v>
      </c>
      <c r="H50" s="19" t="n">
        <v>38500</v>
      </c>
      <c r="I50" s="18" t="n">
        <v>0</v>
      </c>
      <c r="J50" s="16" t="inlineStr">
        <is>
          <t>Expired</t>
        </is>
      </c>
      <c r="K50" s="16" t="inlineStr">
        <is>
          <t>Tenant Leaving</t>
        </is>
      </c>
      <c r="L50" s="31" t="inlineStr"/>
      <c r="M50" s="16" t="inlineStr">
        <is>
          <t>Tenant confirmed leaving</t>
        </is>
      </c>
    </row>
    <row r="51" ht="22" customHeight="1">
      <c r="B51" s="11" t="inlineStr">
        <is>
          <t>D-S01</t>
        </is>
      </c>
      <c r="C51" s="11" t="inlineStr">
        <is>
          <t>Deepa Menon</t>
        </is>
      </c>
      <c r="D51" s="15" t="n">
        <v>45492</v>
      </c>
      <c r="E51" s="15" t="n">
        <v>45857</v>
      </c>
      <c r="F51" s="13" t="n">
        <v>12</v>
      </c>
      <c r="G51" s="14" t="n">
        <v>6000</v>
      </c>
      <c r="H51" s="14" t="n">
        <v>72000</v>
      </c>
      <c r="I51" s="13" t="n">
        <v>105</v>
      </c>
      <c r="J51" s="11" t="inlineStr">
        <is>
          <t>Active</t>
        </is>
      </c>
      <c r="K51" s="11" t="inlineStr"/>
      <c r="L51" s="32" t="inlineStr"/>
      <c r="M51" s="11" t="inlineStr"/>
    </row>
    <row r="52" ht="22" customHeight="1">
      <c r="B52" s="16" t="inlineStr">
        <is>
          <t>D-S02</t>
        </is>
      </c>
      <c r="C52" s="16" t="inlineStr">
        <is>
          <t>Usman Ghani</t>
        </is>
      </c>
      <c r="D52" s="20" t="n">
        <v>45413</v>
      </c>
      <c r="E52" s="20" t="n">
        <v>45777</v>
      </c>
      <c r="F52" s="18" t="n">
        <v>11</v>
      </c>
      <c r="G52" s="19" t="n">
        <v>8000</v>
      </c>
      <c r="H52" s="19" t="n">
        <v>88000</v>
      </c>
      <c r="I52" s="18" t="n">
        <v>25</v>
      </c>
      <c r="J52" s="16" t="inlineStr">
        <is>
          <t>Expiring Soon</t>
        </is>
      </c>
      <c r="K52" s="16" t="inlineStr">
        <is>
          <t>Pending</t>
        </is>
      </c>
      <c r="L52" s="31" t="inlineStr"/>
      <c r="M52" s="16" t="inlineStr">
        <is>
          <t>Contact tenant for renewal</t>
        </is>
      </c>
    </row>
    <row r="54">
      <c r="B54" s="25" t="inlineStr">
        <is>
          <t>CONTRACT SUMMARY</t>
        </is>
      </c>
    </row>
    <row r="55">
      <c r="B55" s="26" t="inlineStr">
        <is>
          <t>Active</t>
        </is>
      </c>
      <c r="D55" s="29">
        <f>COUNTIF(J5:J52,"Active")</f>
        <v/>
      </c>
    </row>
    <row r="56">
      <c r="B56" s="26" t="inlineStr">
        <is>
          <t>Expiring Soon</t>
        </is>
      </c>
      <c r="D56" s="29">
        <f>COUNTIF(J5:J52,"Expiring Soon")</f>
        <v/>
      </c>
    </row>
    <row r="57">
      <c r="B57" s="26" t="inlineStr">
        <is>
          <t>Renewal Due</t>
        </is>
      </c>
      <c r="D57" s="29">
        <f>COUNTIF(J5:J52,"Renewal Due")</f>
        <v/>
      </c>
    </row>
    <row r="58">
      <c r="B58" s="26" t="inlineStr">
        <is>
          <t>Expired</t>
        </is>
      </c>
      <c r="D58" s="29">
        <f>COUNTIF(J5:J52,"Expired")</f>
        <v/>
      </c>
    </row>
    <row r="59">
      <c r="B59" s="26" t="inlineStr">
        <is>
          <t>Total Contracts</t>
        </is>
      </c>
      <c r="D59" s="29" t="n">
        <v>48</v>
      </c>
    </row>
    <row r="61">
      <c r="B61" s="7" t="inlineStr">
        <is>
          <t>Status</t>
        </is>
      </c>
      <c r="C61" s="7" t="inlineStr">
        <is>
          <t>Count</t>
        </is>
      </c>
    </row>
    <row r="62">
      <c r="B62" s="8" t="inlineStr">
        <is>
          <t>Active</t>
        </is>
      </c>
      <c r="C62" s="8" t="n">
        <v>35</v>
      </c>
    </row>
    <row r="63">
      <c r="B63" s="8" t="inlineStr">
        <is>
          <t>Expiring Soon</t>
        </is>
      </c>
      <c r="C63" s="8" t="n">
        <v>5</v>
      </c>
    </row>
    <row r="64">
      <c r="B64" s="8" t="inlineStr">
        <is>
          <t>Renewal Due</t>
        </is>
      </c>
      <c r="C64" s="8" t="n">
        <v>3</v>
      </c>
    </row>
    <row r="65">
      <c r="B65" s="8" t="inlineStr">
        <is>
          <t>Expired</t>
        </is>
      </c>
      <c r="C65" s="8" t="n">
        <v>5</v>
      </c>
    </row>
  </sheetData>
  <mergeCells count="7">
    <mergeCell ref="B55:C55"/>
    <mergeCell ref="B2:M2"/>
    <mergeCell ref="B59:C59"/>
    <mergeCell ref="B56:C56"/>
    <mergeCell ref="B57:C57"/>
    <mergeCell ref="B54:D54"/>
    <mergeCell ref="B58:C58"/>
  </mergeCells>
  <conditionalFormatting sqref="J5:J52">
    <cfRule type="cellIs" priority="1" operator="equal" dxfId="0">
      <formula>"Active"</formula>
    </cfRule>
    <cfRule type="cellIs" priority="2" operator="equal" dxfId="2">
      <formula>"Expiring Soon"</formula>
    </cfRule>
    <cfRule type="cellIs" priority="3" operator="equal" dxfId="2">
      <formula>"Renewal Due"</formula>
    </cfRule>
    <cfRule type="cellIs" priority="4" operator="equal" dxfId="1">
      <formula>"Expired"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2026-05-23T22:23:10Z</dcterms:created>
  <dcterms:modified xmlns:dcterms="http://purl.org/dc/terms/" xmlns:xsi="http://www.w3.org/2001/XMLSchema-instance" xsi:type="dcterms:W3CDTF">2026-05-23T22:23:10Z</dcterms:modified>
</cp:coreProperties>
</file>