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Invoice" sheetId="5" state="visible" r:id="rId5"/>
    <sheet xmlns:r="http://schemas.openxmlformats.org/officeDocument/2006/relationships" name="Inventory" sheetId="6" state="visible" r:id="rId6"/>
    <sheet xmlns:r="http://schemas.openxmlformats.org/officeDocument/2006/relationships" name="Staff Performance" sheetId="7" state="visible" r:id="rId7"/>
    <sheet xmlns:r="http://schemas.openxmlformats.org/officeDocument/2006/relationships" name="Expenses" sheetId="8" state="visible" r:id="rId8"/>
    <sheet xmlns:r="http://schemas.openxmlformats.org/officeDocument/2006/relationships" name="Profit Analysis" sheetId="9" state="visible" r:id="rId9"/>
    <sheet xmlns:r="http://schemas.openxmlformats.org/officeDocument/2006/relationships" name="Dashboard" sheetId="10" state="visible" r:id="rId10"/>
  </sheets>
  <definedNames>
    <definedName name="_xlnm.Print_Titles" localSheetId="0">'Sales Entry'!$4:$4</definedName>
    <definedName name="_xlnm.Print_Area" localSheetId="0">'Sales Entry'!$A$1:$N$505</definedName>
    <definedName name="_xlnm.Print_Titles" localSheetId="1">'Daily Summary'!$4:$4</definedName>
    <definedName name="_xlnm.Print_Area" localSheetId="1">'Daily Summary'!$A$1:$K$36</definedName>
    <definedName name="_xlnm.Print_Titles" localSheetId="2">'Weekly Summary'!$4:$4</definedName>
    <definedName name="_xlnm.Print_Area" localSheetId="2">'Weekly Summary'!$A$1:$I$57</definedName>
    <definedName name="_xlnm.Print_Titles" localSheetId="3">'Monthly Summary'!$4:$4</definedName>
    <definedName name="_xlnm.Print_Area" localSheetId="3">'Monthly Summary'!$A$1:$I$17</definedName>
    <definedName name="_xlnm.Print_Area" localSheetId="4">'Invoice'!$A$1:$H$33</definedName>
    <definedName name="_xlnm.Print_Titles" localSheetId="5">'Inventory'!$4:$4</definedName>
    <definedName name="_xlnm.Print_Area" localSheetId="5">'Inventory'!$A$1:$M$204</definedName>
    <definedName name="_xlnm.Print_Titles" localSheetId="6">'Staff Performance'!$4:$4</definedName>
    <definedName name="_xlnm.Print_Area" localSheetId="6">'Staff Performance'!$A$1:$J$30</definedName>
    <definedName name="_xlnm.Print_Titles" localSheetId="7">'Expenses'!$4:$4</definedName>
    <definedName name="_xlnm.Print_Area" localSheetId="7">'Expenses'!$A$1:$I$305</definedName>
    <definedName name="_xlnm.Print_Titles" localSheetId="8">'Profit Analysis'!$5:$5</definedName>
    <definedName name="_xlnm.Print_Area" localSheetId="8">'Profit Analysis'!$A$1:$H$18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color rgb="000D1B2A"/>
      <sz val="20"/>
    </font>
    <font>
      <name val="Noto Sans CJK SC"/>
      <color rgb="00708DA8"/>
      <sz val="10"/>
    </font>
    <font>
      <name val="Noto Sans CJK SC"/>
      <color rgb="00708DA8"/>
      <sz val="9"/>
    </font>
    <font>
      <name val="Noto Sans CJK SC"/>
      <b val="1"/>
      <color rgb="000D1B2A"/>
      <sz val="13"/>
    </font>
    <font>
      <name val="Noto Sans CJK SC"/>
      <i val="1"/>
      <color rgb="00708DA8"/>
      <sz val="11"/>
    </font>
    <font>
      <name val="Noto Sans CJK SC"/>
      <color rgb="000D1B2A"/>
      <sz val="13"/>
    </font>
    <font>
      <name val="Noto Sans CJK SC"/>
      <color rgb="000D1B2A"/>
      <sz val="2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</fills>
  <borders count="5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  <border>
      <bottom style="medium">
        <color rgb="000D1B2A"/>
      </bottom>
    </border>
    <border>
      <top style="medium">
        <color rgb="000D1B2A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4" fontId="3" fillId="4" borderId="0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pivotButton="0" quotePrefix="0" xfId="0"/>
    <xf numFmtId="3" fontId="3" fillId="5" borderId="2" pivotButton="0" quotePrefix="0" xfId="0"/>
    <xf numFmtId="4" fontId="3" fillId="5" borderId="2" pivotButton="0" quotePrefix="0" xfId="0"/>
    <xf numFmtId="0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0" fontId="7" fillId="0" borderId="4" applyAlignment="1" pivotButton="0" quotePrefix="0" xfId="0">
      <alignment horizontal="right" vertical="center"/>
    </xf>
    <xf numFmtId="0" fontId="0" fillId="0" borderId="4" pivotButton="0" quotePrefix="0" xfId="0"/>
    <xf numFmtId="4" fontId="7" fillId="0" borderId="4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165" fontId="3" fillId="3" borderId="0" applyAlignment="1" pivotButton="0" quotePrefix="0" xfId="0">
      <alignment horizontal="right" vertical="center"/>
    </xf>
    <xf numFmtId="165" fontId="3" fillId="4" borderId="0" applyAlignment="1" pivotButton="0" quotePrefix="0" xfId="0">
      <alignment horizontal="right" vertical="center"/>
    </xf>
    <xf numFmtId="0" fontId="9" fillId="0" borderId="0" pivotButton="0" quotePrefix="0" xfId="0"/>
    <xf numFmtId="165" fontId="3" fillId="5" borderId="2" pivotButton="0" quotePrefix="0" xfId="0"/>
    <xf numFmtId="0" fontId="10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4" fontId="10" fillId="4" borderId="0" applyAlignment="1" pivotButton="0" quotePrefix="0" xfId="0">
      <alignment horizontal="center" vertical="center"/>
    </xf>
    <xf numFmtId="165" fontId="10" fillId="4" borderId="0" applyAlignment="1" pivotButton="0" quotePrefix="0" xfId="0">
      <alignment horizontal="center" vertical="center"/>
    </xf>
    <xf numFmtId="3" fontId="10" fillId="4" borderId="0" applyAlignment="1" pivotButton="0" quotePrefix="0" xfId="0">
      <alignment horizontal="center" vertical="center"/>
    </xf>
    <xf numFmtId="0" fontId="0" fillId="4" borderId="0" pivotButton="0" quotePrefix="0" xfId="0"/>
  </cellXfs>
  <cellStyles count="1">
    <cellStyle name="Normal" xfId="0" builtinId="0" hidden="0"/>
  </cellStyles>
  <dxfs count="3">
    <dxf>
      <font>
        <color rgb="00EF4444"/>
      </font>
      <fill>
        <patternFill>
          <bgColor rgb="00FDEDEC"/>
        </patternFill>
      </fill>
    </dxf>
    <dxf>
      <font>
        <color rgb="0010B981"/>
      </font>
      <fill>
        <patternFill>
          <bgColor rgb="00E8F5E9"/>
        </patternFill>
      </fill>
    </dxf>
    <dxf>
      <font>
        <color rgb="00F59E0B"/>
      </font>
      <fill>
        <patternFill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Sales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Summary'!C4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solidFill>
                <a:srgbClr val="0D1B2A"/>
              </a:solidFill>
              <a:prstDash val="solid"/>
            </a:ln>
          </spPr>
          <cat>
            <numRef>
              <f>'Monthly Summary'!$B$5:$B$16</f>
            </numRef>
          </cat>
          <val>
            <numRef>
              <f>'Monthly Summary'!$C$5:$C$16</f>
            </numRef>
          </val>
        </ser>
        <ser>
          <idx val="1"/>
          <order val="1"/>
          <tx>
            <strRef>
              <f>'Monthly Summary'!H4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solidFill>
                <a:srgbClr val="EF4444"/>
              </a:solidFill>
              <a:prstDash val="solid"/>
            </a:ln>
          </spPr>
          <cat>
            <numRef>
              <f>'Monthly Summary'!$B$5:$B$16</f>
            </numRef>
          </cat>
          <val>
            <numRef>
              <f>'Monthly Summary'!$H$5:$H$16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Amount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Summary'!C4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solidFill>
                <a:srgbClr val="0D1B2A"/>
              </a:solidFill>
              <a:prstDash val="solid"/>
            </a:ln>
          </spPr>
          <cat>
            <numRef>
              <f>'Monthly Summary'!$B$5:$B$16</f>
            </numRef>
          </cat>
          <val>
            <numRef>
              <f>'Monthly Summary'!$C$5:$C$16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Revenue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Expense Breakdown</a:t>
            </a:r>
          </a:p>
        </rich>
      </tx>
    </title>
    <plotArea>
      <pieChart>
        <varyColors val="1"/>
        <ser>
          <idx val="0"/>
          <order val="0"/>
          <tx>
            <strRef>
              <f>'Expenses'!C309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D1B2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708DA8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0D1B2A"/>
              </a:solidFill>
              <a:ln xmlns:a="http://schemas.openxmlformats.org/drawingml/2006/main"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EF4444"/>
              </a:solidFill>
              <a:ln xmlns:a="http://schemas.openxmlformats.org/drawingml/2006/main">
                <a:prstDash val="solid"/>
              </a:ln>
            </spPr>
          </dPt>
          <cat>
            <numRef>
              <f>'Expenses'!$B$310:$B$318</f>
            </numRef>
          </cat>
          <val>
            <numRef>
              <f>'Expenses'!$C$310:$C$318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Summary'!C4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solidFill>
                <a:srgbClr val="0D1B2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Summary'!$B$5:$B$16</f>
            </numRef>
          </cat>
          <val>
            <numRef>
              <f>'Monthly Summary'!$C$5:$C$16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Revenue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Top 5 Staff Sales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'Staff Performance'!C4</f>
            </strRef>
          </tx>
          <spPr>
            <a:solidFill xmlns:a="http://schemas.openxmlformats.org/drawingml/2006/main">
              <a:srgbClr val="0D1B2A"/>
            </a:solidFill>
            <a:ln xmlns:a="http://schemas.openxmlformats.org/drawingml/2006/main">
              <a:solidFill>
                <a:srgbClr val="0D1B2A"/>
              </a:solidFill>
              <a:prstDash val="solid"/>
            </a:ln>
          </spPr>
          <cat>
            <numRef>
              <f>'Staff Performance'!$B$5:$B$9</f>
            </numRef>
          </cat>
          <val>
            <numRef>
              <f>'Staff Performance'!$C$5:$C$9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Sales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Relationship Type="http://schemas.openxmlformats.org/officeDocument/2006/relationships/chart" Target="/xl/charts/chart4.xml" Id="rId3"/><Relationship Type="http://schemas.openxmlformats.org/officeDocument/2006/relationships/chart" Target="/xl/charts/chart5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504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21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21</row>
      <rowOff>0</rowOff>
    </from>
    <ext cx="504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B2:N5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22" customWidth="1" min="4" max="4"/>
    <col width="14" customWidth="1" min="5" max="5"/>
    <col width="8" customWidth="1" min="6" max="6"/>
    <col width="14" customWidth="1" min="7" max="7"/>
    <col width="14" customWidth="1" min="8" max="8"/>
    <col width="16" customWidth="1" min="9" max="9"/>
    <col width="16" customWidth="1" min="10" max="10"/>
    <col width="18" customWidth="1" min="11" max="11"/>
    <col width="14" customWidth="1" min="12" max="12"/>
    <col width="14" customWidth="1" min="13" max="13"/>
    <col width="20" customWidth="1" min="14" max="14"/>
  </cols>
  <sheetData>
    <row r="1" ht="15" customHeight="1"/>
    <row r="2" ht="32" customHeight="1">
      <c r="B2" s="1" t="inlineStr">
        <is>
          <t>Sales Entry — Premium POS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Invoice #</t>
        </is>
      </c>
      <c r="D4" s="2" t="inlineStr">
        <is>
          <t>Item/Service</t>
        </is>
      </c>
      <c r="E4" s="2" t="inlineStr">
        <is>
          <t>Category</t>
        </is>
      </c>
      <c r="F4" s="2" t="inlineStr">
        <is>
          <t>Qty</t>
        </is>
      </c>
      <c r="G4" s="2" t="inlineStr">
        <is>
          <t>Unit Price</t>
        </is>
      </c>
      <c r="H4" s="2" t="inlineStr">
        <is>
          <t>Total</t>
        </is>
      </c>
      <c r="I4" s="2" t="inlineStr">
        <is>
          <t>Payment Method</t>
        </is>
      </c>
      <c r="J4" s="2" t="inlineStr">
        <is>
          <t>Staff Name</t>
        </is>
      </c>
      <c r="K4" s="2" t="inlineStr">
        <is>
          <t>Customer Name</t>
        </is>
      </c>
      <c r="L4" s="2" t="inlineStr">
        <is>
          <t>Discount</t>
        </is>
      </c>
      <c r="M4" s="2" t="inlineStr">
        <is>
          <t>Net Total</t>
        </is>
      </c>
      <c r="N4" s="2" t="inlineStr">
        <is>
          <t>Notes</t>
        </is>
      </c>
    </row>
    <row r="5" ht="22" customHeight="1">
      <c r="B5" s="3" t="n"/>
      <c r="C5" s="4" t="n"/>
      <c r="D5" s="4" t="n"/>
      <c r="E5" s="4" t="n"/>
      <c r="F5" s="5" t="n"/>
      <c r="G5" s="6" t="n"/>
      <c r="H5" s="6">
        <f>IFERROR(F5*G5,0)</f>
        <v/>
      </c>
      <c r="I5" s="4" t="n"/>
      <c r="J5" s="4" t="n"/>
      <c r="K5" s="4" t="n"/>
      <c r="L5" s="6" t="n"/>
      <c r="M5" s="6">
        <f>H5-IFERROR(L5,0)</f>
        <v/>
      </c>
      <c r="N5" s="4" t="n"/>
    </row>
    <row r="6" ht="22" customHeight="1">
      <c r="B6" s="7" t="n"/>
      <c r="C6" s="8" t="n"/>
      <c r="D6" s="8" t="n"/>
      <c r="E6" s="8" t="n"/>
      <c r="F6" s="9" t="n"/>
      <c r="G6" s="10" t="n"/>
      <c r="H6" s="10">
        <f>IFERROR(F6*G6,0)</f>
        <v/>
      </c>
      <c r="I6" s="8" t="n"/>
      <c r="J6" s="8" t="n"/>
      <c r="K6" s="8" t="n"/>
      <c r="L6" s="10" t="n"/>
      <c r="M6" s="10">
        <f>H6-IFERROR(L6,0)</f>
        <v/>
      </c>
      <c r="N6" s="8" t="n"/>
    </row>
    <row r="7" ht="22" customHeight="1">
      <c r="B7" s="3" t="n"/>
      <c r="C7" s="4" t="n"/>
      <c r="D7" s="4" t="n"/>
      <c r="E7" s="4" t="n"/>
      <c r="F7" s="5" t="n"/>
      <c r="G7" s="6" t="n"/>
      <c r="H7" s="6">
        <f>IFERROR(F7*G7,0)</f>
        <v/>
      </c>
      <c r="I7" s="4" t="n"/>
      <c r="J7" s="4" t="n"/>
      <c r="K7" s="4" t="n"/>
      <c r="L7" s="6" t="n"/>
      <c r="M7" s="6">
        <f>H7-IFERROR(L7,0)</f>
        <v/>
      </c>
      <c r="N7" s="4" t="n"/>
    </row>
    <row r="8" ht="22" customHeight="1">
      <c r="B8" s="7" t="n"/>
      <c r="C8" s="8" t="n"/>
      <c r="D8" s="8" t="n"/>
      <c r="E8" s="8" t="n"/>
      <c r="F8" s="9" t="n"/>
      <c r="G8" s="10" t="n"/>
      <c r="H8" s="10">
        <f>IFERROR(F8*G8,0)</f>
        <v/>
      </c>
      <c r="I8" s="8" t="n"/>
      <c r="J8" s="8" t="n"/>
      <c r="K8" s="8" t="n"/>
      <c r="L8" s="10" t="n"/>
      <c r="M8" s="10">
        <f>H8-IFERROR(L8,0)</f>
        <v/>
      </c>
      <c r="N8" s="8" t="n"/>
    </row>
    <row r="9" ht="22" customHeight="1">
      <c r="B9" s="3" t="n"/>
      <c r="C9" s="4" t="n"/>
      <c r="D9" s="4" t="n"/>
      <c r="E9" s="4" t="n"/>
      <c r="F9" s="5" t="n"/>
      <c r="G9" s="6" t="n"/>
      <c r="H9" s="6">
        <f>IFERROR(F9*G9,0)</f>
        <v/>
      </c>
      <c r="I9" s="4" t="n"/>
      <c r="J9" s="4" t="n"/>
      <c r="K9" s="4" t="n"/>
      <c r="L9" s="6" t="n"/>
      <c r="M9" s="6">
        <f>H9-IFERROR(L9,0)</f>
        <v/>
      </c>
      <c r="N9" s="4" t="n"/>
    </row>
    <row r="10" ht="22" customHeight="1">
      <c r="B10" s="7" t="n"/>
      <c r="C10" s="8" t="n"/>
      <c r="D10" s="8" t="n"/>
      <c r="E10" s="8" t="n"/>
      <c r="F10" s="9" t="n"/>
      <c r="G10" s="10" t="n"/>
      <c r="H10" s="10">
        <f>IFERROR(F10*G10,0)</f>
        <v/>
      </c>
      <c r="I10" s="8" t="n"/>
      <c r="J10" s="8" t="n"/>
      <c r="K10" s="8" t="n"/>
      <c r="L10" s="10" t="n"/>
      <c r="M10" s="10">
        <f>H10-IFERROR(L10,0)</f>
        <v/>
      </c>
      <c r="N10" s="8" t="n"/>
    </row>
    <row r="11" ht="22" customHeight="1">
      <c r="B11" s="3" t="n"/>
      <c r="C11" s="4" t="n"/>
      <c r="D11" s="4" t="n"/>
      <c r="E11" s="4" t="n"/>
      <c r="F11" s="5" t="n"/>
      <c r="G11" s="6" t="n"/>
      <c r="H11" s="6">
        <f>IFERROR(F11*G11,0)</f>
        <v/>
      </c>
      <c r="I11" s="4" t="n"/>
      <c r="J11" s="4" t="n"/>
      <c r="K11" s="4" t="n"/>
      <c r="L11" s="6" t="n"/>
      <c r="M11" s="6">
        <f>H11-IFERROR(L11,0)</f>
        <v/>
      </c>
      <c r="N11" s="4" t="n"/>
    </row>
    <row r="12" ht="22" customHeight="1">
      <c r="B12" s="7" t="n"/>
      <c r="C12" s="8" t="n"/>
      <c r="D12" s="8" t="n"/>
      <c r="E12" s="8" t="n"/>
      <c r="F12" s="9" t="n"/>
      <c r="G12" s="10" t="n"/>
      <c r="H12" s="10">
        <f>IFERROR(F12*G12,0)</f>
        <v/>
      </c>
      <c r="I12" s="8" t="n"/>
      <c r="J12" s="8" t="n"/>
      <c r="K12" s="8" t="n"/>
      <c r="L12" s="10" t="n"/>
      <c r="M12" s="10">
        <f>H12-IFERROR(L12,0)</f>
        <v/>
      </c>
      <c r="N12" s="8" t="n"/>
    </row>
    <row r="13" ht="22" customHeight="1">
      <c r="B13" s="3" t="n"/>
      <c r="C13" s="4" t="n"/>
      <c r="D13" s="4" t="n"/>
      <c r="E13" s="4" t="n"/>
      <c r="F13" s="5" t="n"/>
      <c r="G13" s="6" t="n"/>
      <c r="H13" s="6">
        <f>IFERROR(F13*G13,0)</f>
        <v/>
      </c>
      <c r="I13" s="4" t="n"/>
      <c r="J13" s="4" t="n"/>
      <c r="K13" s="4" t="n"/>
      <c r="L13" s="6" t="n"/>
      <c r="M13" s="6">
        <f>H13-IFERROR(L13,0)</f>
        <v/>
      </c>
      <c r="N13" s="4" t="n"/>
    </row>
    <row r="14" ht="22" customHeight="1">
      <c r="B14" s="7" t="n"/>
      <c r="C14" s="8" t="n"/>
      <c r="D14" s="8" t="n"/>
      <c r="E14" s="8" t="n"/>
      <c r="F14" s="9" t="n"/>
      <c r="G14" s="10" t="n"/>
      <c r="H14" s="10">
        <f>IFERROR(F14*G14,0)</f>
        <v/>
      </c>
      <c r="I14" s="8" t="n"/>
      <c r="J14" s="8" t="n"/>
      <c r="K14" s="8" t="n"/>
      <c r="L14" s="10" t="n"/>
      <c r="M14" s="10">
        <f>H14-IFERROR(L14,0)</f>
        <v/>
      </c>
      <c r="N14" s="8" t="n"/>
    </row>
    <row r="15" ht="22" customHeight="1">
      <c r="B15" s="3" t="n"/>
      <c r="C15" s="4" t="n"/>
      <c r="D15" s="4" t="n"/>
      <c r="E15" s="4" t="n"/>
      <c r="F15" s="5" t="n"/>
      <c r="G15" s="6" t="n"/>
      <c r="H15" s="6">
        <f>IFERROR(F15*G15,0)</f>
        <v/>
      </c>
      <c r="I15" s="4" t="n"/>
      <c r="J15" s="4" t="n"/>
      <c r="K15" s="4" t="n"/>
      <c r="L15" s="6" t="n"/>
      <c r="M15" s="6">
        <f>H15-IFERROR(L15,0)</f>
        <v/>
      </c>
      <c r="N15" s="4" t="n"/>
    </row>
    <row r="16" ht="22" customHeight="1">
      <c r="B16" s="7" t="n"/>
      <c r="C16" s="8" t="n"/>
      <c r="D16" s="8" t="n"/>
      <c r="E16" s="8" t="n"/>
      <c r="F16" s="9" t="n"/>
      <c r="G16" s="10" t="n"/>
      <c r="H16" s="10">
        <f>IFERROR(F16*G16,0)</f>
        <v/>
      </c>
      <c r="I16" s="8" t="n"/>
      <c r="J16" s="8" t="n"/>
      <c r="K16" s="8" t="n"/>
      <c r="L16" s="10" t="n"/>
      <c r="M16" s="10">
        <f>H16-IFERROR(L16,0)</f>
        <v/>
      </c>
      <c r="N16" s="8" t="n"/>
    </row>
    <row r="17" ht="22" customHeight="1">
      <c r="B17" s="3" t="n"/>
      <c r="C17" s="4" t="n"/>
      <c r="D17" s="4" t="n"/>
      <c r="E17" s="4" t="n"/>
      <c r="F17" s="5" t="n"/>
      <c r="G17" s="6" t="n"/>
      <c r="H17" s="6">
        <f>IFERROR(F17*G17,0)</f>
        <v/>
      </c>
      <c r="I17" s="4" t="n"/>
      <c r="J17" s="4" t="n"/>
      <c r="K17" s="4" t="n"/>
      <c r="L17" s="6" t="n"/>
      <c r="M17" s="6">
        <f>H17-IFERROR(L17,0)</f>
        <v/>
      </c>
      <c r="N17" s="4" t="n"/>
    </row>
    <row r="18" ht="22" customHeight="1">
      <c r="B18" s="7" t="n"/>
      <c r="C18" s="8" t="n"/>
      <c r="D18" s="8" t="n"/>
      <c r="E18" s="8" t="n"/>
      <c r="F18" s="9" t="n"/>
      <c r="G18" s="10" t="n"/>
      <c r="H18" s="10">
        <f>IFERROR(F18*G18,0)</f>
        <v/>
      </c>
      <c r="I18" s="8" t="n"/>
      <c r="J18" s="8" t="n"/>
      <c r="K18" s="8" t="n"/>
      <c r="L18" s="10" t="n"/>
      <c r="M18" s="10">
        <f>H18-IFERROR(L18,0)</f>
        <v/>
      </c>
      <c r="N18" s="8" t="n"/>
    </row>
    <row r="19" ht="22" customHeight="1">
      <c r="B19" s="3" t="n"/>
      <c r="C19" s="4" t="n"/>
      <c r="D19" s="4" t="n"/>
      <c r="E19" s="4" t="n"/>
      <c r="F19" s="5" t="n"/>
      <c r="G19" s="6" t="n"/>
      <c r="H19" s="6">
        <f>IFERROR(F19*G19,0)</f>
        <v/>
      </c>
      <c r="I19" s="4" t="n"/>
      <c r="J19" s="4" t="n"/>
      <c r="K19" s="4" t="n"/>
      <c r="L19" s="6" t="n"/>
      <c r="M19" s="6">
        <f>H19-IFERROR(L19,0)</f>
        <v/>
      </c>
      <c r="N19" s="4" t="n"/>
    </row>
    <row r="20" ht="22" customHeight="1">
      <c r="B20" s="7" t="n"/>
      <c r="C20" s="8" t="n"/>
      <c r="D20" s="8" t="n"/>
      <c r="E20" s="8" t="n"/>
      <c r="F20" s="9" t="n"/>
      <c r="G20" s="10" t="n"/>
      <c r="H20" s="10">
        <f>IFERROR(F20*G20,0)</f>
        <v/>
      </c>
      <c r="I20" s="8" t="n"/>
      <c r="J20" s="8" t="n"/>
      <c r="K20" s="8" t="n"/>
      <c r="L20" s="10" t="n"/>
      <c r="M20" s="10">
        <f>H20-IFERROR(L20,0)</f>
        <v/>
      </c>
      <c r="N20" s="8" t="n"/>
    </row>
    <row r="21" ht="22" customHeight="1">
      <c r="B21" s="3" t="n"/>
      <c r="C21" s="4" t="n"/>
      <c r="D21" s="4" t="n"/>
      <c r="E21" s="4" t="n"/>
      <c r="F21" s="5" t="n"/>
      <c r="G21" s="6" t="n"/>
      <c r="H21" s="6">
        <f>IFERROR(F21*G21,0)</f>
        <v/>
      </c>
      <c r="I21" s="4" t="n"/>
      <c r="J21" s="4" t="n"/>
      <c r="K21" s="4" t="n"/>
      <c r="L21" s="6" t="n"/>
      <c r="M21" s="6">
        <f>H21-IFERROR(L21,0)</f>
        <v/>
      </c>
      <c r="N21" s="4" t="n"/>
    </row>
    <row r="22" ht="22" customHeight="1">
      <c r="B22" s="7" t="n"/>
      <c r="C22" s="8" t="n"/>
      <c r="D22" s="8" t="n"/>
      <c r="E22" s="8" t="n"/>
      <c r="F22" s="9" t="n"/>
      <c r="G22" s="10" t="n"/>
      <c r="H22" s="10">
        <f>IFERROR(F22*G22,0)</f>
        <v/>
      </c>
      <c r="I22" s="8" t="n"/>
      <c r="J22" s="8" t="n"/>
      <c r="K22" s="8" t="n"/>
      <c r="L22" s="10" t="n"/>
      <c r="M22" s="10">
        <f>H22-IFERROR(L22,0)</f>
        <v/>
      </c>
      <c r="N22" s="8" t="n"/>
    </row>
    <row r="23" ht="22" customHeight="1">
      <c r="B23" s="3" t="n"/>
      <c r="C23" s="4" t="n"/>
      <c r="D23" s="4" t="n"/>
      <c r="E23" s="4" t="n"/>
      <c r="F23" s="5" t="n"/>
      <c r="G23" s="6" t="n"/>
      <c r="H23" s="6">
        <f>IFERROR(F23*G23,0)</f>
        <v/>
      </c>
      <c r="I23" s="4" t="n"/>
      <c r="J23" s="4" t="n"/>
      <c r="K23" s="4" t="n"/>
      <c r="L23" s="6" t="n"/>
      <c r="M23" s="6">
        <f>H23-IFERROR(L23,0)</f>
        <v/>
      </c>
      <c r="N23" s="4" t="n"/>
    </row>
    <row r="24" ht="22" customHeight="1">
      <c r="B24" s="7" t="n"/>
      <c r="C24" s="8" t="n"/>
      <c r="D24" s="8" t="n"/>
      <c r="E24" s="8" t="n"/>
      <c r="F24" s="9" t="n"/>
      <c r="G24" s="10" t="n"/>
      <c r="H24" s="10">
        <f>IFERROR(F24*G24,0)</f>
        <v/>
      </c>
      <c r="I24" s="8" t="n"/>
      <c r="J24" s="8" t="n"/>
      <c r="K24" s="8" t="n"/>
      <c r="L24" s="10" t="n"/>
      <c r="M24" s="10">
        <f>H24-IFERROR(L24,0)</f>
        <v/>
      </c>
      <c r="N24" s="8" t="n"/>
    </row>
    <row r="25" ht="22" customHeight="1">
      <c r="B25" s="3" t="n"/>
      <c r="C25" s="4" t="n"/>
      <c r="D25" s="4" t="n"/>
      <c r="E25" s="4" t="n"/>
      <c r="F25" s="5" t="n"/>
      <c r="G25" s="6" t="n"/>
      <c r="H25" s="6">
        <f>IFERROR(F25*G25,0)</f>
        <v/>
      </c>
      <c r="I25" s="4" t="n"/>
      <c r="J25" s="4" t="n"/>
      <c r="K25" s="4" t="n"/>
      <c r="L25" s="6" t="n"/>
      <c r="M25" s="6">
        <f>H25-IFERROR(L25,0)</f>
        <v/>
      </c>
      <c r="N25" s="4" t="n"/>
    </row>
    <row r="26" ht="22" customHeight="1">
      <c r="B26" s="7" t="n"/>
      <c r="C26" s="8" t="n"/>
      <c r="D26" s="8" t="n"/>
      <c r="E26" s="8" t="n"/>
      <c r="F26" s="9" t="n"/>
      <c r="G26" s="10" t="n"/>
      <c r="H26" s="10">
        <f>IFERROR(F26*G26,0)</f>
        <v/>
      </c>
      <c r="I26" s="8" t="n"/>
      <c r="J26" s="8" t="n"/>
      <c r="K26" s="8" t="n"/>
      <c r="L26" s="10" t="n"/>
      <c r="M26" s="10">
        <f>H26-IFERROR(L26,0)</f>
        <v/>
      </c>
      <c r="N26" s="8" t="n"/>
    </row>
    <row r="27" ht="22" customHeight="1">
      <c r="B27" s="3" t="n"/>
      <c r="C27" s="4" t="n"/>
      <c r="D27" s="4" t="n"/>
      <c r="E27" s="4" t="n"/>
      <c r="F27" s="5" t="n"/>
      <c r="G27" s="6" t="n"/>
      <c r="H27" s="6">
        <f>IFERROR(F27*G27,0)</f>
        <v/>
      </c>
      <c r="I27" s="4" t="n"/>
      <c r="J27" s="4" t="n"/>
      <c r="K27" s="4" t="n"/>
      <c r="L27" s="6" t="n"/>
      <c r="M27" s="6">
        <f>H27-IFERROR(L27,0)</f>
        <v/>
      </c>
      <c r="N27" s="4" t="n"/>
    </row>
    <row r="28" ht="22" customHeight="1">
      <c r="B28" s="7" t="n"/>
      <c r="C28" s="8" t="n"/>
      <c r="D28" s="8" t="n"/>
      <c r="E28" s="8" t="n"/>
      <c r="F28" s="9" t="n"/>
      <c r="G28" s="10" t="n"/>
      <c r="H28" s="10">
        <f>IFERROR(F28*G28,0)</f>
        <v/>
      </c>
      <c r="I28" s="8" t="n"/>
      <c r="J28" s="8" t="n"/>
      <c r="K28" s="8" t="n"/>
      <c r="L28" s="10" t="n"/>
      <c r="M28" s="10">
        <f>H28-IFERROR(L28,0)</f>
        <v/>
      </c>
      <c r="N28" s="8" t="n"/>
    </row>
    <row r="29" ht="22" customHeight="1">
      <c r="B29" s="3" t="n"/>
      <c r="C29" s="4" t="n"/>
      <c r="D29" s="4" t="n"/>
      <c r="E29" s="4" t="n"/>
      <c r="F29" s="5" t="n"/>
      <c r="G29" s="6" t="n"/>
      <c r="H29" s="6">
        <f>IFERROR(F29*G29,0)</f>
        <v/>
      </c>
      <c r="I29" s="4" t="n"/>
      <c r="J29" s="4" t="n"/>
      <c r="K29" s="4" t="n"/>
      <c r="L29" s="6" t="n"/>
      <c r="M29" s="6">
        <f>H29-IFERROR(L29,0)</f>
        <v/>
      </c>
      <c r="N29" s="4" t="n"/>
    </row>
    <row r="30" ht="22" customHeight="1">
      <c r="B30" s="7" t="n"/>
      <c r="C30" s="8" t="n"/>
      <c r="D30" s="8" t="n"/>
      <c r="E30" s="8" t="n"/>
      <c r="F30" s="9" t="n"/>
      <c r="G30" s="10" t="n"/>
      <c r="H30" s="10">
        <f>IFERROR(F30*G30,0)</f>
        <v/>
      </c>
      <c r="I30" s="8" t="n"/>
      <c r="J30" s="8" t="n"/>
      <c r="K30" s="8" t="n"/>
      <c r="L30" s="10" t="n"/>
      <c r="M30" s="10">
        <f>H30-IFERROR(L30,0)</f>
        <v/>
      </c>
      <c r="N30" s="8" t="n"/>
    </row>
    <row r="31" ht="22" customHeight="1">
      <c r="B31" s="3" t="n"/>
      <c r="C31" s="4" t="n"/>
      <c r="D31" s="4" t="n"/>
      <c r="E31" s="4" t="n"/>
      <c r="F31" s="5" t="n"/>
      <c r="G31" s="6" t="n"/>
      <c r="H31" s="6">
        <f>IFERROR(F31*G31,0)</f>
        <v/>
      </c>
      <c r="I31" s="4" t="n"/>
      <c r="J31" s="4" t="n"/>
      <c r="K31" s="4" t="n"/>
      <c r="L31" s="6" t="n"/>
      <c r="M31" s="6">
        <f>H31-IFERROR(L31,0)</f>
        <v/>
      </c>
      <c r="N31" s="4" t="n"/>
    </row>
    <row r="32" ht="22" customHeight="1">
      <c r="B32" s="7" t="n"/>
      <c r="C32" s="8" t="n"/>
      <c r="D32" s="8" t="n"/>
      <c r="E32" s="8" t="n"/>
      <c r="F32" s="9" t="n"/>
      <c r="G32" s="10" t="n"/>
      <c r="H32" s="10">
        <f>IFERROR(F32*G32,0)</f>
        <v/>
      </c>
      <c r="I32" s="8" t="n"/>
      <c r="J32" s="8" t="n"/>
      <c r="K32" s="8" t="n"/>
      <c r="L32" s="10" t="n"/>
      <c r="M32" s="10">
        <f>H32-IFERROR(L32,0)</f>
        <v/>
      </c>
      <c r="N32" s="8" t="n"/>
    </row>
    <row r="33" ht="22" customHeight="1">
      <c r="B33" s="3" t="n"/>
      <c r="C33" s="4" t="n"/>
      <c r="D33" s="4" t="n"/>
      <c r="E33" s="4" t="n"/>
      <c r="F33" s="5" t="n"/>
      <c r="G33" s="6" t="n"/>
      <c r="H33" s="6">
        <f>IFERROR(F33*G33,0)</f>
        <v/>
      </c>
      <c r="I33" s="4" t="n"/>
      <c r="J33" s="4" t="n"/>
      <c r="K33" s="4" t="n"/>
      <c r="L33" s="6" t="n"/>
      <c r="M33" s="6">
        <f>H33-IFERROR(L33,0)</f>
        <v/>
      </c>
      <c r="N33" s="4" t="n"/>
    </row>
    <row r="34" ht="22" customHeight="1">
      <c r="B34" s="7" t="n"/>
      <c r="C34" s="8" t="n"/>
      <c r="D34" s="8" t="n"/>
      <c r="E34" s="8" t="n"/>
      <c r="F34" s="9" t="n"/>
      <c r="G34" s="10" t="n"/>
      <c r="H34" s="10">
        <f>IFERROR(F34*G34,0)</f>
        <v/>
      </c>
      <c r="I34" s="8" t="n"/>
      <c r="J34" s="8" t="n"/>
      <c r="K34" s="8" t="n"/>
      <c r="L34" s="10" t="n"/>
      <c r="M34" s="10">
        <f>H34-IFERROR(L34,0)</f>
        <v/>
      </c>
      <c r="N34" s="8" t="n"/>
    </row>
    <row r="35" ht="22" customHeight="1">
      <c r="B35" s="3" t="n"/>
      <c r="C35" s="4" t="n"/>
      <c r="D35" s="4" t="n"/>
      <c r="E35" s="4" t="n"/>
      <c r="F35" s="5" t="n"/>
      <c r="G35" s="6" t="n"/>
      <c r="H35" s="6">
        <f>IFERROR(F35*G35,0)</f>
        <v/>
      </c>
      <c r="I35" s="4" t="n"/>
      <c r="J35" s="4" t="n"/>
      <c r="K35" s="4" t="n"/>
      <c r="L35" s="6" t="n"/>
      <c r="M35" s="6">
        <f>H35-IFERROR(L35,0)</f>
        <v/>
      </c>
      <c r="N35" s="4" t="n"/>
    </row>
    <row r="36" ht="22" customHeight="1">
      <c r="B36" s="7" t="n"/>
      <c r="C36" s="8" t="n"/>
      <c r="D36" s="8" t="n"/>
      <c r="E36" s="8" t="n"/>
      <c r="F36" s="9" t="n"/>
      <c r="G36" s="10" t="n"/>
      <c r="H36" s="10">
        <f>IFERROR(F36*G36,0)</f>
        <v/>
      </c>
      <c r="I36" s="8" t="n"/>
      <c r="J36" s="8" t="n"/>
      <c r="K36" s="8" t="n"/>
      <c r="L36" s="10" t="n"/>
      <c r="M36" s="10">
        <f>H36-IFERROR(L36,0)</f>
        <v/>
      </c>
      <c r="N36" s="8" t="n"/>
    </row>
    <row r="37" ht="22" customHeight="1">
      <c r="B37" s="3" t="n"/>
      <c r="C37" s="4" t="n"/>
      <c r="D37" s="4" t="n"/>
      <c r="E37" s="4" t="n"/>
      <c r="F37" s="5" t="n"/>
      <c r="G37" s="6" t="n"/>
      <c r="H37" s="6">
        <f>IFERROR(F37*G37,0)</f>
        <v/>
      </c>
      <c r="I37" s="4" t="n"/>
      <c r="J37" s="4" t="n"/>
      <c r="K37" s="4" t="n"/>
      <c r="L37" s="6" t="n"/>
      <c r="M37" s="6">
        <f>H37-IFERROR(L37,0)</f>
        <v/>
      </c>
      <c r="N37" s="4" t="n"/>
    </row>
    <row r="38" ht="22" customHeight="1">
      <c r="B38" s="7" t="n"/>
      <c r="C38" s="8" t="n"/>
      <c r="D38" s="8" t="n"/>
      <c r="E38" s="8" t="n"/>
      <c r="F38" s="9" t="n"/>
      <c r="G38" s="10" t="n"/>
      <c r="H38" s="10">
        <f>IFERROR(F38*G38,0)</f>
        <v/>
      </c>
      <c r="I38" s="8" t="n"/>
      <c r="J38" s="8" t="n"/>
      <c r="K38" s="8" t="n"/>
      <c r="L38" s="10" t="n"/>
      <c r="M38" s="10">
        <f>H38-IFERROR(L38,0)</f>
        <v/>
      </c>
      <c r="N38" s="8" t="n"/>
    </row>
    <row r="39" ht="22" customHeight="1">
      <c r="B39" s="3" t="n"/>
      <c r="C39" s="4" t="n"/>
      <c r="D39" s="4" t="n"/>
      <c r="E39" s="4" t="n"/>
      <c r="F39" s="5" t="n"/>
      <c r="G39" s="6" t="n"/>
      <c r="H39" s="6">
        <f>IFERROR(F39*G39,0)</f>
        <v/>
      </c>
      <c r="I39" s="4" t="n"/>
      <c r="J39" s="4" t="n"/>
      <c r="K39" s="4" t="n"/>
      <c r="L39" s="6" t="n"/>
      <c r="M39" s="6">
        <f>H39-IFERROR(L39,0)</f>
        <v/>
      </c>
      <c r="N39" s="4" t="n"/>
    </row>
    <row r="40" ht="22" customHeight="1">
      <c r="B40" s="7" t="n"/>
      <c r="C40" s="8" t="n"/>
      <c r="D40" s="8" t="n"/>
      <c r="E40" s="8" t="n"/>
      <c r="F40" s="9" t="n"/>
      <c r="G40" s="10" t="n"/>
      <c r="H40" s="10">
        <f>IFERROR(F40*G40,0)</f>
        <v/>
      </c>
      <c r="I40" s="8" t="n"/>
      <c r="J40" s="8" t="n"/>
      <c r="K40" s="8" t="n"/>
      <c r="L40" s="10" t="n"/>
      <c r="M40" s="10">
        <f>H40-IFERROR(L40,0)</f>
        <v/>
      </c>
      <c r="N40" s="8" t="n"/>
    </row>
    <row r="41" ht="22" customHeight="1">
      <c r="B41" s="3" t="n"/>
      <c r="C41" s="4" t="n"/>
      <c r="D41" s="4" t="n"/>
      <c r="E41" s="4" t="n"/>
      <c r="F41" s="5" t="n"/>
      <c r="G41" s="6" t="n"/>
      <c r="H41" s="6">
        <f>IFERROR(F41*G41,0)</f>
        <v/>
      </c>
      <c r="I41" s="4" t="n"/>
      <c r="J41" s="4" t="n"/>
      <c r="K41" s="4" t="n"/>
      <c r="L41" s="6" t="n"/>
      <c r="M41" s="6">
        <f>H41-IFERROR(L41,0)</f>
        <v/>
      </c>
      <c r="N41" s="4" t="n"/>
    </row>
    <row r="42" ht="22" customHeight="1">
      <c r="B42" s="7" t="n"/>
      <c r="C42" s="8" t="n"/>
      <c r="D42" s="8" t="n"/>
      <c r="E42" s="8" t="n"/>
      <c r="F42" s="9" t="n"/>
      <c r="G42" s="10" t="n"/>
      <c r="H42" s="10">
        <f>IFERROR(F42*G42,0)</f>
        <v/>
      </c>
      <c r="I42" s="8" t="n"/>
      <c r="J42" s="8" t="n"/>
      <c r="K42" s="8" t="n"/>
      <c r="L42" s="10" t="n"/>
      <c r="M42" s="10">
        <f>H42-IFERROR(L42,0)</f>
        <v/>
      </c>
      <c r="N42" s="8" t="n"/>
    </row>
    <row r="43" ht="22" customHeight="1">
      <c r="B43" s="3" t="n"/>
      <c r="C43" s="4" t="n"/>
      <c r="D43" s="4" t="n"/>
      <c r="E43" s="4" t="n"/>
      <c r="F43" s="5" t="n"/>
      <c r="G43" s="6" t="n"/>
      <c r="H43" s="6">
        <f>IFERROR(F43*G43,0)</f>
        <v/>
      </c>
      <c r="I43" s="4" t="n"/>
      <c r="J43" s="4" t="n"/>
      <c r="K43" s="4" t="n"/>
      <c r="L43" s="6" t="n"/>
      <c r="M43" s="6">
        <f>H43-IFERROR(L43,0)</f>
        <v/>
      </c>
      <c r="N43" s="4" t="n"/>
    </row>
    <row r="44" ht="22" customHeight="1">
      <c r="B44" s="7" t="n"/>
      <c r="C44" s="8" t="n"/>
      <c r="D44" s="8" t="n"/>
      <c r="E44" s="8" t="n"/>
      <c r="F44" s="9" t="n"/>
      <c r="G44" s="10" t="n"/>
      <c r="H44" s="10">
        <f>IFERROR(F44*G44,0)</f>
        <v/>
      </c>
      <c r="I44" s="8" t="n"/>
      <c r="J44" s="8" t="n"/>
      <c r="K44" s="8" t="n"/>
      <c r="L44" s="10" t="n"/>
      <c r="M44" s="10">
        <f>H44-IFERROR(L44,0)</f>
        <v/>
      </c>
      <c r="N44" s="8" t="n"/>
    </row>
    <row r="45" ht="22" customHeight="1">
      <c r="B45" s="3" t="n"/>
      <c r="C45" s="4" t="n"/>
      <c r="D45" s="4" t="n"/>
      <c r="E45" s="4" t="n"/>
      <c r="F45" s="5" t="n"/>
      <c r="G45" s="6" t="n"/>
      <c r="H45" s="6">
        <f>IFERROR(F45*G45,0)</f>
        <v/>
      </c>
      <c r="I45" s="4" t="n"/>
      <c r="J45" s="4" t="n"/>
      <c r="K45" s="4" t="n"/>
      <c r="L45" s="6" t="n"/>
      <c r="M45" s="6">
        <f>H45-IFERROR(L45,0)</f>
        <v/>
      </c>
      <c r="N45" s="4" t="n"/>
    </row>
    <row r="46" ht="22" customHeight="1">
      <c r="B46" s="7" t="n"/>
      <c r="C46" s="8" t="n"/>
      <c r="D46" s="8" t="n"/>
      <c r="E46" s="8" t="n"/>
      <c r="F46" s="9" t="n"/>
      <c r="G46" s="10" t="n"/>
      <c r="H46" s="10">
        <f>IFERROR(F46*G46,0)</f>
        <v/>
      </c>
      <c r="I46" s="8" t="n"/>
      <c r="J46" s="8" t="n"/>
      <c r="K46" s="8" t="n"/>
      <c r="L46" s="10" t="n"/>
      <c r="M46" s="10">
        <f>H46-IFERROR(L46,0)</f>
        <v/>
      </c>
      <c r="N46" s="8" t="n"/>
    </row>
    <row r="47" ht="22" customHeight="1">
      <c r="B47" s="3" t="n"/>
      <c r="C47" s="4" t="n"/>
      <c r="D47" s="4" t="n"/>
      <c r="E47" s="4" t="n"/>
      <c r="F47" s="5" t="n"/>
      <c r="G47" s="6" t="n"/>
      <c r="H47" s="6">
        <f>IFERROR(F47*G47,0)</f>
        <v/>
      </c>
      <c r="I47" s="4" t="n"/>
      <c r="J47" s="4" t="n"/>
      <c r="K47" s="4" t="n"/>
      <c r="L47" s="6" t="n"/>
      <c r="M47" s="6">
        <f>H47-IFERROR(L47,0)</f>
        <v/>
      </c>
      <c r="N47" s="4" t="n"/>
    </row>
    <row r="48" ht="22" customHeight="1">
      <c r="B48" s="7" t="n"/>
      <c r="C48" s="8" t="n"/>
      <c r="D48" s="8" t="n"/>
      <c r="E48" s="8" t="n"/>
      <c r="F48" s="9" t="n"/>
      <c r="G48" s="10" t="n"/>
      <c r="H48" s="10">
        <f>IFERROR(F48*G48,0)</f>
        <v/>
      </c>
      <c r="I48" s="8" t="n"/>
      <c r="J48" s="8" t="n"/>
      <c r="K48" s="8" t="n"/>
      <c r="L48" s="10" t="n"/>
      <c r="M48" s="10">
        <f>H48-IFERROR(L48,0)</f>
        <v/>
      </c>
      <c r="N48" s="8" t="n"/>
    </row>
    <row r="49" ht="22" customHeight="1">
      <c r="B49" s="3" t="n"/>
      <c r="C49" s="4" t="n"/>
      <c r="D49" s="4" t="n"/>
      <c r="E49" s="4" t="n"/>
      <c r="F49" s="5" t="n"/>
      <c r="G49" s="6" t="n"/>
      <c r="H49" s="6">
        <f>IFERROR(F49*G49,0)</f>
        <v/>
      </c>
      <c r="I49" s="4" t="n"/>
      <c r="J49" s="4" t="n"/>
      <c r="K49" s="4" t="n"/>
      <c r="L49" s="6" t="n"/>
      <c r="M49" s="6">
        <f>H49-IFERROR(L49,0)</f>
        <v/>
      </c>
      <c r="N49" s="4" t="n"/>
    </row>
    <row r="50" ht="22" customHeight="1">
      <c r="B50" s="7" t="n"/>
      <c r="C50" s="8" t="n"/>
      <c r="D50" s="8" t="n"/>
      <c r="E50" s="8" t="n"/>
      <c r="F50" s="9" t="n"/>
      <c r="G50" s="10" t="n"/>
      <c r="H50" s="10">
        <f>IFERROR(F50*G50,0)</f>
        <v/>
      </c>
      <c r="I50" s="8" t="n"/>
      <c r="J50" s="8" t="n"/>
      <c r="K50" s="8" t="n"/>
      <c r="L50" s="10" t="n"/>
      <c r="M50" s="10">
        <f>H50-IFERROR(L50,0)</f>
        <v/>
      </c>
      <c r="N50" s="8" t="n"/>
    </row>
    <row r="51" ht="22" customHeight="1">
      <c r="B51" s="3" t="n"/>
      <c r="C51" s="4" t="n"/>
      <c r="D51" s="4" t="n"/>
      <c r="E51" s="4" t="n"/>
      <c r="F51" s="5" t="n"/>
      <c r="G51" s="6" t="n"/>
      <c r="H51" s="6">
        <f>IFERROR(F51*G51,0)</f>
        <v/>
      </c>
      <c r="I51" s="4" t="n"/>
      <c r="J51" s="4" t="n"/>
      <c r="K51" s="4" t="n"/>
      <c r="L51" s="6" t="n"/>
      <c r="M51" s="6">
        <f>H51-IFERROR(L51,0)</f>
        <v/>
      </c>
      <c r="N51" s="4" t="n"/>
    </row>
    <row r="52" ht="22" customHeight="1">
      <c r="B52" s="7" t="n"/>
      <c r="C52" s="8" t="n"/>
      <c r="D52" s="8" t="n"/>
      <c r="E52" s="8" t="n"/>
      <c r="F52" s="9" t="n"/>
      <c r="G52" s="10" t="n"/>
      <c r="H52" s="10">
        <f>IFERROR(F52*G52,0)</f>
        <v/>
      </c>
      <c r="I52" s="8" t="n"/>
      <c r="J52" s="8" t="n"/>
      <c r="K52" s="8" t="n"/>
      <c r="L52" s="10" t="n"/>
      <c r="M52" s="10">
        <f>H52-IFERROR(L52,0)</f>
        <v/>
      </c>
      <c r="N52" s="8" t="n"/>
    </row>
    <row r="53" ht="22" customHeight="1">
      <c r="B53" s="3" t="n"/>
      <c r="C53" s="4" t="n"/>
      <c r="D53" s="4" t="n"/>
      <c r="E53" s="4" t="n"/>
      <c r="F53" s="5" t="n"/>
      <c r="G53" s="6" t="n"/>
      <c r="H53" s="6">
        <f>IFERROR(F53*G53,0)</f>
        <v/>
      </c>
      <c r="I53" s="4" t="n"/>
      <c r="J53" s="4" t="n"/>
      <c r="K53" s="4" t="n"/>
      <c r="L53" s="6" t="n"/>
      <c r="M53" s="6">
        <f>H53-IFERROR(L53,0)</f>
        <v/>
      </c>
      <c r="N53" s="4" t="n"/>
    </row>
    <row r="54" ht="22" customHeight="1">
      <c r="B54" s="7" t="n"/>
      <c r="C54" s="8" t="n"/>
      <c r="D54" s="8" t="n"/>
      <c r="E54" s="8" t="n"/>
      <c r="F54" s="9" t="n"/>
      <c r="G54" s="10" t="n"/>
      <c r="H54" s="10">
        <f>IFERROR(F54*G54,0)</f>
        <v/>
      </c>
      <c r="I54" s="8" t="n"/>
      <c r="J54" s="8" t="n"/>
      <c r="K54" s="8" t="n"/>
      <c r="L54" s="10" t="n"/>
      <c r="M54" s="10">
        <f>H54-IFERROR(L54,0)</f>
        <v/>
      </c>
      <c r="N54" s="8" t="n"/>
    </row>
    <row r="55" ht="22" customHeight="1">
      <c r="B55" s="3" t="n"/>
      <c r="C55" s="4" t="n"/>
      <c r="D55" s="4" t="n"/>
      <c r="E55" s="4" t="n"/>
      <c r="F55" s="5" t="n"/>
      <c r="G55" s="6" t="n"/>
      <c r="H55" s="6">
        <f>IFERROR(F55*G55,0)</f>
        <v/>
      </c>
      <c r="I55" s="4" t="n"/>
      <c r="J55" s="4" t="n"/>
      <c r="K55" s="4" t="n"/>
      <c r="L55" s="6" t="n"/>
      <c r="M55" s="6">
        <f>H55-IFERROR(L55,0)</f>
        <v/>
      </c>
      <c r="N55" s="4" t="n"/>
    </row>
    <row r="56" ht="22" customHeight="1">
      <c r="B56" s="7" t="n"/>
      <c r="C56" s="8" t="n"/>
      <c r="D56" s="8" t="n"/>
      <c r="E56" s="8" t="n"/>
      <c r="F56" s="9" t="n"/>
      <c r="G56" s="10" t="n"/>
      <c r="H56" s="10">
        <f>IFERROR(F56*G56,0)</f>
        <v/>
      </c>
      <c r="I56" s="8" t="n"/>
      <c r="J56" s="8" t="n"/>
      <c r="K56" s="8" t="n"/>
      <c r="L56" s="10" t="n"/>
      <c r="M56" s="10">
        <f>H56-IFERROR(L56,0)</f>
        <v/>
      </c>
      <c r="N56" s="8" t="n"/>
    </row>
    <row r="57" ht="22" customHeight="1">
      <c r="B57" s="3" t="n"/>
      <c r="C57" s="4" t="n"/>
      <c r="D57" s="4" t="n"/>
      <c r="E57" s="4" t="n"/>
      <c r="F57" s="5" t="n"/>
      <c r="G57" s="6" t="n"/>
      <c r="H57" s="6">
        <f>IFERROR(F57*G57,0)</f>
        <v/>
      </c>
      <c r="I57" s="4" t="n"/>
      <c r="J57" s="4" t="n"/>
      <c r="K57" s="4" t="n"/>
      <c r="L57" s="6" t="n"/>
      <c r="M57" s="6">
        <f>H57-IFERROR(L57,0)</f>
        <v/>
      </c>
      <c r="N57" s="4" t="n"/>
    </row>
    <row r="58" ht="22" customHeight="1">
      <c r="B58" s="7" t="n"/>
      <c r="C58" s="8" t="n"/>
      <c r="D58" s="8" t="n"/>
      <c r="E58" s="8" t="n"/>
      <c r="F58" s="9" t="n"/>
      <c r="G58" s="10" t="n"/>
      <c r="H58" s="10">
        <f>IFERROR(F58*G58,0)</f>
        <v/>
      </c>
      <c r="I58" s="8" t="n"/>
      <c r="J58" s="8" t="n"/>
      <c r="K58" s="8" t="n"/>
      <c r="L58" s="10" t="n"/>
      <c r="M58" s="10">
        <f>H58-IFERROR(L58,0)</f>
        <v/>
      </c>
      <c r="N58" s="8" t="n"/>
    </row>
    <row r="59" ht="22" customHeight="1">
      <c r="B59" s="3" t="n"/>
      <c r="C59" s="4" t="n"/>
      <c r="D59" s="4" t="n"/>
      <c r="E59" s="4" t="n"/>
      <c r="F59" s="5" t="n"/>
      <c r="G59" s="6" t="n"/>
      <c r="H59" s="6">
        <f>IFERROR(F59*G59,0)</f>
        <v/>
      </c>
      <c r="I59" s="4" t="n"/>
      <c r="J59" s="4" t="n"/>
      <c r="K59" s="4" t="n"/>
      <c r="L59" s="6" t="n"/>
      <c r="M59" s="6">
        <f>H59-IFERROR(L59,0)</f>
        <v/>
      </c>
      <c r="N59" s="4" t="n"/>
    </row>
    <row r="60" ht="22" customHeight="1">
      <c r="B60" s="7" t="n"/>
      <c r="C60" s="8" t="n"/>
      <c r="D60" s="8" t="n"/>
      <c r="E60" s="8" t="n"/>
      <c r="F60" s="9" t="n"/>
      <c r="G60" s="10" t="n"/>
      <c r="H60" s="10">
        <f>IFERROR(F60*G60,0)</f>
        <v/>
      </c>
      <c r="I60" s="8" t="n"/>
      <c r="J60" s="8" t="n"/>
      <c r="K60" s="8" t="n"/>
      <c r="L60" s="10" t="n"/>
      <c r="M60" s="10">
        <f>H60-IFERROR(L60,0)</f>
        <v/>
      </c>
      <c r="N60" s="8" t="n"/>
    </row>
    <row r="61" ht="22" customHeight="1">
      <c r="B61" s="3" t="n"/>
      <c r="C61" s="4" t="n"/>
      <c r="D61" s="4" t="n"/>
      <c r="E61" s="4" t="n"/>
      <c r="F61" s="5" t="n"/>
      <c r="G61" s="6" t="n"/>
      <c r="H61" s="6">
        <f>IFERROR(F61*G61,0)</f>
        <v/>
      </c>
      <c r="I61" s="4" t="n"/>
      <c r="J61" s="4" t="n"/>
      <c r="K61" s="4" t="n"/>
      <c r="L61" s="6" t="n"/>
      <c r="M61" s="6">
        <f>H61-IFERROR(L61,0)</f>
        <v/>
      </c>
      <c r="N61" s="4" t="n"/>
    </row>
    <row r="62" ht="22" customHeight="1">
      <c r="B62" s="7" t="n"/>
      <c r="C62" s="8" t="n"/>
      <c r="D62" s="8" t="n"/>
      <c r="E62" s="8" t="n"/>
      <c r="F62" s="9" t="n"/>
      <c r="G62" s="10" t="n"/>
      <c r="H62" s="10">
        <f>IFERROR(F62*G62,0)</f>
        <v/>
      </c>
      <c r="I62" s="8" t="n"/>
      <c r="J62" s="8" t="n"/>
      <c r="K62" s="8" t="n"/>
      <c r="L62" s="10" t="n"/>
      <c r="M62" s="10">
        <f>H62-IFERROR(L62,0)</f>
        <v/>
      </c>
      <c r="N62" s="8" t="n"/>
    </row>
    <row r="63" ht="22" customHeight="1">
      <c r="B63" s="3" t="n"/>
      <c r="C63" s="4" t="n"/>
      <c r="D63" s="4" t="n"/>
      <c r="E63" s="4" t="n"/>
      <c r="F63" s="5" t="n"/>
      <c r="G63" s="6" t="n"/>
      <c r="H63" s="6">
        <f>IFERROR(F63*G63,0)</f>
        <v/>
      </c>
      <c r="I63" s="4" t="n"/>
      <c r="J63" s="4" t="n"/>
      <c r="K63" s="4" t="n"/>
      <c r="L63" s="6" t="n"/>
      <c r="M63" s="6">
        <f>H63-IFERROR(L63,0)</f>
        <v/>
      </c>
      <c r="N63" s="4" t="n"/>
    </row>
    <row r="64" ht="22" customHeight="1">
      <c r="B64" s="7" t="n"/>
      <c r="C64" s="8" t="n"/>
      <c r="D64" s="8" t="n"/>
      <c r="E64" s="8" t="n"/>
      <c r="F64" s="9" t="n"/>
      <c r="G64" s="10" t="n"/>
      <c r="H64" s="10">
        <f>IFERROR(F64*G64,0)</f>
        <v/>
      </c>
      <c r="I64" s="8" t="n"/>
      <c r="J64" s="8" t="n"/>
      <c r="K64" s="8" t="n"/>
      <c r="L64" s="10" t="n"/>
      <c r="M64" s="10">
        <f>H64-IFERROR(L64,0)</f>
        <v/>
      </c>
      <c r="N64" s="8" t="n"/>
    </row>
    <row r="65" ht="22" customHeight="1">
      <c r="B65" s="3" t="n"/>
      <c r="C65" s="4" t="n"/>
      <c r="D65" s="4" t="n"/>
      <c r="E65" s="4" t="n"/>
      <c r="F65" s="5" t="n"/>
      <c r="G65" s="6" t="n"/>
      <c r="H65" s="6">
        <f>IFERROR(F65*G65,0)</f>
        <v/>
      </c>
      <c r="I65" s="4" t="n"/>
      <c r="J65" s="4" t="n"/>
      <c r="K65" s="4" t="n"/>
      <c r="L65" s="6" t="n"/>
      <c r="M65" s="6">
        <f>H65-IFERROR(L65,0)</f>
        <v/>
      </c>
      <c r="N65" s="4" t="n"/>
    </row>
    <row r="66" ht="22" customHeight="1">
      <c r="B66" s="7" t="n"/>
      <c r="C66" s="8" t="n"/>
      <c r="D66" s="8" t="n"/>
      <c r="E66" s="8" t="n"/>
      <c r="F66" s="9" t="n"/>
      <c r="G66" s="10" t="n"/>
      <c r="H66" s="10">
        <f>IFERROR(F66*G66,0)</f>
        <v/>
      </c>
      <c r="I66" s="8" t="n"/>
      <c r="J66" s="8" t="n"/>
      <c r="K66" s="8" t="n"/>
      <c r="L66" s="10" t="n"/>
      <c r="M66" s="10">
        <f>H66-IFERROR(L66,0)</f>
        <v/>
      </c>
      <c r="N66" s="8" t="n"/>
    </row>
    <row r="67" ht="22" customHeight="1">
      <c r="B67" s="3" t="n"/>
      <c r="C67" s="4" t="n"/>
      <c r="D67" s="4" t="n"/>
      <c r="E67" s="4" t="n"/>
      <c r="F67" s="5" t="n"/>
      <c r="G67" s="6" t="n"/>
      <c r="H67" s="6">
        <f>IFERROR(F67*G67,0)</f>
        <v/>
      </c>
      <c r="I67" s="4" t="n"/>
      <c r="J67" s="4" t="n"/>
      <c r="K67" s="4" t="n"/>
      <c r="L67" s="6" t="n"/>
      <c r="M67" s="6">
        <f>H67-IFERROR(L67,0)</f>
        <v/>
      </c>
      <c r="N67" s="4" t="n"/>
    </row>
    <row r="68" ht="22" customHeight="1">
      <c r="B68" s="7" t="n"/>
      <c r="C68" s="8" t="n"/>
      <c r="D68" s="8" t="n"/>
      <c r="E68" s="8" t="n"/>
      <c r="F68" s="9" t="n"/>
      <c r="G68" s="10" t="n"/>
      <c r="H68" s="10">
        <f>IFERROR(F68*G68,0)</f>
        <v/>
      </c>
      <c r="I68" s="8" t="n"/>
      <c r="J68" s="8" t="n"/>
      <c r="K68" s="8" t="n"/>
      <c r="L68" s="10" t="n"/>
      <c r="M68" s="10">
        <f>H68-IFERROR(L68,0)</f>
        <v/>
      </c>
      <c r="N68" s="8" t="n"/>
    </row>
    <row r="69" ht="22" customHeight="1">
      <c r="B69" s="3" t="n"/>
      <c r="C69" s="4" t="n"/>
      <c r="D69" s="4" t="n"/>
      <c r="E69" s="4" t="n"/>
      <c r="F69" s="5" t="n"/>
      <c r="G69" s="6" t="n"/>
      <c r="H69" s="6">
        <f>IFERROR(F69*G69,0)</f>
        <v/>
      </c>
      <c r="I69" s="4" t="n"/>
      <c r="J69" s="4" t="n"/>
      <c r="K69" s="4" t="n"/>
      <c r="L69" s="6" t="n"/>
      <c r="M69" s="6">
        <f>H69-IFERROR(L69,0)</f>
        <v/>
      </c>
      <c r="N69" s="4" t="n"/>
    </row>
    <row r="70" ht="22" customHeight="1">
      <c r="B70" s="7" t="n"/>
      <c r="C70" s="8" t="n"/>
      <c r="D70" s="8" t="n"/>
      <c r="E70" s="8" t="n"/>
      <c r="F70" s="9" t="n"/>
      <c r="G70" s="10" t="n"/>
      <c r="H70" s="10">
        <f>IFERROR(F70*G70,0)</f>
        <v/>
      </c>
      <c r="I70" s="8" t="n"/>
      <c r="J70" s="8" t="n"/>
      <c r="K70" s="8" t="n"/>
      <c r="L70" s="10" t="n"/>
      <c r="M70" s="10">
        <f>H70-IFERROR(L70,0)</f>
        <v/>
      </c>
      <c r="N70" s="8" t="n"/>
    </row>
    <row r="71" ht="22" customHeight="1">
      <c r="B71" s="3" t="n"/>
      <c r="C71" s="4" t="n"/>
      <c r="D71" s="4" t="n"/>
      <c r="E71" s="4" t="n"/>
      <c r="F71" s="5" t="n"/>
      <c r="G71" s="6" t="n"/>
      <c r="H71" s="6">
        <f>IFERROR(F71*G71,0)</f>
        <v/>
      </c>
      <c r="I71" s="4" t="n"/>
      <c r="J71" s="4" t="n"/>
      <c r="K71" s="4" t="n"/>
      <c r="L71" s="6" t="n"/>
      <c r="M71" s="6">
        <f>H71-IFERROR(L71,0)</f>
        <v/>
      </c>
      <c r="N71" s="4" t="n"/>
    </row>
    <row r="72" ht="22" customHeight="1">
      <c r="B72" s="7" t="n"/>
      <c r="C72" s="8" t="n"/>
      <c r="D72" s="8" t="n"/>
      <c r="E72" s="8" t="n"/>
      <c r="F72" s="9" t="n"/>
      <c r="G72" s="10" t="n"/>
      <c r="H72" s="10">
        <f>IFERROR(F72*G72,0)</f>
        <v/>
      </c>
      <c r="I72" s="8" t="n"/>
      <c r="J72" s="8" t="n"/>
      <c r="K72" s="8" t="n"/>
      <c r="L72" s="10" t="n"/>
      <c r="M72" s="10">
        <f>H72-IFERROR(L72,0)</f>
        <v/>
      </c>
      <c r="N72" s="8" t="n"/>
    </row>
    <row r="73" ht="22" customHeight="1">
      <c r="B73" s="3" t="n"/>
      <c r="C73" s="4" t="n"/>
      <c r="D73" s="4" t="n"/>
      <c r="E73" s="4" t="n"/>
      <c r="F73" s="5" t="n"/>
      <c r="G73" s="6" t="n"/>
      <c r="H73" s="6">
        <f>IFERROR(F73*G73,0)</f>
        <v/>
      </c>
      <c r="I73" s="4" t="n"/>
      <c r="J73" s="4" t="n"/>
      <c r="K73" s="4" t="n"/>
      <c r="L73" s="6" t="n"/>
      <c r="M73" s="6">
        <f>H73-IFERROR(L73,0)</f>
        <v/>
      </c>
      <c r="N73" s="4" t="n"/>
    </row>
    <row r="74" ht="22" customHeight="1">
      <c r="B74" s="7" t="n"/>
      <c r="C74" s="8" t="n"/>
      <c r="D74" s="8" t="n"/>
      <c r="E74" s="8" t="n"/>
      <c r="F74" s="9" t="n"/>
      <c r="G74" s="10" t="n"/>
      <c r="H74" s="10">
        <f>IFERROR(F74*G74,0)</f>
        <v/>
      </c>
      <c r="I74" s="8" t="n"/>
      <c r="J74" s="8" t="n"/>
      <c r="K74" s="8" t="n"/>
      <c r="L74" s="10" t="n"/>
      <c r="M74" s="10">
        <f>H74-IFERROR(L74,0)</f>
        <v/>
      </c>
      <c r="N74" s="8" t="n"/>
    </row>
    <row r="75" ht="22" customHeight="1">
      <c r="B75" s="3" t="n"/>
      <c r="C75" s="4" t="n"/>
      <c r="D75" s="4" t="n"/>
      <c r="E75" s="4" t="n"/>
      <c r="F75" s="5" t="n"/>
      <c r="G75" s="6" t="n"/>
      <c r="H75" s="6">
        <f>IFERROR(F75*G75,0)</f>
        <v/>
      </c>
      <c r="I75" s="4" t="n"/>
      <c r="J75" s="4" t="n"/>
      <c r="K75" s="4" t="n"/>
      <c r="L75" s="6" t="n"/>
      <c r="M75" s="6">
        <f>H75-IFERROR(L75,0)</f>
        <v/>
      </c>
      <c r="N75" s="4" t="n"/>
    </row>
    <row r="76" ht="22" customHeight="1">
      <c r="B76" s="7" t="n"/>
      <c r="C76" s="8" t="n"/>
      <c r="D76" s="8" t="n"/>
      <c r="E76" s="8" t="n"/>
      <c r="F76" s="9" t="n"/>
      <c r="G76" s="10" t="n"/>
      <c r="H76" s="10">
        <f>IFERROR(F76*G76,0)</f>
        <v/>
      </c>
      <c r="I76" s="8" t="n"/>
      <c r="J76" s="8" t="n"/>
      <c r="K76" s="8" t="n"/>
      <c r="L76" s="10" t="n"/>
      <c r="M76" s="10">
        <f>H76-IFERROR(L76,0)</f>
        <v/>
      </c>
      <c r="N76" s="8" t="n"/>
    </row>
    <row r="77" ht="22" customHeight="1">
      <c r="B77" s="3" t="n"/>
      <c r="C77" s="4" t="n"/>
      <c r="D77" s="4" t="n"/>
      <c r="E77" s="4" t="n"/>
      <c r="F77" s="5" t="n"/>
      <c r="G77" s="6" t="n"/>
      <c r="H77" s="6">
        <f>IFERROR(F77*G77,0)</f>
        <v/>
      </c>
      <c r="I77" s="4" t="n"/>
      <c r="J77" s="4" t="n"/>
      <c r="K77" s="4" t="n"/>
      <c r="L77" s="6" t="n"/>
      <c r="M77" s="6">
        <f>H77-IFERROR(L77,0)</f>
        <v/>
      </c>
      <c r="N77" s="4" t="n"/>
    </row>
    <row r="78" ht="22" customHeight="1">
      <c r="B78" s="7" t="n"/>
      <c r="C78" s="8" t="n"/>
      <c r="D78" s="8" t="n"/>
      <c r="E78" s="8" t="n"/>
      <c r="F78" s="9" t="n"/>
      <c r="G78" s="10" t="n"/>
      <c r="H78" s="10">
        <f>IFERROR(F78*G78,0)</f>
        <v/>
      </c>
      <c r="I78" s="8" t="n"/>
      <c r="J78" s="8" t="n"/>
      <c r="K78" s="8" t="n"/>
      <c r="L78" s="10" t="n"/>
      <c r="M78" s="10">
        <f>H78-IFERROR(L78,0)</f>
        <v/>
      </c>
      <c r="N78" s="8" t="n"/>
    </row>
    <row r="79" ht="22" customHeight="1">
      <c r="B79" s="3" t="n"/>
      <c r="C79" s="4" t="n"/>
      <c r="D79" s="4" t="n"/>
      <c r="E79" s="4" t="n"/>
      <c r="F79" s="5" t="n"/>
      <c r="G79" s="6" t="n"/>
      <c r="H79" s="6">
        <f>IFERROR(F79*G79,0)</f>
        <v/>
      </c>
      <c r="I79" s="4" t="n"/>
      <c r="J79" s="4" t="n"/>
      <c r="K79" s="4" t="n"/>
      <c r="L79" s="6" t="n"/>
      <c r="M79" s="6">
        <f>H79-IFERROR(L79,0)</f>
        <v/>
      </c>
      <c r="N79" s="4" t="n"/>
    </row>
    <row r="80" ht="22" customHeight="1">
      <c r="B80" s="7" t="n"/>
      <c r="C80" s="8" t="n"/>
      <c r="D80" s="8" t="n"/>
      <c r="E80" s="8" t="n"/>
      <c r="F80" s="9" t="n"/>
      <c r="G80" s="10" t="n"/>
      <c r="H80" s="10">
        <f>IFERROR(F80*G80,0)</f>
        <v/>
      </c>
      <c r="I80" s="8" t="n"/>
      <c r="J80" s="8" t="n"/>
      <c r="K80" s="8" t="n"/>
      <c r="L80" s="10" t="n"/>
      <c r="M80" s="10">
        <f>H80-IFERROR(L80,0)</f>
        <v/>
      </c>
      <c r="N80" s="8" t="n"/>
    </row>
    <row r="81" ht="22" customHeight="1">
      <c r="B81" s="3" t="n"/>
      <c r="C81" s="4" t="n"/>
      <c r="D81" s="4" t="n"/>
      <c r="E81" s="4" t="n"/>
      <c r="F81" s="5" t="n"/>
      <c r="G81" s="6" t="n"/>
      <c r="H81" s="6">
        <f>IFERROR(F81*G81,0)</f>
        <v/>
      </c>
      <c r="I81" s="4" t="n"/>
      <c r="J81" s="4" t="n"/>
      <c r="K81" s="4" t="n"/>
      <c r="L81" s="6" t="n"/>
      <c r="M81" s="6">
        <f>H81-IFERROR(L81,0)</f>
        <v/>
      </c>
      <c r="N81" s="4" t="n"/>
    </row>
    <row r="82" ht="22" customHeight="1">
      <c r="B82" s="7" t="n"/>
      <c r="C82" s="8" t="n"/>
      <c r="D82" s="8" t="n"/>
      <c r="E82" s="8" t="n"/>
      <c r="F82" s="9" t="n"/>
      <c r="G82" s="10" t="n"/>
      <c r="H82" s="10">
        <f>IFERROR(F82*G82,0)</f>
        <v/>
      </c>
      <c r="I82" s="8" t="n"/>
      <c r="J82" s="8" t="n"/>
      <c r="K82" s="8" t="n"/>
      <c r="L82" s="10" t="n"/>
      <c r="M82" s="10">
        <f>H82-IFERROR(L82,0)</f>
        <v/>
      </c>
      <c r="N82" s="8" t="n"/>
    </row>
    <row r="83" ht="22" customHeight="1">
      <c r="B83" s="3" t="n"/>
      <c r="C83" s="4" t="n"/>
      <c r="D83" s="4" t="n"/>
      <c r="E83" s="4" t="n"/>
      <c r="F83" s="5" t="n"/>
      <c r="G83" s="6" t="n"/>
      <c r="H83" s="6">
        <f>IFERROR(F83*G83,0)</f>
        <v/>
      </c>
      <c r="I83" s="4" t="n"/>
      <c r="J83" s="4" t="n"/>
      <c r="K83" s="4" t="n"/>
      <c r="L83" s="6" t="n"/>
      <c r="M83" s="6">
        <f>H83-IFERROR(L83,0)</f>
        <v/>
      </c>
      <c r="N83" s="4" t="n"/>
    </row>
    <row r="84" ht="22" customHeight="1">
      <c r="B84" s="7" t="n"/>
      <c r="C84" s="8" t="n"/>
      <c r="D84" s="8" t="n"/>
      <c r="E84" s="8" t="n"/>
      <c r="F84" s="9" t="n"/>
      <c r="G84" s="10" t="n"/>
      <c r="H84" s="10">
        <f>IFERROR(F84*G84,0)</f>
        <v/>
      </c>
      <c r="I84" s="8" t="n"/>
      <c r="J84" s="8" t="n"/>
      <c r="K84" s="8" t="n"/>
      <c r="L84" s="10" t="n"/>
      <c r="M84" s="10">
        <f>H84-IFERROR(L84,0)</f>
        <v/>
      </c>
      <c r="N84" s="8" t="n"/>
    </row>
    <row r="85" ht="22" customHeight="1">
      <c r="B85" s="3" t="n"/>
      <c r="C85" s="4" t="n"/>
      <c r="D85" s="4" t="n"/>
      <c r="E85" s="4" t="n"/>
      <c r="F85" s="5" t="n"/>
      <c r="G85" s="6" t="n"/>
      <c r="H85" s="6">
        <f>IFERROR(F85*G85,0)</f>
        <v/>
      </c>
      <c r="I85" s="4" t="n"/>
      <c r="J85" s="4" t="n"/>
      <c r="K85" s="4" t="n"/>
      <c r="L85" s="6" t="n"/>
      <c r="M85" s="6">
        <f>H85-IFERROR(L85,0)</f>
        <v/>
      </c>
      <c r="N85" s="4" t="n"/>
    </row>
    <row r="86" ht="22" customHeight="1">
      <c r="B86" s="7" t="n"/>
      <c r="C86" s="8" t="n"/>
      <c r="D86" s="8" t="n"/>
      <c r="E86" s="8" t="n"/>
      <c r="F86" s="9" t="n"/>
      <c r="G86" s="10" t="n"/>
      <c r="H86" s="10">
        <f>IFERROR(F86*G86,0)</f>
        <v/>
      </c>
      <c r="I86" s="8" t="n"/>
      <c r="J86" s="8" t="n"/>
      <c r="K86" s="8" t="n"/>
      <c r="L86" s="10" t="n"/>
      <c r="M86" s="10">
        <f>H86-IFERROR(L86,0)</f>
        <v/>
      </c>
      <c r="N86" s="8" t="n"/>
    </row>
    <row r="87" ht="22" customHeight="1">
      <c r="B87" s="3" t="n"/>
      <c r="C87" s="4" t="n"/>
      <c r="D87" s="4" t="n"/>
      <c r="E87" s="4" t="n"/>
      <c r="F87" s="5" t="n"/>
      <c r="G87" s="6" t="n"/>
      <c r="H87" s="6">
        <f>IFERROR(F87*G87,0)</f>
        <v/>
      </c>
      <c r="I87" s="4" t="n"/>
      <c r="J87" s="4" t="n"/>
      <c r="K87" s="4" t="n"/>
      <c r="L87" s="6" t="n"/>
      <c r="M87" s="6">
        <f>H87-IFERROR(L87,0)</f>
        <v/>
      </c>
      <c r="N87" s="4" t="n"/>
    </row>
    <row r="88" ht="22" customHeight="1">
      <c r="B88" s="7" t="n"/>
      <c r="C88" s="8" t="n"/>
      <c r="D88" s="8" t="n"/>
      <c r="E88" s="8" t="n"/>
      <c r="F88" s="9" t="n"/>
      <c r="G88" s="10" t="n"/>
      <c r="H88" s="10">
        <f>IFERROR(F88*G88,0)</f>
        <v/>
      </c>
      <c r="I88" s="8" t="n"/>
      <c r="J88" s="8" t="n"/>
      <c r="K88" s="8" t="n"/>
      <c r="L88" s="10" t="n"/>
      <c r="M88" s="10">
        <f>H88-IFERROR(L88,0)</f>
        <v/>
      </c>
      <c r="N88" s="8" t="n"/>
    </row>
    <row r="89" ht="22" customHeight="1">
      <c r="B89" s="3" t="n"/>
      <c r="C89" s="4" t="n"/>
      <c r="D89" s="4" t="n"/>
      <c r="E89" s="4" t="n"/>
      <c r="F89" s="5" t="n"/>
      <c r="G89" s="6" t="n"/>
      <c r="H89" s="6">
        <f>IFERROR(F89*G89,0)</f>
        <v/>
      </c>
      <c r="I89" s="4" t="n"/>
      <c r="J89" s="4" t="n"/>
      <c r="K89" s="4" t="n"/>
      <c r="L89" s="6" t="n"/>
      <c r="M89" s="6">
        <f>H89-IFERROR(L89,0)</f>
        <v/>
      </c>
      <c r="N89" s="4" t="n"/>
    </row>
    <row r="90" ht="22" customHeight="1">
      <c r="B90" s="7" t="n"/>
      <c r="C90" s="8" t="n"/>
      <c r="D90" s="8" t="n"/>
      <c r="E90" s="8" t="n"/>
      <c r="F90" s="9" t="n"/>
      <c r="G90" s="10" t="n"/>
      <c r="H90" s="10">
        <f>IFERROR(F90*G90,0)</f>
        <v/>
      </c>
      <c r="I90" s="8" t="n"/>
      <c r="J90" s="8" t="n"/>
      <c r="K90" s="8" t="n"/>
      <c r="L90" s="10" t="n"/>
      <c r="M90" s="10">
        <f>H90-IFERROR(L90,0)</f>
        <v/>
      </c>
      <c r="N90" s="8" t="n"/>
    </row>
    <row r="91" ht="22" customHeight="1">
      <c r="B91" s="3" t="n"/>
      <c r="C91" s="4" t="n"/>
      <c r="D91" s="4" t="n"/>
      <c r="E91" s="4" t="n"/>
      <c r="F91" s="5" t="n"/>
      <c r="G91" s="6" t="n"/>
      <c r="H91" s="6">
        <f>IFERROR(F91*G91,0)</f>
        <v/>
      </c>
      <c r="I91" s="4" t="n"/>
      <c r="J91" s="4" t="n"/>
      <c r="K91" s="4" t="n"/>
      <c r="L91" s="6" t="n"/>
      <c r="M91" s="6">
        <f>H91-IFERROR(L91,0)</f>
        <v/>
      </c>
      <c r="N91" s="4" t="n"/>
    </row>
    <row r="92" ht="22" customHeight="1">
      <c r="B92" s="7" t="n"/>
      <c r="C92" s="8" t="n"/>
      <c r="D92" s="8" t="n"/>
      <c r="E92" s="8" t="n"/>
      <c r="F92" s="9" t="n"/>
      <c r="G92" s="10" t="n"/>
      <c r="H92" s="10">
        <f>IFERROR(F92*G92,0)</f>
        <v/>
      </c>
      <c r="I92" s="8" t="n"/>
      <c r="J92" s="8" t="n"/>
      <c r="K92" s="8" t="n"/>
      <c r="L92" s="10" t="n"/>
      <c r="M92" s="10">
        <f>H92-IFERROR(L92,0)</f>
        <v/>
      </c>
      <c r="N92" s="8" t="n"/>
    </row>
    <row r="93" ht="22" customHeight="1">
      <c r="B93" s="3" t="n"/>
      <c r="C93" s="4" t="n"/>
      <c r="D93" s="4" t="n"/>
      <c r="E93" s="4" t="n"/>
      <c r="F93" s="5" t="n"/>
      <c r="G93" s="6" t="n"/>
      <c r="H93" s="6">
        <f>IFERROR(F93*G93,0)</f>
        <v/>
      </c>
      <c r="I93" s="4" t="n"/>
      <c r="J93" s="4" t="n"/>
      <c r="K93" s="4" t="n"/>
      <c r="L93" s="6" t="n"/>
      <c r="M93" s="6">
        <f>H93-IFERROR(L93,0)</f>
        <v/>
      </c>
      <c r="N93" s="4" t="n"/>
    </row>
    <row r="94" ht="22" customHeight="1">
      <c r="B94" s="7" t="n"/>
      <c r="C94" s="8" t="n"/>
      <c r="D94" s="8" t="n"/>
      <c r="E94" s="8" t="n"/>
      <c r="F94" s="9" t="n"/>
      <c r="G94" s="10" t="n"/>
      <c r="H94" s="10">
        <f>IFERROR(F94*G94,0)</f>
        <v/>
      </c>
      <c r="I94" s="8" t="n"/>
      <c r="J94" s="8" t="n"/>
      <c r="K94" s="8" t="n"/>
      <c r="L94" s="10" t="n"/>
      <c r="M94" s="10">
        <f>H94-IFERROR(L94,0)</f>
        <v/>
      </c>
      <c r="N94" s="8" t="n"/>
    </row>
    <row r="95" ht="22" customHeight="1">
      <c r="B95" s="3" t="n"/>
      <c r="C95" s="4" t="n"/>
      <c r="D95" s="4" t="n"/>
      <c r="E95" s="4" t="n"/>
      <c r="F95" s="5" t="n"/>
      <c r="G95" s="6" t="n"/>
      <c r="H95" s="6">
        <f>IFERROR(F95*G95,0)</f>
        <v/>
      </c>
      <c r="I95" s="4" t="n"/>
      <c r="J95" s="4" t="n"/>
      <c r="K95" s="4" t="n"/>
      <c r="L95" s="6" t="n"/>
      <c r="M95" s="6">
        <f>H95-IFERROR(L95,0)</f>
        <v/>
      </c>
      <c r="N95" s="4" t="n"/>
    </row>
    <row r="96" ht="22" customHeight="1">
      <c r="B96" s="7" t="n"/>
      <c r="C96" s="8" t="n"/>
      <c r="D96" s="8" t="n"/>
      <c r="E96" s="8" t="n"/>
      <c r="F96" s="9" t="n"/>
      <c r="G96" s="10" t="n"/>
      <c r="H96" s="10">
        <f>IFERROR(F96*G96,0)</f>
        <v/>
      </c>
      <c r="I96" s="8" t="n"/>
      <c r="J96" s="8" t="n"/>
      <c r="K96" s="8" t="n"/>
      <c r="L96" s="10" t="n"/>
      <c r="M96" s="10">
        <f>H96-IFERROR(L96,0)</f>
        <v/>
      </c>
      <c r="N96" s="8" t="n"/>
    </row>
    <row r="97" ht="22" customHeight="1">
      <c r="B97" s="3" t="n"/>
      <c r="C97" s="4" t="n"/>
      <c r="D97" s="4" t="n"/>
      <c r="E97" s="4" t="n"/>
      <c r="F97" s="5" t="n"/>
      <c r="G97" s="6" t="n"/>
      <c r="H97" s="6">
        <f>IFERROR(F97*G97,0)</f>
        <v/>
      </c>
      <c r="I97" s="4" t="n"/>
      <c r="J97" s="4" t="n"/>
      <c r="K97" s="4" t="n"/>
      <c r="L97" s="6" t="n"/>
      <c r="M97" s="6">
        <f>H97-IFERROR(L97,0)</f>
        <v/>
      </c>
      <c r="N97" s="4" t="n"/>
    </row>
    <row r="98" ht="22" customHeight="1">
      <c r="B98" s="7" t="n"/>
      <c r="C98" s="8" t="n"/>
      <c r="D98" s="8" t="n"/>
      <c r="E98" s="8" t="n"/>
      <c r="F98" s="9" t="n"/>
      <c r="G98" s="10" t="n"/>
      <c r="H98" s="10">
        <f>IFERROR(F98*G98,0)</f>
        <v/>
      </c>
      <c r="I98" s="8" t="n"/>
      <c r="J98" s="8" t="n"/>
      <c r="K98" s="8" t="n"/>
      <c r="L98" s="10" t="n"/>
      <c r="M98" s="10">
        <f>H98-IFERROR(L98,0)</f>
        <v/>
      </c>
      <c r="N98" s="8" t="n"/>
    </row>
    <row r="99" ht="22" customHeight="1">
      <c r="B99" s="3" t="n"/>
      <c r="C99" s="4" t="n"/>
      <c r="D99" s="4" t="n"/>
      <c r="E99" s="4" t="n"/>
      <c r="F99" s="5" t="n"/>
      <c r="G99" s="6" t="n"/>
      <c r="H99" s="6">
        <f>IFERROR(F99*G99,0)</f>
        <v/>
      </c>
      <c r="I99" s="4" t="n"/>
      <c r="J99" s="4" t="n"/>
      <c r="K99" s="4" t="n"/>
      <c r="L99" s="6" t="n"/>
      <c r="M99" s="6">
        <f>H99-IFERROR(L99,0)</f>
        <v/>
      </c>
      <c r="N99" s="4" t="n"/>
    </row>
    <row r="100" ht="22" customHeight="1">
      <c r="B100" s="7" t="n"/>
      <c r="C100" s="8" t="n"/>
      <c r="D100" s="8" t="n"/>
      <c r="E100" s="8" t="n"/>
      <c r="F100" s="9" t="n"/>
      <c r="G100" s="10" t="n"/>
      <c r="H100" s="10">
        <f>IFERROR(F100*G100,0)</f>
        <v/>
      </c>
      <c r="I100" s="8" t="n"/>
      <c r="J100" s="8" t="n"/>
      <c r="K100" s="8" t="n"/>
      <c r="L100" s="10" t="n"/>
      <c r="M100" s="10">
        <f>H100-IFERROR(L100,0)</f>
        <v/>
      </c>
      <c r="N100" s="8" t="n"/>
    </row>
    <row r="101" ht="22" customHeight="1">
      <c r="B101" s="3" t="n"/>
      <c r="C101" s="4" t="n"/>
      <c r="D101" s="4" t="n"/>
      <c r="E101" s="4" t="n"/>
      <c r="F101" s="5" t="n"/>
      <c r="G101" s="6" t="n"/>
      <c r="H101" s="6">
        <f>IFERROR(F101*G101,0)</f>
        <v/>
      </c>
      <c r="I101" s="4" t="n"/>
      <c r="J101" s="4" t="n"/>
      <c r="K101" s="4" t="n"/>
      <c r="L101" s="6" t="n"/>
      <c r="M101" s="6">
        <f>H101-IFERROR(L101,0)</f>
        <v/>
      </c>
      <c r="N101" s="4" t="n"/>
    </row>
    <row r="102" ht="22" customHeight="1">
      <c r="B102" s="7" t="n"/>
      <c r="C102" s="8" t="n"/>
      <c r="D102" s="8" t="n"/>
      <c r="E102" s="8" t="n"/>
      <c r="F102" s="9" t="n"/>
      <c r="G102" s="10" t="n"/>
      <c r="H102" s="10">
        <f>IFERROR(F102*G102,0)</f>
        <v/>
      </c>
      <c r="I102" s="8" t="n"/>
      <c r="J102" s="8" t="n"/>
      <c r="K102" s="8" t="n"/>
      <c r="L102" s="10" t="n"/>
      <c r="M102" s="10">
        <f>H102-IFERROR(L102,0)</f>
        <v/>
      </c>
      <c r="N102" s="8" t="n"/>
    </row>
    <row r="103" ht="22" customHeight="1">
      <c r="B103" s="3" t="n"/>
      <c r="C103" s="4" t="n"/>
      <c r="D103" s="4" t="n"/>
      <c r="E103" s="4" t="n"/>
      <c r="F103" s="5" t="n"/>
      <c r="G103" s="6" t="n"/>
      <c r="H103" s="6">
        <f>IFERROR(F103*G103,0)</f>
        <v/>
      </c>
      <c r="I103" s="4" t="n"/>
      <c r="J103" s="4" t="n"/>
      <c r="K103" s="4" t="n"/>
      <c r="L103" s="6" t="n"/>
      <c r="M103" s="6">
        <f>H103-IFERROR(L103,0)</f>
        <v/>
      </c>
      <c r="N103" s="4" t="n"/>
    </row>
    <row r="104" ht="22" customHeight="1">
      <c r="B104" s="7" t="n"/>
      <c r="C104" s="8" t="n"/>
      <c r="D104" s="8" t="n"/>
      <c r="E104" s="8" t="n"/>
      <c r="F104" s="9" t="n"/>
      <c r="G104" s="10" t="n"/>
      <c r="H104" s="10">
        <f>IFERROR(F104*G104,0)</f>
        <v/>
      </c>
      <c r="I104" s="8" t="n"/>
      <c r="J104" s="8" t="n"/>
      <c r="K104" s="8" t="n"/>
      <c r="L104" s="10" t="n"/>
      <c r="M104" s="10">
        <f>H104-IFERROR(L104,0)</f>
        <v/>
      </c>
      <c r="N104" s="8" t="n"/>
    </row>
    <row r="105" ht="22" customHeight="1">
      <c r="B105" s="3" t="n"/>
      <c r="C105" s="4" t="n"/>
      <c r="D105" s="4" t="n"/>
      <c r="E105" s="4" t="n"/>
      <c r="F105" s="5" t="n"/>
      <c r="G105" s="6" t="n"/>
      <c r="H105" s="6">
        <f>IFERROR(F105*G105,0)</f>
        <v/>
      </c>
      <c r="I105" s="4" t="n"/>
      <c r="J105" s="4" t="n"/>
      <c r="K105" s="4" t="n"/>
      <c r="L105" s="6" t="n"/>
      <c r="M105" s="6">
        <f>H105-IFERROR(L105,0)</f>
        <v/>
      </c>
      <c r="N105" s="4" t="n"/>
    </row>
    <row r="106" ht="22" customHeight="1">
      <c r="B106" s="7" t="n"/>
      <c r="C106" s="8" t="n"/>
      <c r="D106" s="8" t="n"/>
      <c r="E106" s="8" t="n"/>
      <c r="F106" s="9" t="n"/>
      <c r="G106" s="10" t="n"/>
      <c r="H106" s="10">
        <f>IFERROR(F106*G106,0)</f>
        <v/>
      </c>
      <c r="I106" s="8" t="n"/>
      <c r="J106" s="8" t="n"/>
      <c r="K106" s="8" t="n"/>
      <c r="L106" s="10" t="n"/>
      <c r="M106" s="10">
        <f>H106-IFERROR(L106,0)</f>
        <v/>
      </c>
      <c r="N106" s="8" t="n"/>
    </row>
    <row r="107" ht="22" customHeight="1">
      <c r="B107" s="3" t="n"/>
      <c r="C107" s="4" t="n"/>
      <c r="D107" s="4" t="n"/>
      <c r="E107" s="4" t="n"/>
      <c r="F107" s="5" t="n"/>
      <c r="G107" s="6" t="n"/>
      <c r="H107" s="6">
        <f>IFERROR(F107*G107,0)</f>
        <v/>
      </c>
      <c r="I107" s="4" t="n"/>
      <c r="J107" s="4" t="n"/>
      <c r="K107" s="4" t="n"/>
      <c r="L107" s="6" t="n"/>
      <c r="M107" s="6">
        <f>H107-IFERROR(L107,0)</f>
        <v/>
      </c>
      <c r="N107" s="4" t="n"/>
    </row>
    <row r="108" ht="22" customHeight="1">
      <c r="B108" s="7" t="n"/>
      <c r="C108" s="8" t="n"/>
      <c r="D108" s="8" t="n"/>
      <c r="E108" s="8" t="n"/>
      <c r="F108" s="9" t="n"/>
      <c r="G108" s="10" t="n"/>
      <c r="H108" s="10">
        <f>IFERROR(F108*G108,0)</f>
        <v/>
      </c>
      <c r="I108" s="8" t="n"/>
      <c r="J108" s="8" t="n"/>
      <c r="K108" s="8" t="n"/>
      <c r="L108" s="10" t="n"/>
      <c r="M108" s="10">
        <f>H108-IFERROR(L108,0)</f>
        <v/>
      </c>
      <c r="N108" s="8" t="n"/>
    </row>
    <row r="109" ht="22" customHeight="1">
      <c r="B109" s="3" t="n"/>
      <c r="C109" s="4" t="n"/>
      <c r="D109" s="4" t="n"/>
      <c r="E109" s="4" t="n"/>
      <c r="F109" s="5" t="n"/>
      <c r="G109" s="6" t="n"/>
      <c r="H109" s="6">
        <f>IFERROR(F109*G109,0)</f>
        <v/>
      </c>
      <c r="I109" s="4" t="n"/>
      <c r="J109" s="4" t="n"/>
      <c r="K109" s="4" t="n"/>
      <c r="L109" s="6" t="n"/>
      <c r="M109" s="6">
        <f>H109-IFERROR(L109,0)</f>
        <v/>
      </c>
      <c r="N109" s="4" t="n"/>
    </row>
    <row r="110" ht="22" customHeight="1">
      <c r="B110" s="7" t="n"/>
      <c r="C110" s="8" t="n"/>
      <c r="D110" s="8" t="n"/>
      <c r="E110" s="8" t="n"/>
      <c r="F110" s="9" t="n"/>
      <c r="G110" s="10" t="n"/>
      <c r="H110" s="10">
        <f>IFERROR(F110*G110,0)</f>
        <v/>
      </c>
      <c r="I110" s="8" t="n"/>
      <c r="J110" s="8" t="n"/>
      <c r="K110" s="8" t="n"/>
      <c r="L110" s="10" t="n"/>
      <c r="M110" s="10">
        <f>H110-IFERROR(L110,0)</f>
        <v/>
      </c>
      <c r="N110" s="8" t="n"/>
    </row>
    <row r="111" ht="22" customHeight="1">
      <c r="B111" s="3" t="n"/>
      <c r="C111" s="4" t="n"/>
      <c r="D111" s="4" t="n"/>
      <c r="E111" s="4" t="n"/>
      <c r="F111" s="5" t="n"/>
      <c r="G111" s="6" t="n"/>
      <c r="H111" s="6">
        <f>IFERROR(F111*G111,0)</f>
        <v/>
      </c>
      <c r="I111" s="4" t="n"/>
      <c r="J111" s="4" t="n"/>
      <c r="K111" s="4" t="n"/>
      <c r="L111" s="6" t="n"/>
      <c r="M111" s="6">
        <f>H111-IFERROR(L111,0)</f>
        <v/>
      </c>
      <c r="N111" s="4" t="n"/>
    </row>
    <row r="112" ht="22" customHeight="1">
      <c r="B112" s="7" t="n"/>
      <c r="C112" s="8" t="n"/>
      <c r="D112" s="8" t="n"/>
      <c r="E112" s="8" t="n"/>
      <c r="F112" s="9" t="n"/>
      <c r="G112" s="10" t="n"/>
      <c r="H112" s="10">
        <f>IFERROR(F112*G112,0)</f>
        <v/>
      </c>
      <c r="I112" s="8" t="n"/>
      <c r="J112" s="8" t="n"/>
      <c r="K112" s="8" t="n"/>
      <c r="L112" s="10" t="n"/>
      <c r="M112" s="10">
        <f>H112-IFERROR(L112,0)</f>
        <v/>
      </c>
      <c r="N112" s="8" t="n"/>
    </row>
    <row r="113" ht="22" customHeight="1">
      <c r="B113" s="3" t="n"/>
      <c r="C113" s="4" t="n"/>
      <c r="D113" s="4" t="n"/>
      <c r="E113" s="4" t="n"/>
      <c r="F113" s="5" t="n"/>
      <c r="G113" s="6" t="n"/>
      <c r="H113" s="6">
        <f>IFERROR(F113*G113,0)</f>
        <v/>
      </c>
      <c r="I113" s="4" t="n"/>
      <c r="J113" s="4" t="n"/>
      <c r="K113" s="4" t="n"/>
      <c r="L113" s="6" t="n"/>
      <c r="M113" s="6">
        <f>H113-IFERROR(L113,0)</f>
        <v/>
      </c>
      <c r="N113" s="4" t="n"/>
    </row>
    <row r="114" ht="22" customHeight="1">
      <c r="B114" s="7" t="n"/>
      <c r="C114" s="8" t="n"/>
      <c r="D114" s="8" t="n"/>
      <c r="E114" s="8" t="n"/>
      <c r="F114" s="9" t="n"/>
      <c r="G114" s="10" t="n"/>
      <c r="H114" s="10">
        <f>IFERROR(F114*G114,0)</f>
        <v/>
      </c>
      <c r="I114" s="8" t="n"/>
      <c r="J114" s="8" t="n"/>
      <c r="K114" s="8" t="n"/>
      <c r="L114" s="10" t="n"/>
      <c r="M114" s="10">
        <f>H114-IFERROR(L114,0)</f>
        <v/>
      </c>
      <c r="N114" s="8" t="n"/>
    </row>
    <row r="115" ht="22" customHeight="1">
      <c r="B115" s="3" t="n"/>
      <c r="C115" s="4" t="n"/>
      <c r="D115" s="4" t="n"/>
      <c r="E115" s="4" t="n"/>
      <c r="F115" s="5" t="n"/>
      <c r="G115" s="6" t="n"/>
      <c r="H115" s="6">
        <f>IFERROR(F115*G115,0)</f>
        <v/>
      </c>
      <c r="I115" s="4" t="n"/>
      <c r="J115" s="4" t="n"/>
      <c r="K115" s="4" t="n"/>
      <c r="L115" s="6" t="n"/>
      <c r="M115" s="6">
        <f>H115-IFERROR(L115,0)</f>
        <v/>
      </c>
      <c r="N115" s="4" t="n"/>
    </row>
    <row r="116" ht="22" customHeight="1">
      <c r="B116" s="7" t="n"/>
      <c r="C116" s="8" t="n"/>
      <c r="D116" s="8" t="n"/>
      <c r="E116" s="8" t="n"/>
      <c r="F116" s="9" t="n"/>
      <c r="G116" s="10" t="n"/>
      <c r="H116" s="10">
        <f>IFERROR(F116*G116,0)</f>
        <v/>
      </c>
      <c r="I116" s="8" t="n"/>
      <c r="J116" s="8" t="n"/>
      <c r="K116" s="8" t="n"/>
      <c r="L116" s="10" t="n"/>
      <c r="M116" s="10">
        <f>H116-IFERROR(L116,0)</f>
        <v/>
      </c>
      <c r="N116" s="8" t="n"/>
    </row>
    <row r="117" ht="22" customHeight="1">
      <c r="B117" s="3" t="n"/>
      <c r="C117" s="4" t="n"/>
      <c r="D117" s="4" t="n"/>
      <c r="E117" s="4" t="n"/>
      <c r="F117" s="5" t="n"/>
      <c r="G117" s="6" t="n"/>
      <c r="H117" s="6">
        <f>IFERROR(F117*G117,0)</f>
        <v/>
      </c>
      <c r="I117" s="4" t="n"/>
      <c r="J117" s="4" t="n"/>
      <c r="K117" s="4" t="n"/>
      <c r="L117" s="6" t="n"/>
      <c r="M117" s="6">
        <f>H117-IFERROR(L117,0)</f>
        <v/>
      </c>
      <c r="N117" s="4" t="n"/>
    </row>
    <row r="118" ht="22" customHeight="1">
      <c r="B118" s="7" t="n"/>
      <c r="C118" s="8" t="n"/>
      <c r="D118" s="8" t="n"/>
      <c r="E118" s="8" t="n"/>
      <c r="F118" s="9" t="n"/>
      <c r="G118" s="10" t="n"/>
      <c r="H118" s="10">
        <f>IFERROR(F118*G118,0)</f>
        <v/>
      </c>
      <c r="I118" s="8" t="n"/>
      <c r="J118" s="8" t="n"/>
      <c r="K118" s="8" t="n"/>
      <c r="L118" s="10" t="n"/>
      <c r="M118" s="10">
        <f>H118-IFERROR(L118,0)</f>
        <v/>
      </c>
      <c r="N118" s="8" t="n"/>
    </row>
    <row r="119" ht="22" customHeight="1">
      <c r="B119" s="3" t="n"/>
      <c r="C119" s="4" t="n"/>
      <c r="D119" s="4" t="n"/>
      <c r="E119" s="4" t="n"/>
      <c r="F119" s="5" t="n"/>
      <c r="G119" s="6" t="n"/>
      <c r="H119" s="6">
        <f>IFERROR(F119*G119,0)</f>
        <v/>
      </c>
      <c r="I119" s="4" t="n"/>
      <c r="J119" s="4" t="n"/>
      <c r="K119" s="4" t="n"/>
      <c r="L119" s="6" t="n"/>
      <c r="M119" s="6">
        <f>H119-IFERROR(L119,0)</f>
        <v/>
      </c>
      <c r="N119" s="4" t="n"/>
    </row>
    <row r="120" ht="22" customHeight="1">
      <c r="B120" s="7" t="n"/>
      <c r="C120" s="8" t="n"/>
      <c r="D120" s="8" t="n"/>
      <c r="E120" s="8" t="n"/>
      <c r="F120" s="9" t="n"/>
      <c r="G120" s="10" t="n"/>
      <c r="H120" s="10">
        <f>IFERROR(F120*G120,0)</f>
        <v/>
      </c>
      <c r="I120" s="8" t="n"/>
      <c r="J120" s="8" t="n"/>
      <c r="K120" s="8" t="n"/>
      <c r="L120" s="10" t="n"/>
      <c r="M120" s="10">
        <f>H120-IFERROR(L120,0)</f>
        <v/>
      </c>
      <c r="N120" s="8" t="n"/>
    </row>
    <row r="121" ht="22" customHeight="1">
      <c r="B121" s="3" t="n"/>
      <c r="C121" s="4" t="n"/>
      <c r="D121" s="4" t="n"/>
      <c r="E121" s="4" t="n"/>
      <c r="F121" s="5" t="n"/>
      <c r="G121" s="6" t="n"/>
      <c r="H121" s="6">
        <f>IFERROR(F121*G121,0)</f>
        <v/>
      </c>
      <c r="I121" s="4" t="n"/>
      <c r="J121" s="4" t="n"/>
      <c r="K121" s="4" t="n"/>
      <c r="L121" s="6" t="n"/>
      <c r="M121" s="6">
        <f>H121-IFERROR(L121,0)</f>
        <v/>
      </c>
      <c r="N121" s="4" t="n"/>
    </row>
    <row r="122" ht="22" customHeight="1">
      <c r="B122" s="7" t="n"/>
      <c r="C122" s="8" t="n"/>
      <c r="D122" s="8" t="n"/>
      <c r="E122" s="8" t="n"/>
      <c r="F122" s="9" t="n"/>
      <c r="G122" s="10" t="n"/>
      <c r="H122" s="10">
        <f>IFERROR(F122*G122,0)</f>
        <v/>
      </c>
      <c r="I122" s="8" t="n"/>
      <c r="J122" s="8" t="n"/>
      <c r="K122" s="8" t="n"/>
      <c r="L122" s="10" t="n"/>
      <c r="M122" s="10">
        <f>H122-IFERROR(L122,0)</f>
        <v/>
      </c>
      <c r="N122" s="8" t="n"/>
    </row>
    <row r="123" ht="22" customHeight="1">
      <c r="B123" s="3" t="n"/>
      <c r="C123" s="4" t="n"/>
      <c r="D123" s="4" t="n"/>
      <c r="E123" s="4" t="n"/>
      <c r="F123" s="5" t="n"/>
      <c r="G123" s="6" t="n"/>
      <c r="H123" s="6">
        <f>IFERROR(F123*G123,0)</f>
        <v/>
      </c>
      <c r="I123" s="4" t="n"/>
      <c r="J123" s="4" t="n"/>
      <c r="K123" s="4" t="n"/>
      <c r="L123" s="6" t="n"/>
      <c r="M123" s="6">
        <f>H123-IFERROR(L123,0)</f>
        <v/>
      </c>
      <c r="N123" s="4" t="n"/>
    </row>
    <row r="124" ht="22" customHeight="1">
      <c r="B124" s="7" t="n"/>
      <c r="C124" s="8" t="n"/>
      <c r="D124" s="8" t="n"/>
      <c r="E124" s="8" t="n"/>
      <c r="F124" s="9" t="n"/>
      <c r="G124" s="10" t="n"/>
      <c r="H124" s="10">
        <f>IFERROR(F124*G124,0)</f>
        <v/>
      </c>
      <c r="I124" s="8" t="n"/>
      <c r="J124" s="8" t="n"/>
      <c r="K124" s="8" t="n"/>
      <c r="L124" s="10" t="n"/>
      <c r="M124" s="10">
        <f>H124-IFERROR(L124,0)</f>
        <v/>
      </c>
      <c r="N124" s="8" t="n"/>
    </row>
    <row r="125" ht="22" customHeight="1">
      <c r="B125" s="3" t="n"/>
      <c r="C125" s="4" t="n"/>
      <c r="D125" s="4" t="n"/>
      <c r="E125" s="4" t="n"/>
      <c r="F125" s="5" t="n"/>
      <c r="G125" s="6" t="n"/>
      <c r="H125" s="6">
        <f>IFERROR(F125*G125,0)</f>
        <v/>
      </c>
      <c r="I125" s="4" t="n"/>
      <c r="J125" s="4" t="n"/>
      <c r="K125" s="4" t="n"/>
      <c r="L125" s="6" t="n"/>
      <c r="M125" s="6">
        <f>H125-IFERROR(L125,0)</f>
        <v/>
      </c>
      <c r="N125" s="4" t="n"/>
    </row>
    <row r="126" ht="22" customHeight="1">
      <c r="B126" s="7" t="n"/>
      <c r="C126" s="8" t="n"/>
      <c r="D126" s="8" t="n"/>
      <c r="E126" s="8" t="n"/>
      <c r="F126" s="9" t="n"/>
      <c r="G126" s="10" t="n"/>
      <c r="H126" s="10">
        <f>IFERROR(F126*G126,0)</f>
        <v/>
      </c>
      <c r="I126" s="8" t="n"/>
      <c r="J126" s="8" t="n"/>
      <c r="K126" s="8" t="n"/>
      <c r="L126" s="10" t="n"/>
      <c r="M126" s="10">
        <f>H126-IFERROR(L126,0)</f>
        <v/>
      </c>
      <c r="N126" s="8" t="n"/>
    </row>
    <row r="127" ht="22" customHeight="1">
      <c r="B127" s="3" t="n"/>
      <c r="C127" s="4" t="n"/>
      <c r="D127" s="4" t="n"/>
      <c r="E127" s="4" t="n"/>
      <c r="F127" s="5" t="n"/>
      <c r="G127" s="6" t="n"/>
      <c r="H127" s="6">
        <f>IFERROR(F127*G127,0)</f>
        <v/>
      </c>
      <c r="I127" s="4" t="n"/>
      <c r="J127" s="4" t="n"/>
      <c r="K127" s="4" t="n"/>
      <c r="L127" s="6" t="n"/>
      <c r="M127" s="6">
        <f>H127-IFERROR(L127,0)</f>
        <v/>
      </c>
      <c r="N127" s="4" t="n"/>
    </row>
    <row r="128" ht="22" customHeight="1">
      <c r="B128" s="7" t="n"/>
      <c r="C128" s="8" t="n"/>
      <c r="D128" s="8" t="n"/>
      <c r="E128" s="8" t="n"/>
      <c r="F128" s="9" t="n"/>
      <c r="G128" s="10" t="n"/>
      <c r="H128" s="10">
        <f>IFERROR(F128*G128,0)</f>
        <v/>
      </c>
      <c r="I128" s="8" t="n"/>
      <c r="J128" s="8" t="n"/>
      <c r="K128" s="8" t="n"/>
      <c r="L128" s="10" t="n"/>
      <c r="M128" s="10">
        <f>H128-IFERROR(L128,0)</f>
        <v/>
      </c>
      <c r="N128" s="8" t="n"/>
    </row>
    <row r="129" ht="22" customHeight="1">
      <c r="B129" s="3" t="n"/>
      <c r="C129" s="4" t="n"/>
      <c r="D129" s="4" t="n"/>
      <c r="E129" s="4" t="n"/>
      <c r="F129" s="5" t="n"/>
      <c r="G129" s="6" t="n"/>
      <c r="H129" s="6">
        <f>IFERROR(F129*G129,0)</f>
        <v/>
      </c>
      <c r="I129" s="4" t="n"/>
      <c r="J129" s="4" t="n"/>
      <c r="K129" s="4" t="n"/>
      <c r="L129" s="6" t="n"/>
      <c r="M129" s="6">
        <f>H129-IFERROR(L129,0)</f>
        <v/>
      </c>
      <c r="N129" s="4" t="n"/>
    </row>
    <row r="130" ht="22" customHeight="1">
      <c r="B130" s="7" t="n"/>
      <c r="C130" s="8" t="n"/>
      <c r="D130" s="8" t="n"/>
      <c r="E130" s="8" t="n"/>
      <c r="F130" s="9" t="n"/>
      <c r="G130" s="10" t="n"/>
      <c r="H130" s="10">
        <f>IFERROR(F130*G130,0)</f>
        <v/>
      </c>
      <c r="I130" s="8" t="n"/>
      <c r="J130" s="8" t="n"/>
      <c r="K130" s="8" t="n"/>
      <c r="L130" s="10" t="n"/>
      <c r="M130" s="10">
        <f>H130-IFERROR(L130,0)</f>
        <v/>
      </c>
      <c r="N130" s="8" t="n"/>
    </row>
    <row r="131" ht="22" customHeight="1">
      <c r="B131" s="3" t="n"/>
      <c r="C131" s="4" t="n"/>
      <c r="D131" s="4" t="n"/>
      <c r="E131" s="4" t="n"/>
      <c r="F131" s="5" t="n"/>
      <c r="G131" s="6" t="n"/>
      <c r="H131" s="6">
        <f>IFERROR(F131*G131,0)</f>
        <v/>
      </c>
      <c r="I131" s="4" t="n"/>
      <c r="J131" s="4" t="n"/>
      <c r="K131" s="4" t="n"/>
      <c r="L131" s="6" t="n"/>
      <c r="M131" s="6">
        <f>H131-IFERROR(L131,0)</f>
        <v/>
      </c>
      <c r="N131" s="4" t="n"/>
    </row>
    <row r="132" ht="22" customHeight="1">
      <c r="B132" s="7" t="n"/>
      <c r="C132" s="8" t="n"/>
      <c r="D132" s="8" t="n"/>
      <c r="E132" s="8" t="n"/>
      <c r="F132" s="9" t="n"/>
      <c r="G132" s="10" t="n"/>
      <c r="H132" s="10">
        <f>IFERROR(F132*G132,0)</f>
        <v/>
      </c>
      <c r="I132" s="8" t="n"/>
      <c r="J132" s="8" t="n"/>
      <c r="K132" s="8" t="n"/>
      <c r="L132" s="10" t="n"/>
      <c r="M132" s="10">
        <f>H132-IFERROR(L132,0)</f>
        <v/>
      </c>
      <c r="N132" s="8" t="n"/>
    </row>
    <row r="133" ht="22" customHeight="1">
      <c r="B133" s="3" t="n"/>
      <c r="C133" s="4" t="n"/>
      <c r="D133" s="4" t="n"/>
      <c r="E133" s="4" t="n"/>
      <c r="F133" s="5" t="n"/>
      <c r="G133" s="6" t="n"/>
      <c r="H133" s="6">
        <f>IFERROR(F133*G133,0)</f>
        <v/>
      </c>
      <c r="I133" s="4" t="n"/>
      <c r="J133" s="4" t="n"/>
      <c r="K133" s="4" t="n"/>
      <c r="L133" s="6" t="n"/>
      <c r="M133" s="6">
        <f>H133-IFERROR(L133,0)</f>
        <v/>
      </c>
      <c r="N133" s="4" t="n"/>
    </row>
    <row r="134" ht="22" customHeight="1">
      <c r="B134" s="7" t="n"/>
      <c r="C134" s="8" t="n"/>
      <c r="D134" s="8" t="n"/>
      <c r="E134" s="8" t="n"/>
      <c r="F134" s="9" t="n"/>
      <c r="G134" s="10" t="n"/>
      <c r="H134" s="10">
        <f>IFERROR(F134*G134,0)</f>
        <v/>
      </c>
      <c r="I134" s="8" t="n"/>
      <c r="J134" s="8" t="n"/>
      <c r="K134" s="8" t="n"/>
      <c r="L134" s="10" t="n"/>
      <c r="M134" s="10">
        <f>H134-IFERROR(L134,0)</f>
        <v/>
      </c>
      <c r="N134" s="8" t="n"/>
    </row>
    <row r="135" ht="22" customHeight="1">
      <c r="B135" s="3" t="n"/>
      <c r="C135" s="4" t="n"/>
      <c r="D135" s="4" t="n"/>
      <c r="E135" s="4" t="n"/>
      <c r="F135" s="5" t="n"/>
      <c r="G135" s="6" t="n"/>
      <c r="H135" s="6">
        <f>IFERROR(F135*G135,0)</f>
        <v/>
      </c>
      <c r="I135" s="4" t="n"/>
      <c r="J135" s="4" t="n"/>
      <c r="K135" s="4" t="n"/>
      <c r="L135" s="6" t="n"/>
      <c r="M135" s="6">
        <f>H135-IFERROR(L135,0)</f>
        <v/>
      </c>
      <c r="N135" s="4" t="n"/>
    </row>
    <row r="136" ht="22" customHeight="1">
      <c r="B136" s="7" t="n"/>
      <c r="C136" s="8" t="n"/>
      <c r="D136" s="8" t="n"/>
      <c r="E136" s="8" t="n"/>
      <c r="F136" s="9" t="n"/>
      <c r="G136" s="10" t="n"/>
      <c r="H136" s="10">
        <f>IFERROR(F136*G136,0)</f>
        <v/>
      </c>
      <c r="I136" s="8" t="n"/>
      <c r="J136" s="8" t="n"/>
      <c r="K136" s="8" t="n"/>
      <c r="L136" s="10" t="n"/>
      <c r="M136" s="10">
        <f>H136-IFERROR(L136,0)</f>
        <v/>
      </c>
      <c r="N136" s="8" t="n"/>
    </row>
    <row r="137" ht="22" customHeight="1">
      <c r="B137" s="3" t="n"/>
      <c r="C137" s="4" t="n"/>
      <c r="D137" s="4" t="n"/>
      <c r="E137" s="4" t="n"/>
      <c r="F137" s="5" t="n"/>
      <c r="G137" s="6" t="n"/>
      <c r="H137" s="6">
        <f>IFERROR(F137*G137,0)</f>
        <v/>
      </c>
      <c r="I137" s="4" t="n"/>
      <c r="J137" s="4" t="n"/>
      <c r="K137" s="4" t="n"/>
      <c r="L137" s="6" t="n"/>
      <c r="M137" s="6">
        <f>H137-IFERROR(L137,0)</f>
        <v/>
      </c>
      <c r="N137" s="4" t="n"/>
    </row>
    <row r="138" ht="22" customHeight="1">
      <c r="B138" s="7" t="n"/>
      <c r="C138" s="8" t="n"/>
      <c r="D138" s="8" t="n"/>
      <c r="E138" s="8" t="n"/>
      <c r="F138" s="9" t="n"/>
      <c r="G138" s="10" t="n"/>
      <c r="H138" s="10">
        <f>IFERROR(F138*G138,0)</f>
        <v/>
      </c>
      <c r="I138" s="8" t="n"/>
      <c r="J138" s="8" t="n"/>
      <c r="K138" s="8" t="n"/>
      <c r="L138" s="10" t="n"/>
      <c r="M138" s="10">
        <f>H138-IFERROR(L138,0)</f>
        <v/>
      </c>
      <c r="N138" s="8" t="n"/>
    </row>
    <row r="139" ht="22" customHeight="1">
      <c r="B139" s="3" t="n"/>
      <c r="C139" s="4" t="n"/>
      <c r="D139" s="4" t="n"/>
      <c r="E139" s="4" t="n"/>
      <c r="F139" s="5" t="n"/>
      <c r="G139" s="6" t="n"/>
      <c r="H139" s="6">
        <f>IFERROR(F139*G139,0)</f>
        <v/>
      </c>
      <c r="I139" s="4" t="n"/>
      <c r="J139" s="4" t="n"/>
      <c r="K139" s="4" t="n"/>
      <c r="L139" s="6" t="n"/>
      <c r="M139" s="6">
        <f>H139-IFERROR(L139,0)</f>
        <v/>
      </c>
      <c r="N139" s="4" t="n"/>
    </row>
    <row r="140" ht="22" customHeight="1">
      <c r="B140" s="7" t="n"/>
      <c r="C140" s="8" t="n"/>
      <c r="D140" s="8" t="n"/>
      <c r="E140" s="8" t="n"/>
      <c r="F140" s="9" t="n"/>
      <c r="G140" s="10" t="n"/>
      <c r="H140" s="10">
        <f>IFERROR(F140*G140,0)</f>
        <v/>
      </c>
      <c r="I140" s="8" t="n"/>
      <c r="J140" s="8" t="n"/>
      <c r="K140" s="8" t="n"/>
      <c r="L140" s="10" t="n"/>
      <c r="M140" s="10">
        <f>H140-IFERROR(L140,0)</f>
        <v/>
      </c>
      <c r="N140" s="8" t="n"/>
    </row>
    <row r="141" ht="22" customHeight="1">
      <c r="B141" s="3" t="n"/>
      <c r="C141" s="4" t="n"/>
      <c r="D141" s="4" t="n"/>
      <c r="E141" s="4" t="n"/>
      <c r="F141" s="5" t="n"/>
      <c r="G141" s="6" t="n"/>
      <c r="H141" s="6">
        <f>IFERROR(F141*G141,0)</f>
        <v/>
      </c>
      <c r="I141" s="4" t="n"/>
      <c r="J141" s="4" t="n"/>
      <c r="K141" s="4" t="n"/>
      <c r="L141" s="6" t="n"/>
      <c r="M141" s="6">
        <f>H141-IFERROR(L141,0)</f>
        <v/>
      </c>
      <c r="N141" s="4" t="n"/>
    </row>
    <row r="142" ht="22" customHeight="1">
      <c r="B142" s="7" t="n"/>
      <c r="C142" s="8" t="n"/>
      <c r="D142" s="8" t="n"/>
      <c r="E142" s="8" t="n"/>
      <c r="F142" s="9" t="n"/>
      <c r="G142" s="10" t="n"/>
      <c r="H142" s="10">
        <f>IFERROR(F142*G142,0)</f>
        <v/>
      </c>
      <c r="I142" s="8" t="n"/>
      <c r="J142" s="8" t="n"/>
      <c r="K142" s="8" t="n"/>
      <c r="L142" s="10" t="n"/>
      <c r="M142" s="10">
        <f>H142-IFERROR(L142,0)</f>
        <v/>
      </c>
      <c r="N142" s="8" t="n"/>
    </row>
    <row r="143" ht="22" customHeight="1">
      <c r="B143" s="3" t="n"/>
      <c r="C143" s="4" t="n"/>
      <c r="D143" s="4" t="n"/>
      <c r="E143" s="4" t="n"/>
      <c r="F143" s="5" t="n"/>
      <c r="G143" s="6" t="n"/>
      <c r="H143" s="6">
        <f>IFERROR(F143*G143,0)</f>
        <v/>
      </c>
      <c r="I143" s="4" t="n"/>
      <c r="J143" s="4" t="n"/>
      <c r="K143" s="4" t="n"/>
      <c r="L143" s="6" t="n"/>
      <c r="M143" s="6">
        <f>H143-IFERROR(L143,0)</f>
        <v/>
      </c>
      <c r="N143" s="4" t="n"/>
    </row>
    <row r="144" ht="22" customHeight="1">
      <c r="B144" s="7" t="n"/>
      <c r="C144" s="8" t="n"/>
      <c r="D144" s="8" t="n"/>
      <c r="E144" s="8" t="n"/>
      <c r="F144" s="9" t="n"/>
      <c r="G144" s="10" t="n"/>
      <c r="H144" s="10">
        <f>IFERROR(F144*G144,0)</f>
        <v/>
      </c>
      <c r="I144" s="8" t="n"/>
      <c r="J144" s="8" t="n"/>
      <c r="K144" s="8" t="n"/>
      <c r="L144" s="10" t="n"/>
      <c r="M144" s="10">
        <f>H144-IFERROR(L144,0)</f>
        <v/>
      </c>
      <c r="N144" s="8" t="n"/>
    </row>
    <row r="145" ht="22" customHeight="1">
      <c r="B145" s="3" t="n"/>
      <c r="C145" s="4" t="n"/>
      <c r="D145" s="4" t="n"/>
      <c r="E145" s="4" t="n"/>
      <c r="F145" s="5" t="n"/>
      <c r="G145" s="6" t="n"/>
      <c r="H145" s="6">
        <f>IFERROR(F145*G145,0)</f>
        <v/>
      </c>
      <c r="I145" s="4" t="n"/>
      <c r="J145" s="4" t="n"/>
      <c r="K145" s="4" t="n"/>
      <c r="L145" s="6" t="n"/>
      <c r="M145" s="6">
        <f>H145-IFERROR(L145,0)</f>
        <v/>
      </c>
      <c r="N145" s="4" t="n"/>
    </row>
    <row r="146" ht="22" customHeight="1">
      <c r="B146" s="7" t="n"/>
      <c r="C146" s="8" t="n"/>
      <c r="D146" s="8" t="n"/>
      <c r="E146" s="8" t="n"/>
      <c r="F146" s="9" t="n"/>
      <c r="G146" s="10" t="n"/>
      <c r="H146" s="10">
        <f>IFERROR(F146*G146,0)</f>
        <v/>
      </c>
      <c r="I146" s="8" t="n"/>
      <c r="J146" s="8" t="n"/>
      <c r="K146" s="8" t="n"/>
      <c r="L146" s="10" t="n"/>
      <c r="M146" s="10">
        <f>H146-IFERROR(L146,0)</f>
        <v/>
      </c>
      <c r="N146" s="8" t="n"/>
    </row>
    <row r="147" ht="22" customHeight="1">
      <c r="B147" s="3" t="n"/>
      <c r="C147" s="4" t="n"/>
      <c r="D147" s="4" t="n"/>
      <c r="E147" s="4" t="n"/>
      <c r="F147" s="5" t="n"/>
      <c r="G147" s="6" t="n"/>
      <c r="H147" s="6">
        <f>IFERROR(F147*G147,0)</f>
        <v/>
      </c>
      <c r="I147" s="4" t="n"/>
      <c r="J147" s="4" t="n"/>
      <c r="K147" s="4" t="n"/>
      <c r="L147" s="6" t="n"/>
      <c r="M147" s="6">
        <f>H147-IFERROR(L147,0)</f>
        <v/>
      </c>
      <c r="N147" s="4" t="n"/>
    </row>
    <row r="148" ht="22" customHeight="1">
      <c r="B148" s="7" t="n"/>
      <c r="C148" s="8" t="n"/>
      <c r="D148" s="8" t="n"/>
      <c r="E148" s="8" t="n"/>
      <c r="F148" s="9" t="n"/>
      <c r="G148" s="10" t="n"/>
      <c r="H148" s="10">
        <f>IFERROR(F148*G148,0)</f>
        <v/>
      </c>
      <c r="I148" s="8" t="n"/>
      <c r="J148" s="8" t="n"/>
      <c r="K148" s="8" t="n"/>
      <c r="L148" s="10" t="n"/>
      <c r="M148" s="10">
        <f>H148-IFERROR(L148,0)</f>
        <v/>
      </c>
      <c r="N148" s="8" t="n"/>
    </row>
    <row r="149" ht="22" customHeight="1">
      <c r="B149" s="3" t="n"/>
      <c r="C149" s="4" t="n"/>
      <c r="D149" s="4" t="n"/>
      <c r="E149" s="4" t="n"/>
      <c r="F149" s="5" t="n"/>
      <c r="G149" s="6" t="n"/>
      <c r="H149" s="6">
        <f>IFERROR(F149*G149,0)</f>
        <v/>
      </c>
      <c r="I149" s="4" t="n"/>
      <c r="J149" s="4" t="n"/>
      <c r="K149" s="4" t="n"/>
      <c r="L149" s="6" t="n"/>
      <c r="M149" s="6">
        <f>H149-IFERROR(L149,0)</f>
        <v/>
      </c>
      <c r="N149" s="4" t="n"/>
    </row>
    <row r="150" ht="22" customHeight="1">
      <c r="B150" s="7" t="n"/>
      <c r="C150" s="8" t="n"/>
      <c r="D150" s="8" t="n"/>
      <c r="E150" s="8" t="n"/>
      <c r="F150" s="9" t="n"/>
      <c r="G150" s="10" t="n"/>
      <c r="H150" s="10">
        <f>IFERROR(F150*G150,0)</f>
        <v/>
      </c>
      <c r="I150" s="8" t="n"/>
      <c r="J150" s="8" t="n"/>
      <c r="K150" s="8" t="n"/>
      <c r="L150" s="10" t="n"/>
      <c r="M150" s="10">
        <f>H150-IFERROR(L150,0)</f>
        <v/>
      </c>
      <c r="N150" s="8" t="n"/>
    </row>
    <row r="151" ht="22" customHeight="1">
      <c r="B151" s="3" t="n"/>
      <c r="C151" s="4" t="n"/>
      <c r="D151" s="4" t="n"/>
      <c r="E151" s="4" t="n"/>
      <c r="F151" s="5" t="n"/>
      <c r="G151" s="6" t="n"/>
      <c r="H151" s="6">
        <f>IFERROR(F151*G151,0)</f>
        <v/>
      </c>
      <c r="I151" s="4" t="n"/>
      <c r="J151" s="4" t="n"/>
      <c r="K151" s="4" t="n"/>
      <c r="L151" s="6" t="n"/>
      <c r="M151" s="6">
        <f>H151-IFERROR(L151,0)</f>
        <v/>
      </c>
      <c r="N151" s="4" t="n"/>
    </row>
    <row r="152" ht="22" customHeight="1">
      <c r="B152" s="7" t="n"/>
      <c r="C152" s="8" t="n"/>
      <c r="D152" s="8" t="n"/>
      <c r="E152" s="8" t="n"/>
      <c r="F152" s="9" t="n"/>
      <c r="G152" s="10" t="n"/>
      <c r="H152" s="10">
        <f>IFERROR(F152*G152,0)</f>
        <v/>
      </c>
      <c r="I152" s="8" t="n"/>
      <c r="J152" s="8" t="n"/>
      <c r="K152" s="8" t="n"/>
      <c r="L152" s="10" t="n"/>
      <c r="M152" s="10">
        <f>H152-IFERROR(L152,0)</f>
        <v/>
      </c>
      <c r="N152" s="8" t="n"/>
    </row>
    <row r="153" ht="22" customHeight="1">
      <c r="B153" s="3" t="n"/>
      <c r="C153" s="4" t="n"/>
      <c r="D153" s="4" t="n"/>
      <c r="E153" s="4" t="n"/>
      <c r="F153" s="5" t="n"/>
      <c r="G153" s="6" t="n"/>
      <c r="H153" s="6">
        <f>IFERROR(F153*G153,0)</f>
        <v/>
      </c>
      <c r="I153" s="4" t="n"/>
      <c r="J153" s="4" t="n"/>
      <c r="K153" s="4" t="n"/>
      <c r="L153" s="6" t="n"/>
      <c r="M153" s="6">
        <f>H153-IFERROR(L153,0)</f>
        <v/>
      </c>
      <c r="N153" s="4" t="n"/>
    </row>
    <row r="154" ht="22" customHeight="1">
      <c r="B154" s="7" t="n"/>
      <c r="C154" s="8" t="n"/>
      <c r="D154" s="8" t="n"/>
      <c r="E154" s="8" t="n"/>
      <c r="F154" s="9" t="n"/>
      <c r="G154" s="10" t="n"/>
      <c r="H154" s="10">
        <f>IFERROR(F154*G154,0)</f>
        <v/>
      </c>
      <c r="I154" s="8" t="n"/>
      <c r="J154" s="8" t="n"/>
      <c r="K154" s="8" t="n"/>
      <c r="L154" s="10" t="n"/>
      <c r="M154" s="10">
        <f>H154-IFERROR(L154,0)</f>
        <v/>
      </c>
      <c r="N154" s="8" t="n"/>
    </row>
    <row r="155" ht="22" customHeight="1">
      <c r="B155" s="3" t="n"/>
      <c r="C155" s="4" t="n"/>
      <c r="D155" s="4" t="n"/>
      <c r="E155" s="4" t="n"/>
      <c r="F155" s="5" t="n"/>
      <c r="G155" s="6" t="n"/>
      <c r="H155" s="6">
        <f>IFERROR(F155*G155,0)</f>
        <v/>
      </c>
      <c r="I155" s="4" t="n"/>
      <c r="J155" s="4" t="n"/>
      <c r="K155" s="4" t="n"/>
      <c r="L155" s="6" t="n"/>
      <c r="M155" s="6">
        <f>H155-IFERROR(L155,0)</f>
        <v/>
      </c>
      <c r="N155" s="4" t="n"/>
    </row>
    <row r="156" ht="22" customHeight="1">
      <c r="B156" s="7" t="n"/>
      <c r="C156" s="8" t="n"/>
      <c r="D156" s="8" t="n"/>
      <c r="E156" s="8" t="n"/>
      <c r="F156" s="9" t="n"/>
      <c r="G156" s="10" t="n"/>
      <c r="H156" s="10">
        <f>IFERROR(F156*G156,0)</f>
        <v/>
      </c>
      <c r="I156" s="8" t="n"/>
      <c r="J156" s="8" t="n"/>
      <c r="K156" s="8" t="n"/>
      <c r="L156" s="10" t="n"/>
      <c r="M156" s="10">
        <f>H156-IFERROR(L156,0)</f>
        <v/>
      </c>
      <c r="N156" s="8" t="n"/>
    </row>
    <row r="157" ht="22" customHeight="1">
      <c r="B157" s="3" t="n"/>
      <c r="C157" s="4" t="n"/>
      <c r="D157" s="4" t="n"/>
      <c r="E157" s="4" t="n"/>
      <c r="F157" s="5" t="n"/>
      <c r="G157" s="6" t="n"/>
      <c r="H157" s="6">
        <f>IFERROR(F157*G157,0)</f>
        <v/>
      </c>
      <c r="I157" s="4" t="n"/>
      <c r="J157" s="4" t="n"/>
      <c r="K157" s="4" t="n"/>
      <c r="L157" s="6" t="n"/>
      <c r="M157" s="6">
        <f>H157-IFERROR(L157,0)</f>
        <v/>
      </c>
      <c r="N157" s="4" t="n"/>
    </row>
    <row r="158" ht="22" customHeight="1">
      <c r="B158" s="7" t="n"/>
      <c r="C158" s="8" t="n"/>
      <c r="D158" s="8" t="n"/>
      <c r="E158" s="8" t="n"/>
      <c r="F158" s="9" t="n"/>
      <c r="G158" s="10" t="n"/>
      <c r="H158" s="10">
        <f>IFERROR(F158*G158,0)</f>
        <v/>
      </c>
      <c r="I158" s="8" t="n"/>
      <c r="J158" s="8" t="n"/>
      <c r="K158" s="8" t="n"/>
      <c r="L158" s="10" t="n"/>
      <c r="M158" s="10">
        <f>H158-IFERROR(L158,0)</f>
        <v/>
      </c>
      <c r="N158" s="8" t="n"/>
    </row>
    <row r="159" ht="22" customHeight="1">
      <c r="B159" s="3" t="n"/>
      <c r="C159" s="4" t="n"/>
      <c r="D159" s="4" t="n"/>
      <c r="E159" s="4" t="n"/>
      <c r="F159" s="5" t="n"/>
      <c r="G159" s="6" t="n"/>
      <c r="H159" s="6">
        <f>IFERROR(F159*G159,0)</f>
        <v/>
      </c>
      <c r="I159" s="4" t="n"/>
      <c r="J159" s="4" t="n"/>
      <c r="K159" s="4" t="n"/>
      <c r="L159" s="6" t="n"/>
      <c r="M159" s="6">
        <f>H159-IFERROR(L159,0)</f>
        <v/>
      </c>
      <c r="N159" s="4" t="n"/>
    </row>
    <row r="160" ht="22" customHeight="1">
      <c r="B160" s="7" t="n"/>
      <c r="C160" s="8" t="n"/>
      <c r="D160" s="8" t="n"/>
      <c r="E160" s="8" t="n"/>
      <c r="F160" s="9" t="n"/>
      <c r="G160" s="10" t="n"/>
      <c r="H160" s="10">
        <f>IFERROR(F160*G160,0)</f>
        <v/>
      </c>
      <c r="I160" s="8" t="n"/>
      <c r="J160" s="8" t="n"/>
      <c r="K160" s="8" t="n"/>
      <c r="L160" s="10" t="n"/>
      <c r="M160" s="10">
        <f>H160-IFERROR(L160,0)</f>
        <v/>
      </c>
      <c r="N160" s="8" t="n"/>
    </row>
    <row r="161" ht="22" customHeight="1">
      <c r="B161" s="3" t="n"/>
      <c r="C161" s="4" t="n"/>
      <c r="D161" s="4" t="n"/>
      <c r="E161" s="4" t="n"/>
      <c r="F161" s="5" t="n"/>
      <c r="G161" s="6" t="n"/>
      <c r="H161" s="6">
        <f>IFERROR(F161*G161,0)</f>
        <v/>
      </c>
      <c r="I161" s="4" t="n"/>
      <c r="J161" s="4" t="n"/>
      <c r="K161" s="4" t="n"/>
      <c r="L161" s="6" t="n"/>
      <c r="M161" s="6">
        <f>H161-IFERROR(L161,0)</f>
        <v/>
      </c>
      <c r="N161" s="4" t="n"/>
    </row>
    <row r="162" ht="22" customHeight="1">
      <c r="B162" s="7" t="n"/>
      <c r="C162" s="8" t="n"/>
      <c r="D162" s="8" t="n"/>
      <c r="E162" s="8" t="n"/>
      <c r="F162" s="9" t="n"/>
      <c r="G162" s="10" t="n"/>
      <c r="H162" s="10">
        <f>IFERROR(F162*G162,0)</f>
        <v/>
      </c>
      <c r="I162" s="8" t="n"/>
      <c r="J162" s="8" t="n"/>
      <c r="K162" s="8" t="n"/>
      <c r="L162" s="10" t="n"/>
      <c r="M162" s="10">
        <f>H162-IFERROR(L162,0)</f>
        <v/>
      </c>
      <c r="N162" s="8" t="n"/>
    </row>
    <row r="163" ht="22" customHeight="1">
      <c r="B163" s="3" t="n"/>
      <c r="C163" s="4" t="n"/>
      <c r="D163" s="4" t="n"/>
      <c r="E163" s="4" t="n"/>
      <c r="F163" s="5" t="n"/>
      <c r="G163" s="6" t="n"/>
      <c r="H163" s="6">
        <f>IFERROR(F163*G163,0)</f>
        <v/>
      </c>
      <c r="I163" s="4" t="n"/>
      <c r="J163" s="4" t="n"/>
      <c r="K163" s="4" t="n"/>
      <c r="L163" s="6" t="n"/>
      <c r="M163" s="6">
        <f>H163-IFERROR(L163,0)</f>
        <v/>
      </c>
      <c r="N163" s="4" t="n"/>
    </row>
    <row r="164" ht="22" customHeight="1">
      <c r="B164" s="7" t="n"/>
      <c r="C164" s="8" t="n"/>
      <c r="D164" s="8" t="n"/>
      <c r="E164" s="8" t="n"/>
      <c r="F164" s="9" t="n"/>
      <c r="G164" s="10" t="n"/>
      <c r="H164" s="10">
        <f>IFERROR(F164*G164,0)</f>
        <v/>
      </c>
      <c r="I164" s="8" t="n"/>
      <c r="J164" s="8" t="n"/>
      <c r="K164" s="8" t="n"/>
      <c r="L164" s="10" t="n"/>
      <c r="M164" s="10">
        <f>H164-IFERROR(L164,0)</f>
        <v/>
      </c>
      <c r="N164" s="8" t="n"/>
    </row>
    <row r="165" ht="22" customHeight="1">
      <c r="B165" s="3" t="n"/>
      <c r="C165" s="4" t="n"/>
      <c r="D165" s="4" t="n"/>
      <c r="E165" s="4" t="n"/>
      <c r="F165" s="5" t="n"/>
      <c r="G165" s="6" t="n"/>
      <c r="H165" s="6">
        <f>IFERROR(F165*G165,0)</f>
        <v/>
      </c>
      <c r="I165" s="4" t="n"/>
      <c r="J165" s="4" t="n"/>
      <c r="K165" s="4" t="n"/>
      <c r="L165" s="6" t="n"/>
      <c r="M165" s="6">
        <f>H165-IFERROR(L165,0)</f>
        <v/>
      </c>
      <c r="N165" s="4" t="n"/>
    </row>
    <row r="166" ht="22" customHeight="1">
      <c r="B166" s="7" t="n"/>
      <c r="C166" s="8" t="n"/>
      <c r="D166" s="8" t="n"/>
      <c r="E166" s="8" t="n"/>
      <c r="F166" s="9" t="n"/>
      <c r="G166" s="10" t="n"/>
      <c r="H166" s="10">
        <f>IFERROR(F166*G166,0)</f>
        <v/>
      </c>
      <c r="I166" s="8" t="n"/>
      <c r="J166" s="8" t="n"/>
      <c r="K166" s="8" t="n"/>
      <c r="L166" s="10" t="n"/>
      <c r="M166" s="10">
        <f>H166-IFERROR(L166,0)</f>
        <v/>
      </c>
      <c r="N166" s="8" t="n"/>
    </row>
    <row r="167" ht="22" customHeight="1">
      <c r="B167" s="3" t="n"/>
      <c r="C167" s="4" t="n"/>
      <c r="D167" s="4" t="n"/>
      <c r="E167" s="4" t="n"/>
      <c r="F167" s="5" t="n"/>
      <c r="G167" s="6" t="n"/>
      <c r="H167" s="6">
        <f>IFERROR(F167*G167,0)</f>
        <v/>
      </c>
      <c r="I167" s="4" t="n"/>
      <c r="J167" s="4" t="n"/>
      <c r="K167" s="4" t="n"/>
      <c r="L167" s="6" t="n"/>
      <c r="M167" s="6">
        <f>H167-IFERROR(L167,0)</f>
        <v/>
      </c>
      <c r="N167" s="4" t="n"/>
    </row>
    <row r="168" ht="22" customHeight="1">
      <c r="B168" s="7" t="n"/>
      <c r="C168" s="8" t="n"/>
      <c r="D168" s="8" t="n"/>
      <c r="E168" s="8" t="n"/>
      <c r="F168" s="9" t="n"/>
      <c r="G168" s="10" t="n"/>
      <c r="H168" s="10">
        <f>IFERROR(F168*G168,0)</f>
        <v/>
      </c>
      <c r="I168" s="8" t="n"/>
      <c r="J168" s="8" t="n"/>
      <c r="K168" s="8" t="n"/>
      <c r="L168" s="10" t="n"/>
      <c r="M168" s="10">
        <f>H168-IFERROR(L168,0)</f>
        <v/>
      </c>
      <c r="N168" s="8" t="n"/>
    </row>
    <row r="169" ht="22" customHeight="1">
      <c r="B169" s="3" t="n"/>
      <c r="C169" s="4" t="n"/>
      <c r="D169" s="4" t="n"/>
      <c r="E169" s="4" t="n"/>
      <c r="F169" s="5" t="n"/>
      <c r="G169" s="6" t="n"/>
      <c r="H169" s="6">
        <f>IFERROR(F169*G169,0)</f>
        <v/>
      </c>
      <c r="I169" s="4" t="n"/>
      <c r="J169" s="4" t="n"/>
      <c r="K169" s="4" t="n"/>
      <c r="L169" s="6" t="n"/>
      <c r="M169" s="6">
        <f>H169-IFERROR(L169,0)</f>
        <v/>
      </c>
      <c r="N169" s="4" t="n"/>
    </row>
    <row r="170" ht="22" customHeight="1">
      <c r="B170" s="7" t="n"/>
      <c r="C170" s="8" t="n"/>
      <c r="D170" s="8" t="n"/>
      <c r="E170" s="8" t="n"/>
      <c r="F170" s="9" t="n"/>
      <c r="G170" s="10" t="n"/>
      <c r="H170" s="10">
        <f>IFERROR(F170*G170,0)</f>
        <v/>
      </c>
      <c r="I170" s="8" t="n"/>
      <c r="J170" s="8" t="n"/>
      <c r="K170" s="8" t="n"/>
      <c r="L170" s="10" t="n"/>
      <c r="M170" s="10">
        <f>H170-IFERROR(L170,0)</f>
        <v/>
      </c>
      <c r="N170" s="8" t="n"/>
    </row>
    <row r="171" ht="22" customHeight="1">
      <c r="B171" s="3" t="n"/>
      <c r="C171" s="4" t="n"/>
      <c r="D171" s="4" t="n"/>
      <c r="E171" s="4" t="n"/>
      <c r="F171" s="5" t="n"/>
      <c r="G171" s="6" t="n"/>
      <c r="H171" s="6">
        <f>IFERROR(F171*G171,0)</f>
        <v/>
      </c>
      <c r="I171" s="4" t="n"/>
      <c r="J171" s="4" t="n"/>
      <c r="K171" s="4" t="n"/>
      <c r="L171" s="6" t="n"/>
      <c r="M171" s="6">
        <f>H171-IFERROR(L171,0)</f>
        <v/>
      </c>
      <c r="N171" s="4" t="n"/>
    </row>
    <row r="172" ht="22" customHeight="1">
      <c r="B172" s="7" t="n"/>
      <c r="C172" s="8" t="n"/>
      <c r="D172" s="8" t="n"/>
      <c r="E172" s="8" t="n"/>
      <c r="F172" s="9" t="n"/>
      <c r="G172" s="10" t="n"/>
      <c r="H172" s="10">
        <f>IFERROR(F172*G172,0)</f>
        <v/>
      </c>
      <c r="I172" s="8" t="n"/>
      <c r="J172" s="8" t="n"/>
      <c r="K172" s="8" t="n"/>
      <c r="L172" s="10" t="n"/>
      <c r="M172" s="10">
        <f>H172-IFERROR(L172,0)</f>
        <v/>
      </c>
      <c r="N172" s="8" t="n"/>
    </row>
    <row r="173" ht="22" customHeight="1">
      <c r="B173" s="3" t="n"/>
      <c r="C173" s="4" t="n"/>
      <c r="D173" s="4" t="n"/>
      <c r="E173" s="4" t="n"/>
      <c r="F173" s="5" t="n"/>
      <c r="G173" s="6" t="n"/>
      <c r="H173" s="6">
        <f>IFERROR(F173*G173,0)</f>
        <v/>
      </c>
      <c r="I173" s="4" t="n"/>
      <c r="J173" s="4" t="n"/>
      <c r="K173" s="4" t="n"/>
      <c r="L173" s="6" t="n"/>
      <c r="M173" s="6">
        <f>H173-IFERROR(L173,0)</f>
        <v/>
      </c>
      <c r="N173" s="4" t="n"/>
    </row>
    <row r="174" ht="22" customHeight="1">
      <c r="B174" s="7" t="n"/>
      <c r="C174" s="8" t="n"/>
      <c r="D174" s="8" t="n"/>
      <c r="E174" s="8" t="n"/>
      <c r="F174" s="9" t="n"/>
      <c r="G174" s="10" t="n"/>
      <c r="H174" s="10">
        <f>IFERROR(F174*G174,0)</f>
        <v/>
      </c>
      <c r="I174" s="8" t="n"/>
      <c r="J174" s="8" t="n"/>
      <c r="K174" s="8" t="n"/>
      <c r="L174" s="10" t="n"/>
      <c r="M174" s="10">
        <f>H174-IFERROR(L174,0)</f>
        <v/>
      </c>
      <c r="N174" s="8" t="n"/>
    </row>
    <row r="175" ht="22" customHeight="1">
      <c r="B175" s="3" t="n"/>
      <c r="C175" s="4" t="n"/>
      <c r="D175" s="4" t="n"/>
      <c r="E175" s="4" t="n"/>
      <c r="F175" s="5" t="n"/>
      <c r="G175" s="6" t="n"/>
      <c r="H175" s="6">
        <f>IFERROR(F175*G175,0)</f>
        <v/>
      </c>
      <c r="I175" s="4" t="n"/>
      <c r="J175" s="4" t="n"/>
      <c r="K175" s="4" t="n"/>
      <c r="L175" s="6" t="n"/>
      <c r="M175" s="6">
        <f>H175-IFERROR(L175,0)</f>
        <v/>
      </c>
      <c r="N175" s="4" t="n"/>
    </row>
    <row r="176" ht="22" customHeight="1">
      <c r="B176" s="7" t="n"/>
      <c r="C176" s="8" t="n"/>
      <c r="D176" s="8" t="n"/>
      <c r="E176" s="8" t="n"/>
      <c r="F176" s="9" t="n"/>
      <c r="G176" s="10" t="n"/>
      <c r="H176" s="10">
        <f>IFERROR(F176*G176,0)</f>
        <v/>
      </c>
      <c r="I176" s="8" t="n"/>
      <c r="J176" s="8" t="n"/>
      <c r="K176" s="8" t="n"/>
      <c r="L176" s="10" t="n"/>
      <c r="M176" s="10">
        <f>H176-IFERROR(L176,0)</f>
        <v/>
      </c>
      <c r="N176" s="8" t="n"/>
    </row>
    <row r="177" ht="22" customHeight="1">
      <c r="B177" s="3" t="n"/>
      <c r="C177" s="4" t="n"/>
      <c r="D177" s="4" t="n"/>
      <c r="E177" s="4" t="n"/>
      <c r="F177" s="5" t="n"/>
      <c r="G177" s="6" t="n"/>
      <c r="H177" s="6">
        <f>IFERROR(F177*G177,0)</f>
        <v/>
      </c>
      <c r="I177" s="4" t="n"/>
      <c r="J177" s="4" t="n"/>
      <c r="K177" s="4" t="n"/>
      <c r="L177" s="6" t="n"/>
      <c r="M177" s="6">
        <f>H177-IFERROR(L177,0)</f>
        <v/>
      </c>
      <c r="N177" s="4" t="n"/>
    </row>
    <row r="178" ht="22" customHeight="1">
      <c r="B178" s="7" t="n"/>
      <c r="C178" s="8" t="n"/>
      <c r="D178" s="8" t="n"/>
      <c r="E178" s="8" t="n"/>
      <c r="F178" s="9" t="n"/>
      <c r="G178" s="10" t="n"/>
      <c r="H178" s="10">
        <f>IFERROR(F178*G178,0)</f>
        <v/>
      </c>
      <c r="I178" s="8" t="n"/>
      <c r="J178" s="8" t="n"/>
      <c r="K178" s="8" t="n"/>
      <c r="L178" s="10" t="n"/>
      <c r="M178" s="10">
        <f>H178-IFERROR(L178,0)</f>
        <v/>
      </c>
      <c r="N178" s="8" t="n"/>
    </row>
    <row r="179" ht="22" customHeight="1">
      <c r="B179" s="3" t="n"/>
      <c r="C179" s="4" t="n"/>
      <c r="D179" s="4" t="n"/>
      <c r="E179" s="4" t="n"/>
      <c r="F179" s="5" t="n"/>
      <c r="G179" s="6" t="n"/>
      <c r="H179" s="6">
        <f>IFERROR(F179*G179,0)</f>
        <v/>
      </c>
      <c r="I179" s="4" t="n"/>
      <c r="J179" s="4" t="n"/>
      <c r="K179" s="4" t="n"/>
      <c r="L179" s="6" t="n"/>
      <c r="M179" s="6">
        <f>H179-IFERROR(L179,0)</f>
        <v/>
      </c>
      <c r="N179" s="4" t="n"/>
    </row>
    <row r="180" ht="22" customHeight="1">
      <c r="B180" s="7" t="n"/>
      <c r="C180" s="8" t="n"/>
      <c r="D180" s="8" t="n"/>
      <c r="E180" s="8" t="n"/>
      <c r="F180" s="9" t="n"/>
      <c r="G180" s="10" t="n"/>
      <c r="H180" s="10">
        <f>IFERROR(F180*G180,0)</f>
        <v/>
      </c>
      <c r="I180" s="8" t="n"/>
      <c r="J180" s="8" t="n"/>
      <c r="K180" s="8" t="n"/>
      <c r="L180" s="10" t="n"/>
      <c r="M180" s="10">
        <f>H180-IFERROR(L180,0)</f>
        <v/>
      </c>
      <c r="N180" s="8" t="n"/>
    </row>
    <row r="181" ht="22" customHeight="1">
      <c r="B181" s="3" t="n"/>
      <c r="C181" s="4" t="n"/>
      <c r="D181" s="4" t="n"/>
      <c r="E181" s="4" t="n"/>
      <c r="F181" s="5" t="n"/>
      <c r="G181" s="6" t="n"/>
      <c r="H181" s="6">
        <f>IFERROR(F181*G181,0)</f>
        <v/>
      </c>
      <c r="I181" s="4" t="n"/>
      <c r="J181" s="4" t="n"/>
      <c r="K181" s="4" t="n"/>
      <c r="L181" s="6" t="n"/>
      <c r="M181" s="6">
        <f>H181-IFERROR(L181,0)</f>
        <v/>
      </c>
      <c r="N181" s="4" t="n"/>
    </row>
    <row r="182" ht="22" customHeight="1">
      <c r="B182" s="7" t="n"/>
      <c r="C182" s="8" t="n"/>
      <c r="D182" s="8" t="n"/>
      <c r="E182" s="8" t="n"/>
      <c r="F182" s="9" t="n"/>
      <c r="G182" s="10" t="n"/>
      <c r="H182" s="10">
        <f>IFERROR(F182*G182,0)</f>
        <v/>
      </c>
      <c r="I182" s="8" t="n"/>
      <c r="J182" s="8" t="n"/>
      <c r="K182" s="8" t="n"/>
      <c r="L182" s="10" t="n"/>
      <c r="M182" s="10">
        <f>H182-IFERROR(L182,0)</f>
        <v/>
      </c>
      <c r="N182" s="8" t="n"/>
    </row>
    <row r="183" ht="22" customHeight="1">
      <c r="B183" s="3" t="n"/>
      <c r="C183" s="4" t="n"/>
      <c r="D183" s="4" t="n"/>
      <c r="E183" s="4" t="n"/>
      <c r="F183" s="5" t="n"/>
      <c r="G183" s="6" t="n"/>
      <c r="H183" s="6">
        <f>IFERROR(F183*G183,0)</f>
        <v/>
      </c>
      <c r="I183" s="4" t="n"/>
      <c r="J183" s="4" t="n"/>
      <c r="K183" s="4" t="n"/>
      <c r="L183" s="6" t="n"/>
      <c r="M183" s="6">
        <f>H183-IFERROR(L183,0)</f>
        <v/>
      </c>
      <c r="N183" s="4" t="n"/>
    </row>
    <row r="184" ht="22" customHeight="1">
      <c r="B184" s="7" t="n"/>
      <c r="C184" s="8" t="n"/>
      <c r="D184" s="8" t="n"/>
      <c r="E184" s="8" t="n"/>
      <c r="F184" s="9" t="n"/>
      <c r="G184" s="10" t="n"/>
      <c r="H184" s="10">
        <f>IFERROR(F184*G184,0)</f>
        <v/>
      </c>
      <c r="I184" s="8" t="n"/>
      <c r="J184" s="8" t="n"/>
      <c r="K184" s="8" t="n"/>
      <c r="L184" s="10" t="n"/>
      <c r="M184" s="10">
        <f>H184-IFERROR(L184,0)</f>
        <v/>
      </c>
      <c r="N184" s="8" t="n"/>
    </row>
    <row r="185" ht="22" customHeight="1">
      <c r="B185" s="3" t="n"/>
      <c r="C185" s="4" t="n"/>
      <c r="D185" s="4" t="n"/>
      <c r="E185" s="4" t="n"/>
      <c r="F185" s="5" t="n"/>
      <c r="G185" s="6" t="n"/>
      <c r="H185" s="6">
        <f>IFERROR(F185*G185,0)</f>
        <v/>
      </c>
      <c r="I185" s="4" t="n"/>
      <c r="J185" s="4" t="n"/>
      <c r="K185" s="4" t="n"/>
      <c r="L185" s="6" t="n"/>
      <c r="M185" s="6">
        <f>H185-IFERROR(L185,0)</f>
        <v/>
      </c>
      <c r="N185" s="4" t="n"/>
    </row>
    <row r="186" ht="22" customHeight="1">
      <c r="B186" s="7" t="n"/>
      <c r="C186" s="8" t="n"/>
      <c r="D186" s="8" t="n"/>
      <c r="E186" s="8" t="n"/>
      <c r="F186" s="9" t="n"/>
      <c r="G186" s="10" t="n"/>
      <c r="H186" s="10">
        <f>IFERROR(F186*G186,0)</f>
        <v/>
      </c>
      <c r="I186" s="8" t="n"/>
      <c r="J186" s="8" t="n"/>
      <c r="K186" s="8" t="n"/>
      <c r="L186" s="10" t="n"/>
      <c r="M186" s="10">
        <f>H186-IFERROR(L186,0)</f>
        <v/>
      </c>
      <c r="N186" s="8" t="n"/>
    </row>
    <row r="187" ht="22" customHeight="1">
      <c r="B187" s="3" t="n"/>
      <c r="C187" s="4" t="n"/>
      <c r="D187" s="4" t="n"/>
      <c r="E187" s="4" t="n"/>
      <c r="F187" s="5" t="n"/>
      <c r="G187" s="6" t="n"/>
      <c r="H187" s="6">
        <f>IFERROR(F187*G187,0)</f>
        <v/>
      </c>
      <c r="I187" s="4" t="n"/>
      <c r="J187" s="4" t="n"/>
      <c r="K187" s="4" t="n"/>
      <c r="L187" s="6" t="n"/>
      <c r="M187" s="6">
        <f>H187-IFERROR(L187,0)</f>
        <v/>
      </c>
      <c r="N187" s="4" t="n"/>
    </row>
    <row r="188" ht="22" customHeight="1">
      <c r="B188" s="7" t="n"/>
      <c r="C188" s="8" t="n"/>
      <c r="D188" s="8" t="n"/>
      <c r="E188" s="8" t="n"/>
      <c r="F188" s="9" t="n"/>
      <c r="G188" s="10" t="n"/>
      <c r="H188" s="10">
        <f>IFERROR(F188*G188,0)</f>
        <v/>
      </c>
      <c r="I188" s="8" t="n"/>
      <c r="J188" s="8" t="n"/>
      <c r="K188" s="8" t="n"/>
      <c r="L188" s="10" t="n"/>
      <c r="M188" s="10">
        <f>H188-IFERROR(L188,0)</f>
        <v/>
      </c>
      <c r="N188" s="8" t="n"/>
    </row>
    <row r="189" ht="22" customHeight="1">
      <c r="B189" s="3" t="n"/>
      <c r="C189" s="4" t="n"/>
      <c r="D189" s="4" t="n"/>
      <c r="E189" s="4" t="n"/>
      <c r="F189" s="5" t="n"/>
      <c r="G189" s="6" t="n"/>
      <c r="H189" s="6">
        <f>IFERROR(F189*G189,0)</f>
        <v/>
      </c>
      <c r="I189" s="4" t="n"/>
      <c r="J189" s="4" t="n"/>
      <c r="K189" s="4" t="n"/>
      <c r="L189" s="6" t="n"/>
      <c r="M189" s="6">
        <f>H189-IFERROR(L189,0)</f>
        <v/>
      </c>
      <c r="N189" s="4" t="n"/>
    </row>
    <row r="190" ht="22" customHeight="1">
      <c r="B190" s="7" t="n"/>
      <c r="C190" s="8" t="n"/>
      <c r="D190" s="8" t="n"/>
      <c r="E190" s="8" t="n"/>
      <c r="F190" s="9" t="n"/>
      <c r="G190" s="10" t="n"/>
      <c r="H190" s="10">
        <f>IFERROR(F190*G190,0)</f>
        <v/>
      </c>
      <c r="I190" s="8" t="n"/>
      <c r="J190" s="8" t="n"/>
      <c r="K190" s="8" t="n"/>
      <c r="L190" s="10" t="n"/>
      <c r="M190" s="10">
        <f>H190-IFERROR(L190,0)</f>
        <v/>
      </c>
      <c r="N190" s="8" t="n"/>
    </row>
    <row r="191" ht="22" customHeight="1">
      <c r="B191" s="3" t="n"/>
      <c r="C191" s="4" t="n"/>
      <c r="D191" s="4" t="n"/>
      <c r="E191" s="4" t="n"/>
      <c r="F191" s="5" t="n"/>
      <c r="G191" s="6" t="n"/>
      <c r="H191" s="6">
        <f>IFERROR(F191*G191,0)</f>
        <v/>
      </c>
      <c r="I191" s="4" t="n"/>
      <c r="J191" s="4" t="n"/>
      <c r="K191" s="4" t="n"/>
      <c r="L191" s="6" t="n"/>
      <c r="M191" s="6">
        <f>H191-IFERROR(L191,0)</f>
        <v/>
      </c>
      <c r="N191" s="4" t="n"/>
    </row>
    <row r="192" ht="22" customHeight="1">
      <c r="B192" s="7" t="n"/>
      <c r="C192" s="8" t="n"/>
      <c r="D192" s="8" t="n"/>
      <c r="E192" s="8" t="n"/>
      <c r="F192" s="9" t="n"/>
      <c r="G192" s="10" t="n"/>
      <c r="H192" s="10">
        <f>IFERROR(F192*G192,0)</f>
        <v/>
      </c>
      <c r="I192" s="8" t="n"/>
      <c r="J192" s="8" t="n"/>
      <c r="K192" s="8" t="n"/>
      <c r="L192" s="10" t="n"/>
      <c r="M192" s="10">
        <f>H192-IFERROR(L192,0)</f>
        <v/>
      </c>
      <c r="N192" s="8" t="n"/>
    </row>
    <row r="193" ht="22" customHeight="1">
      <c r="B193" s="3" t="n"/>
      <c r="C193" s="4" t="n"/>
      <c r="D193" s="4" t="n"/>
      <c r="E193" s="4" t="n"/>
      <c r="F193" s="5" t="n"/>
      <c r="G193" s="6" t="n"/>
      <c r="H193" s="6">
        <f>IFERROR(F193*G193,0)</f>
        <v/>
      </c>
      <c r="I193" s="4" t="n"/>
      <c r="J193" s="4" t="n"/>
      <c r="K193" s="4" t="n"/>
      <c r="L193" s="6" t="n"/>
      <c r="M193" s="6">
        <f>H193-IFERROR(L193,0)</f>
        <v/>
      </c>
      <c r="N193" s="4" t="n"/>
    </row>
    <row r="194" ht="22" customHeight="1">
      <c r="B194" s="7" t="n"/>
      <c r="C194" s="8" t="n"/>
      <c r="D194" s="8" t="n"/>
      <c r="E194" s="8" t="n"/>
      <c r="F194" s="9" t="n"/>
      <c r="G194" s="10" t="n"/>
      <c r="H194" s="10">
        <f>IFERROR(F194*G194,0)</f>
        <v/>
      </c>
      <c r="I194" s="8" t="n"/>
      <c r="J194" s="8" t="n"/>
      <c r="K194" s="8" t="n"/>
      <c r="L194" s="10" t="n"/>
      <c r="M194" s="10">
        <f>H194-IFERROR(L194,0)</f>
        <v/>
      </c>
      <c r="N194" s="8" t="n"/>
    </row>
    <row r="195" ht="22" customHeight="1">
      <c r="B195" s="3" t="n"/>
      <c r="C195" s="4" t="n"/>
      <c r="D195" s="4" t="n"/>
      <c r="E195" s="4" t="n"/>
      <c r="F195" s="5" t="n"/>
      <c r="G195" s="6" t="n"/>
      <c r="H195" s="6">
        <f>IFERROR(F195*G195,0)</f>
        <v/>
      </c>
      <c r="I195" s="4" t="n"/>
      <c r="J195" s="4" t="n"/>
      <c r="K195" s="4" t="n"/>
      <c r="L195" s="6" t="n"/>
      <c r="M195" s="6">
        <f>H195-IFERROR(L195,0)</f>
        <v/>
      </c>
      <c r="N195" s="4" t="n"/>
    </row>
    <row r="196" ht="22" customHeight="1">
      <c r="B196" s="7" t="n"/>
      <c r="C196" s="8" t="n"/>
      <c r="D196" s="8" t="n"/>
      <c r="E196" s="8" t="n"/>
      <c r="F196" s="9" t="n"/>
      <c r="G196" s="10" t="n"/>
      <c r="H196" s="10">
        <f>IFERROR(F196*G196,0)</f>
        <v/>
      </c>
      <c r="I196" s="8" t="n"/>
      <c r="J196" s="8" t="n"/>
      <c r="K196" s="8" t="n"/>
      <c r="L196" s="10" t="n"/>
      <c r="M196" s="10">
        <f>H196-IFERROR(L196,0)</f>
        <v/>
      </c>
      <c r="N196" s="8" t="n"/>
    </row>
    <row r="197" ht="22" customHeight="1">
      <c r="B197" s="3" t="n"/>
      <c r="C197" s="4" t="n"/>
      <c r="D197" s="4" t="n"/>
      <c r="E197" s="4" t="n"/>
      <c r="F197" s="5" t="n"/>
      <c r="G197" s="6" t="n"/>
      <c r="H197" s="6">
        <f>IFERROR(F197*G197,0)</f>
        <v/>
      </c>
      <c r="I197" s="4" t="n"/>
      <c r="J197" s="4" t="n"/>
      <c r="K197" s="4" t="n"/>
      <c r="L197" s="6" t="n"/>
      <c r="M197" s="6">
        <f>H197-IFERROR(L197,0)</f>
        <v/>
      </c>
      <c r="N197" s="4" t="n"/>
    </row>
    <row r="198" ht="22" customHeight="1">
      <c r="B198" s="7" t="n"/>
      <c r="C198" s="8" t="n"/>
      <c r="D198" s="8" t="n"/>
      <c r="E198" s="8" t="n"/>
      <c r="F198" s="9" t="n"/>
      <c r="G198" s="10" t="n"/>
      <c r="H198" s="10">
        <f>IFERROR(F198*G198,0)</f>
        <v/>
      </c>
      <c r="I198" s="8" t="n"/>
      <c r="J198" s="8" t="n"/>
      <c r="K198" s="8" t="n"/>
      <c r="L198" s="10" t="n"/>
      <c r="M198" s="10">
        <f>H198-IFERROR(L198,0)</f>
        <v/>
      </c>
      <c r="N198" s="8" t="n"/>
    </row>
    <row r="199" ht="22" customHeight="1">
      <c r="B199" s="3" t="n"/>
      <c r="C199" s="4" t="n"/>
      <c r="D199" s="4" t="n"/>
      <c r="E199" s="4" t="n"/>
      <c r="F199" s="5" t="n"/>
      <c r="G199" s="6" t="n"/>
      <c r="H199" s="6">
        <f>IFERROR(F199*G199,0)</f>
        <v/>
      </c>
      <c r="I199" s="4" t="n"/>
      <c r="J199" s="4" t="n"/>
      <c r="K199" s="4" t="n"/>
      <c r="L199" s="6" t="n"/>
      <c r="M199" s="6">
        <f>H199-IFERROR(L199,0)</f>
        <v/>
      </c>
      <c r="N199" s="4" t="n"/>
    </row>
    <row r="200" ht="22" customHeight="1">
      <c r="B200" s="7" t="n"/>
      <c r="C200" s="8" t="n"/>
      <c r="D200" s="8" t="n"/>
      <c r="E200" s="8" t="n"/>
      <c r="F200" s="9" t="n"/>
      <c r="G200" s="10" t="n"/>
      <c r="H200" s="10">
        <f>IFERROR(F200*G200,0)</f>
        <v/>
      </c>
      <c r="I200" s="8" t="n"/>
      <c r="J200" s="8" t="n"/>
      <c r="K200" s="8" t="n"/>
      <c r="L200" s="10" t="n"/>
      <c r="M200" s="10">
        <f>H200-IFERROR(L200,0)</f>
        <v/>
      </c>
      <c r="N200" s="8" t="n"/>
    </row>
    <row r="201" ht="22" customHeight="1">
      <c r="B201" s="3" t="n"/>
      <c r="C201" s="4" t="n"/>
      <c r="D201" s="4" t="n"/>
      <c r="E201" s="4" t="n"/>
      <c r="F201" s="5" t="n"/>
      <c r="G201" s="6" t="n"/>
      <c r="H201" s="6">
        <f>IFERROR(F201*G201,0)</f>
        <v/>
      </c>
      <c r="I201" s="4" t="n"/>
      <c r="J201" s="4" t="n"/>
      <c r="K201" s="4" t="n"/>
      <c r="L201" s="6" t="n"/>
      <c r="M201" s="6">
        <f>H201-IFERROR(L201,0)</f>
        <v/>
      </c>
      <c r="N201" s="4" t="n"/>
    </row>
    <row r="202" ht="22" customHeight="1">
      <c r="B202" s="7" t="n"/>
      <c r="C202" s="8" t="n"/>
      <c r="D202" s="8" t="n"/>
      <c r="E202" s="8" t="n"/>
      <c r="F202" s="9" t="n"/>
      <c r="G202" s="10" t="n"/>
      <c r="H202" s="10">
        <f>IFERROR(F202*G202,0)</f>
        <v/>
      </c>
      <c r="I202" s="8" t="n"/>
      <c r="J202" s="8" t="n"/>
      <c r="K202" s="8" t="n"/>
      <c r="L202" s="10" t="n"/>
      <c r="M202" s="10">
        <f>H202-IFERROR(L202,0)</f>
        <v/>
      </c>
      <c r="N202" s="8" t="n"/>
    </row>
    <row r="203" ht="22" customHeight="1">
      <c r="B203" s="3" t="n"/>
      <c r="C203" s="4" t="n"/>
      <c r="D203" s="4" t="n"/>
      <c r="E203" s="4" t="n"/>
      <c r="F203" s="5" t="n"/>
      <c r="G203" s="6" t="n"/>
      <c r="H203" s="6">
        <f>IFERROR(F203*G203,0)</f>
        <v/>
      </c>
      <c r="I203" s="4" t="n"/>
      <c r="J203" s="4" t="n"/>
      <c r="K203" s="4" t="n"/>
      <c r="L203" s="6" t="n"/>
      <c r="M203" s="6">
        <f>H203-IFERROR(L203,0)</f>
        <v/>
      </c>
      <c r="N203" s="4" t="n"/>
    </row>
    <row r="204" ht="22" customHeight="1">
      <c r="B204" s="7" t="n"/>
      <c r="C204" s="8" t="n"/>
      <c r="D204" s="8" t="n"/>
      <c r="E204" s="8" t="n"/>
      <c r="F204" s="9" t="n"/>
      <c r="G204" s="10" t="n"/>
      <c r="H204" s="10">
        <f>IFERROR(F204*G204,0)</f>
        <v/>
      </c>
      <c r="I204" s="8" t="n"/>
      <c r="J204" s="8" t="n"/>
      <c r="K204" s="8" t="n"/>
      <c r="L204" s="10" t="n"/>
      <c r="M204" s="10">
        <f>H204-IFERROR(L204,0)</f>
        <v/>
      </c>
      <c r="N204" s="8" t="n"/>
    </row>
    <row r="205" ht="22" customHeight="1">
      <c r="B205" s="3" t="n"/>
      <c r="C205" s="4" t="n"/>
      <c r="D205" s="4" t="n"/>
      <c r="E205" s="4" t="n"/>
      <c r="F205" s="5" t="n"/>
      <c r="G205" s="6" t="n"/>
      <c r="H205" s="6">
        <f>IFERROR(F205*G205,0)</f>
        <v/>
      </c>
      <c r="I205" s="4" t="n"/>
      <c r="J205" s="4" t="n"/>
      <c r="K205" s="4" t="n"/>
      <c r="L205" s="6" t="n"/>
      <c r="M205" s="6">
        <f>H205-IFERROR(L205,0)</f>
        <v/>
      </c>
      <c r="N205" s="4" t="n"/>
    </row>
    <row r="206" ht="22" customHeight="1">
      <c r="B206" s="7" t="n"/>
      <c r="C206" s="8" t="n"/>
      <c r="D206" s="8" t="n"/>
      <c r="E206" s="8" t="n"/>
      <c r="F206" s="9" t="n"/>
      <c r="G206" s="10" t="n"/>
      <c r="H206" s="10">
        <f>IFERROR(F206*G206,0)</f>
        <v/>
      </c>
      <c r="I206" s="8" t="n"/>
      <c r="J206" s="8" t="n"/>
      <c r="K206" s="8" t="n"/>
      <c r="L206" s="10" t="n"/>
      <c r="M206" s="10">
        <f>H206-IFERROR(L206,0)</f>
        <v/>
      </c>
      <c r="N206" s="8" t="n"/>
    </row>
    <row r="207" ht="22" customHeight="1">
      <c r="B207" s="3" t="n"/>
      <c r="C207" s="4" t="n"/>
      <c r="D207" s="4" t="n"/>
      <c r="E207" s="4" t="n"/>
      <c r="F207" s="5" t="n"/>
      <c r="G207" s="6" t="n"/>
      <c r="H207" s="6">
        <f>IFERROR(F207*G207,0)</f>
        <v/>
      </c>
      <c r="I207" s="4" t="n"/>
      <c r="J207" s="4" t="n"/>
      <c r="K207" s="4" t="n"/>
      <c r="L207" s="6" t="n"/>
      <c r="M207" s="6">
        <f>H207-IFERROR(L207,0)</f>
        <v/>
      </c>
      <c r="N207" s="4" t="n"/>
    </row>
    <row r="208" ht="22" customHeight="1">
      <c r="B208" s="7" t="n"/>
      <c r="C208" s="8" t="n"/>
      <c r="D208" s="8" t="n"/>
      <c r="E208" s="8" t="n"/>
      <c r="F208" s="9" t="n"/>
      <c r="G208" s="10" t="n"/>
      <c r="H208" s="10">
        <f>IFERROR(F208*G208,0)</f>
        <v/>
      </c>
      <c r="I208" s="8" t="n"/>
      <c r="J208" s="8" t="n"/>
      <c r="K208" s="8" t="n"/>
      <c r="L208" s="10" t="n"/>
      <c r="M208" s="10">
        <f>H208-IFERROR(L208,0)</f>
        <v/>
      </c>
      <c r="N208" s="8" t="n"/>
    </row>
    <row r="209" ht="22" customHeight="1">
      <c r="B209" s="3" t="n"/>
      <c r="C209" s="4" t="n"/>
      <c r="D209" s="4" t="n"/>
      <c r="E209" s="4" t="n"/>
      <c r="F209" s="5" t="n"/>
      <c r="G209" s="6" t="n"/>
      <c r="H209" s="6">
        <f>IFERROR(F209*G209,0)</f>
        <v/>
      </c>
      <c r="I209" s="4" t="n"/>
      <c r="J209" s="4" t="n"/>
      <c r="K209" s="4" t="n"/>
      <c r="L209" s="6" t="n"/>
      <c r="M209" s="6">
        <f>H209-IFERROR(L209,0)</f>
        <v/>
      </c>
      <c r="N209" s="4" t="n"/>
    </row>
    <row r="210" ht="22" customHeight="1">
      <c r="B210" s="7" t="n"/>
      <c r="C210" s="8" t="n"/>
      <c r="D210" s="8" t="n"/>
      <c r="E210" s="8" t="n"/>
      <c r="F210" s="9" t="n"/>
      <c r="G210" s="10" t="n"/>
      <c r="H210" s="10">
        <f>IFERROR(F210*G210,0)</f>
        <v/>
      </c>
      <c r="I210" s="8" t="n"/>
      <c r="J210" s="8" t="n"/>
      <c r="K210" s="8" t="n"/>
      <c r="L210" s="10" t="n"/>
      <c r="M210" s="10">
        <f>H210-IFERROR(L210,0)</f>
        <v/>
      </c>
      <c r="N210" s="8" t="n"/>
    </row>
    <row r="211" ht="22" customHeight="1">
      <c r="B211" s="3" t="n"/>
      <c r="C211" s="4" t="n"/>
      <c r="D211" s="4" t="n"/>
      <c r="E211" s="4" t="n"/>
      <c r="F211" s="5" t="n"/>
      <c r="G211" s="6" t="n"/>
      <c r="H211" s="6">
        <f>IFERROR(F211*G211,0)</f>
        <v/>
      </c>
      <c r="I211" s="4" t="n"/>
      <c r="J211" s="4" t="n"/>
      <c r="K211" s="4" t="n"/>
      <c r="L211" s="6" t="n"/>
      <c r="M211" s="6">
        <f>H211-IFERROR(L211,0)</f>
        <v/>
      </c>
      <c r="N211" s="4" t="n"/>
    </row>
    <row r="212" ht="22" customHeight="1">
      <c r="B212" s="7" t="n"/>
      <c r="C212" s="8" t="n"/>
      <c r="D212" s="8" t="n"/>
      <c r="E212" s="8" t="n"/>
      <c r="F212" s="9" t="n"/>
      <c r="G212" s="10" t="n"/>
      <c r="H212" s="10">
        <f>IFERROR(F212*G212,0)</f>
        <v/>
      </c>
      <c r="I212" s="8" t="n"/>
      <c r="J212" s="8" t="n"/>
      <c r="K212" s="8" t="n"/>
      <c r="L212" s="10" t="n"/>
      <c r="M212" s="10">
        <f>H212-IFERROR(L212,0)</f>
        <v/>
      </c>
      <c r="N212" s="8" t="n"/>
    </row>
    <row r="213" ht="22" customHeight="1">
      <c r="B213" s="3" t="n"/>
      <c r="C213" s="4" t="n"/>
      <c r="D213" s="4" t="n"/>
      <c r="E213" s="4" t="n"/>
      <c r="F213" s="5" t="n"/>
      <c r="G213" s="6" t="n"/>
      <c r="H213" s="6">
        <f>IFERROR(F213*G213,0)</f>
        <v/>
      </c>
      <c r="I213" s="4" t="n"/>
      <c r="J213" s="4" t="n"/>
      <c r="K213" s="4" t="n"/>
      <c r="L213" s="6" t="n"/>
      <c r="M213" s="6">
        <f>H213-IFERROR(L213,0)</f>
        <v/>
      </c>
      <c r="N213" s="4" t="n"/>
    </row>
    <row r="214" ht="22" customHeight="1">
      <c r="B214" s="7" t="n"/>
      <c r="C214" s="8" t="n"/>
      <c r="D214" s="8" t="n"/>
      <c r="E214" s="8" t="n"/>
      <c r="F214" s="9" t="n"/>
      <c r="G214" s="10" t="n"/>
      <c r="H214" s="10">
        <f>IFERROR(F214*G214,0)</f>
        <v/>
      </c>
      <c r="I214" s="8" t="n"/>
      <c r="J214" s="8" t="n"/>
      <c r="K214" s="8" t="n"/>
      <c r="L214" s="10" t="n"/>
      <c r="M214" s="10">
        <f>H214-IFERROR(L214,0)</f>
        <v/>
      </c>
      <c r="N214" s="8" t="n"/>
    </row>
    <row r="215" ht="22" customHeight="1">
      <c r="B215" s="3" t="n"/>
      <c r="C215" s="4" t="n"/>
      <c r="D215" s="4" t="n"/>
      <c r="E215" s="4" t="n"/>
      <c r="F215" s="5" t="n"/>
      <c r="G215" s="6" t="n"/>
      <c r="H215" s="6">
        <f>IFERROR(F215*G215,0)</f>
        <v/>
      </c>
      <c r="I215" s="4" t="n"/>
      <c r="J215" s="4" t="n"/>
      <c r="K215" s="4" t="n"/>
      <c r="L215" s="6" t="n"/>
      <c r="M215" s="6">
        <f>H215-IFERROR(L215,0)</f>
        <v/>
      </c>
      <c r="N215" s="4" t="n"/>
    </row>
    <row r="216" ht="22" customHeight="1">
      <c r="B216" s="7" t="n"/>
      <c r="C216" s="8" t="n"/>
      <c r="D216" s="8" t="n"/>
      <c r="E216" s="8" t="n"/>
      <c r="F216" s="9" t="n"/>
      <c r="G216" s="10" t="n"/>
      <c r="H216" s="10">
        <f>IFERROR(F216*G216,0)</f>
        <v/>
      </c>
      <c r="I216" s="8" t="n"/>
      <c r="J216" s="8" t="n"/>
      <c r="K216" s="8" t="n"/>
      <c r="L216" s="10" t="n"/>
      <c r="M216" s="10">
        <f>H216-IFERROR(L216,0)</f>
        <v/>
      </c>
      <c r="N216" s="8" t="n"/>
    </row>
    <row r="217" ht="22" customHeight="1">
      <c r="B217" s="3" t="n"/>
      <c r="C217" s="4" t="n"/>
      <c r="D217" s="4" t="n"/>
      <c r="E217" s="4" t="n"/>
      <c r="F217" s="5" t="n"/>
      <c r="G217" s="6" t="n"/>
      <c r="H217" s="6">
        <f>IFERROR(F217*G217,0)</f>
        <v/>
      </c>
      <c r="I217" s="4" t="n"/>
      <c r="J217" s="4" t="n"/>
      <c r="K217" s="4" t="n"/>
      <c r="L217" s="6" t="n"/>
      <c r="M217" s="6">
        <f>H217-IFERROR(L217,0)</f>
        <v/>
      </c>
      <c r="N217" s="4" t="n"/>
    </row>
    <row r="218" ht="22" customHeight="1">
      <c r="B218" s="7" t="n"/>
      <c r="C218" s="8" t="n"/>
      <c r="D218" s="8" t="n"/>
      <c r="E218" s="8" t="n"/>
      <c r="F218" s="9" t="n"/>
      <c r="G218" s="10" t="n"/>
      <c r="H218" s="10">
        <f>IFERROR(F218*G218,0)</f>
        <v/>
      </c>
      <c r="I218" s="8" t="n"/>
      <c r="J218" s="8" t="n"/>
      <c r="K218" s="8" t="n"/>
      <c r="L218" s="10" t="n"/>
      <c r="M218" s="10">
        <f>H218-IFERROR(L218,0)</f>
        <v/>
      </c>
      <c r="N218" s="8" t="n"/>
    </row>
    <row r="219" ht="22" customHeight="1">
      <c r="B219" s="3" t="n"/>
      <c r="C219" s="4" t="n"/>
      <c r="D219" s="4" t="n"/>
      <c r="E219" s="4" t="n"/>
      <c r="F219" s="5" t="n"/>
      <c r="G219" s="6" t="n"/>
      <c r="H219" s="6">
        <f>IFERROR(F219*G219,0)</f>
        <v/>
      </c>
      <c r="I219" s="4" t="n"/>
      <c r="J219" s="4" t="n"/>
      <c r="K219" s="4" t="n"/>
      <c r="L219" s="6" t="n"/>
      <c r="M219" s="6">
        <f>H219-IFERROR(L219,0)</f>
        <v/>
      </c>
      <c r="N219" s="4" t="n"/>
    </row>
    <row r="220" ht="22" customHeight="1">
      <c r="B220" s="7" t="n"/>
      <c r="C220" s="8" t="n"/>
      <c r="D220" s="8" t="n"/>
      <c r="E220" s="8" t="n"/>
      <c r="F220" s="9" t="n"/>
      <c r="G220" s="10" t="n"/>
      <c r="H220" s="10">
        <f>IFERROR(F220*G220,0)</f>
        <v/>
      </c>
      <c r="I220" s="8" t="n"/>
      <c r="J220" s="8" t="n"/>
      <c r="K220" s="8" t="n"/>
      <c r="L220" s="10" t="n"/>
      <c r="M220" s="10">
        <f>H220-IFERROR(L220,0)</f>
        <v/>
      </c>
      <c r="N220" s="8" t="n"/>
    </row>
    <row r="221" ht="22" customHeight="1">
      <c r="B221" s="3" t="n"/>
      <c r="C221" s="4" t="n"/>
      <c r="D221" s="4" t="n"/>
      <c r="E221" s="4" t="n"/>
      <c r="F221" s="5" t="n"/>
      <c r="G221" s="6" t="n"/>
      <c r="H221" s="6">
        <f>IFERROR(F221*G221,0)</f>
        <v/>
      </c>
      <c r="I221" s="4" t="n"/>
      <c r="J221" s="4" t="n"/>
      <c r="K221" s="4" t="n"/>
      <c r="L221" s="6" t="n"/>
      <c r="M221" s="6">
        <f>H221-IFERROR(L221,0)</f>
        <v/>
      </c>
      <c r="N221" s="4" t="n"/>
    </row>
    <row r="222" ht="22" customHeight="1">
      <c r="B222" s="7" t="n"/>
      <c r="C222" s="8" t="n"/>
      <c r="D222" s="8" t="n"/>
      <c r="E222" s="8" t="n"/>
      <c r="F222" s="9" t="n"/>
      <c r="G222" s="10" t="n"/>
      <c r="H222" s="10">
        <f>IFERROR(F222*G222,0)</f>
        <v/>
      </c>
      <c r="I222" s="8" t="n"/>
      <c r="J222" s="8" t="n"/>
      <c r="K222" s="8" t="n"/>
      <c r="L222" s="10" t="n"/>
      <c r="M222" s="10">
        <f>H222-IFERROR(L222,0)</f>
        <v/>
      </c>
      <c r="N222" s="8" t="n"/>
    </row>
    <row r="223" ht="22" customHeight="1">
      <c r="B223" s="3" t="n"/>
      <c r="C223" s="4" t="n"/>
      <c r="D223" s="4" t="n"/>
      <c r="E223" s="4" t="n"/>
      <c r="F223" s="5" t="n"/>
      <c r="G223" s="6" t="n"/>
      <c r="H223" s="6">
        <f>IFERROR(F223*G223,0)</f>
        <v/>
      </c>
      <c r="I223" s="4" t="n"/>
      <c r="J223" s="4" t="n"/>
      <c r="K223" s="4" t="n"/>
      <c r="L223" s="6" t="n"/>
      <c r="M223" s="6">
        <f>H223-IFERROR(L223,0)</f>
        <v/>
      </c>
      <c r="N223" s="4" t="n"/>
    </row>
    <row r="224" ht="22" customHeight="1">
      <c r="B224" s="7" t="n"/>
      <c r="C224" s="8" t="n"/>
      <c r="D224" s="8" t="n"/>
      <c r="E224" s="8" t="n"/>
      <c r="F224" s="9" t="n"/>
      <c r="G224" s="10" t="n"/>
      <c r="H224" s="10">
        <f>IFERROR(F224*G224,0)</f>
        <v/>
      </c>
      <c r="I224" s="8" t="n"/>
      <c r="J224" s="8" t="n"/>
      <c r="K224" s="8" t="n"/>
      <c r="L224" s="10" t="n"/>
      <c r="M224" s="10">
        <f>H224-IFERROR(L224,0)</f>
        <v/>
      </c>
      <c r="N224" s="8" t="n"/>
    </row>
    <row r="225" ht="22" customHeight="1">
      <c r="B225" s="3" t="n"/>
      <c r="C225" s="4" t="n"/>
      <c r="D225" s="4" t="n"/>
      <c r="E225" s="4" t="n"/>
      <c r="F225" s="5" t="n"/>
      <c r="G225" s="6" t="n"/>
      <c r="H225" s="6">
        <f>IFERROR(F225*G225,0)</f>
        <v/>
      </c>
      <c r="I225" s="4" t="n"/>
      <c r="J225" s="4" t="n"/>
      <c r="K225" s="4" t="n"/>
      <c r="L225" s="6" t="n"/>
      <c r="M225" s="6">
        <f>H225-IFERROR(L225,0)</f>
        <v/>
      </c>
      <c r="N225" s="4" t="n"/>
    </row>
    <row r="226" ht="22" customHeight="1">
      <c r="B226" s="7" t="n"/>
      <c r="C226" s="8" t="n"/>
      <c r="D226" s="8" t="n"/>
      <c r="E226" s="8" t="n"/>
      <c r="F226" s="9" t="n"/>
      <c r="G226" s="10" t="n"/>
      <c r="H226" s="10">
        <f>IFERROR(F226*G226,0)</f>
        <v/>
      </c>
      <c r="I226" s="8" t="n"/>
      <c r="J226" s="8" t="n"/>
      <c r="K226" s="8" t="n"/>
      <c r="L226" s="10" t="n"/>
      <c r="M226" s="10">
        <f>H226-IFERROR(L226,0)</f>
        <v/>
      </c>
      <c r="N226" s="8" t="n"/>
    </row>
    <row r="227" ht="22" customHeight="1">
      <c r="B227" s="3" t="n"/>
      <c r="C227" s="4" t="n"/>
      <c r="D227" s="4" t="n"/>
      <c r="E227" s="4" t="n"/>
      <c r="F227" s="5" t="n"/>
      <c r="G227" s="6" t="n"/>
      <c r="H227" s="6">
        <f>IFERROR(F227*G227,0)</f>
        <v/>
      </c>
      <c r="I227" s="4" t="n"/>
      <c r="J227" s="4" t="n"/>
      <c r="K227" s="4" t="n"/>
      <c r="L227" s="6" t="n"/>
      <c r="M227" s="6">
        <f>H227-IFERROR(L227,0)</f>
        <v/>
      </c>
      <c r="N227" s="4" t="n"/>
    </row>
    <row r="228" ht="22" customHeight="1">
      <c r="B228" s="7" t="n"/>
      <c r="C228" s="8" t="n"/>
      <c r="D228" s="8" t="n"/>
      <c r="E228" s="8" t="n"/>
      <c r="F228" s="9" t="n"/>
      <c r="G228" s="10" t="n"/>
      <c r="H228" s="10">
        <f>IFERROR(F228*G228,0)</f>
        <v/>
      </c>
      <c r="I228" s="8" t="n"/>
      <c r="J228" s="8" t="n"/>
      <c r="K228" s="8" t="n"/>
      <c r="L228" s="10" t="n"/>
      <c r="M228" s="10">
        <f>H228-IFERROR(L228,0)</f>
        <v/>
      </c>
      <c r="N228" s="8" t="n"/>
    </row>
    <row r="229" ht="22" customHeight="1">
      <c r="B229" s="3" t="n"/>
      <c r="C229" s="4" t="n"/>
      <c r="D229" s="4" t="n"/>
      <c r="E229" s="4" t="n"/>
      <c r="F229" s="5" t="n"/>
      <c r="G229" s="6" t="n"/>
      <c r="H229" s="6">
        <f>IFERROR(F229*G229,0)</f>
        <v/>
      </c>
      <c r="I229" s="4" t="n"/>
      <c r="J229" s="4" t="n"/>
      <c r="K229" s="4" t="n"/>
      <c r="L229" s="6" t="n"/>
      <c r="M229" s="6">
        <f>H229-IFERROR(L229,0)</f>
        <v/>
      </c>
      <c r="N229" s="4" t="n"/>
    </row>
    <row r="230" ht="22" customHeight="1">
      <c r="B230" s="7" t="n"/>
      <c r="C230" s="8" t="n"/>
      <c r="D230" s="8" t="n"/>
      <c r="E230" s="8" t="n"/>
      <c r="F230" s="9" t="n"/>
      <c r="G230" s="10" t="n"/>
      <c r="H230" s="10">
        <f>IFERROR(F230*G230,0)</f>
        <v/>
      </c>
      <c r="I230" s="8" t="n"/>
      <c r="J230" s="8" t="n"/>
      <c r="K230" s="8" t="n"/>
      <c r="L230" s="10" t="n"/>
      <c r="M230" s="10">
        <f>H230-IFERROR(L230,0)</f>
        <v/>
      </c>
      <c r="N230" s="8" t="n"/>
    </row>
    <row r="231" ht="22" customHeight="1">
      <c r="B231" s="3" t="n"/>
      <c r="C231" s="4" t="n"/>
      <c r="D231" s="4" t="n"/>
      <c r="E231" s="4" t="n"/>
      <c r="F231" s="5" t="n"/>
      <c r="G231" s="6" t="n"/>
      <c r="H231" s="6">
        <f>IFERROR(F231*G231,0)</f>
        <v/>
      </c>
      <c r="I231" s="4" t="n"/>
      <c r="J231" s="4" t="n"/>
      <c r="K231" s="4" t="n"/>
      <c r="L231" s="6" t="n"/>
      <c r="M231" s="6">
        <f>H231-IFERROR(L231,0)</f>
        <v/>
      </c>
      <c r="N231" s="4" t="n"/>
    </row>
    <row r="232" ht="22" customHeight="1">
      <c r="B232" s="7" t="n"/>
      <c r="C232" s="8" t="n"/>
      <c r="D232" s="8" t="n"/>
      <c r="E232" s="8" t="n"/>
      <c r="F232" s="9" t="n"/>
      <c r="G232" s="10" t="n"/>
      <c r="H232" s="10">
        <f>IFERROR(F232*G232,0)</f>
        <v/>
      </c>
      <c r="I232" s="8" t="n"/>
      <c r="J232" s="8" t="n"/>
      <c r="K232" s="8" t="n"/>
      <c r="L232" s="10" t="n"/>
      <c r="M232" s="10">
        <f>H232-IFERROR(L232,0)</f>
        <v/>
      </c>
      <c r="N232" s="8" t="n"/>
    </row>
    <row r="233" ht="22" customHeight="1">
      <c r="B233" s="3" t="n"/>
      <c r="C233" s="4" t="n"/>
      <c r="D233" s="4" t="n"/>
      <c r="E233" s="4" t="n"/>
      <c r="F233" s="5" t="n"/>
      <c r="G233" s="6" t="n"/>
      <c r="H233" s="6">
        <f>IFERROR(F233*G233,0)</f>
        <v/>
      </c>
      <c r="I233" s="4" t="n"/>
      <c r="J233" s="4" t="n"/>
      <c r="K233" s="4" t="n"/>
      <c r="L233" s="6" t="n"/>
      <c r="M233" s="6">
        <f>H233-IFERROR(L233,0)</f>
        <v/>
      </c>
      <c r="N233" s="4" t="n"/>
    </row>
    <row r="234" ht="22" customHeight="1">
      <c r="B234" s="7" t="n"/>
      <c r="C234" s="8" t="n"/>
      <c r="D234" s="8" t="n"/>
      <c r="E234" s="8" t="n"/>
      <c r="F234" s="9" t="n"/>
      <c r="G234" s="10" t="n"/>
      <c r="H234" s="10">
        <f>IFERROR(F234*G234,0)</f>
        <v/>
      </c>
      <c r="I234" s="8" t="n"/>
      <c r="J234" s="8" t="n"/>
      <c r="K234" s="8" t="n"/>
      <c r="L234" s="10" t="n"/>
      <c r="M234" s="10">
        <f>H234-IFERROR(L234,0)</f>
        <v/>
      </c>
      <c r="N234" s="8" t="n"/>
    </row>
    <row r="235" ht="22" customHeight="1">
      <c r="B235" s="3" t="n"/>
      <c r="C235" s="4" t="n"/>
      <c r="D235" s="4" t="n"/>
      <c r="E235" s="4" t="n"/>
      <c r="F235" s="5" t="n"/>
      <c r="G235" s="6" t="n"/>
      <c r="H235" s="6">
        <f>IFERROR(F235*G235,0)</f>
        <v/>
      </c>
      <c r="I235" s="4" t="n"/>
      <c r="J235" s="4" t="n"/>
      <c r="K235" s="4" t="n"/>
      <c r="L235" s="6" t="n"/>
      <c r="M235" s="6">
        <f>H235-IFERROR(L235,0)</f>
        <v/>
      </c>
      <c r="N235" s="4" t="n"/>
    </row>
    <row r="236" ht="22" customHeight="1">
      <c r="B236" s="7" t="n"/>
      <c r="C236" s="8" t="n"/>
      <c r="D236" s="8" t="n"/>
      <c r="E236" s="8" t="n"/>
      <c r="F236" s="9" t="n"/>
      <c r="G236" s="10" t="n"/>
      <c r="H236" s="10">
        <f>IFERROR(F236*G236,0)</f>
        <v/>
      </c>
      <c r="I236" s="8" t="n"/>
      <c r="J236" s="8" t="n"/>
      <c r="K236" s="8" t="n"/>
      <c r="L236" s="10" t="n"/>
      <c r="M236" s="10">
        <f>H236-IFERROR(L236,0)</f>
        <v/>
      </c>
      <c r="N236" s="8" t="n"/>
    </row>
    <row r="237" ht="22" customHeight="1">
      <c r="B237" s="3" t="n"/>
      <c r="C237" s="4" t="n"/>
      <c r="D237" s="4" t="n"/>
      <c r="E237" s="4" t="n"/>
      <c r="F237" s="5" t="n"/>
      <c r="G237" s="6" t="n"/>
      <c r="H237" s="6">
        <f>IFERROR(F237*G237,0)</f>
        <v/>
      </c>
      <c r="I237" s="4" t="n"/>
      <c r="J237" s="4" t="n"/>
      <c r="K237" s="4" t="n"/>
      <c r="L237" s="6" t="n"/>
      <c r="M237" s="6">
        <f>H237-IFERROR(L237,0)</f>
        <v/>
      </c>
      <c r="N237" s="4" t="n"/>
    </row>
    <row r="238" ht="22" customHeight="1">
      <c r="B238" s="7" t="n"/>
      <c r="C238" s="8" t="n"/>
      <c r="D238" s="8" t="n"/>
      <c r="E238" s="8" t="n"/>
      <c r="F238" s="9" t="n"/>
      <c r="G238" s="10" t="n"/>
      <c r="H238" s="10">
        <f>IFERROR(F238*G238,0)</f>
        <v/>
      </c>
      <c r="I238" s="8" t="n"/>
      <c r="J238" s="8" t="n"/>
      <c r="K238" s="8" t="n"/>
      <c r="L238" s="10" t="n"/>
      <c r="M238" s="10">
        <f>H238-IFERROR(L238,0)</f>
        <v/>
      </c>
      <c r="N238" s="8" t="n"/>
    </row>
    <row r="239" ht="22" customHeight="1">
      <c r="B239" s="3" t="n"/>
      <c r="C239" s="4" t="n"/>
      <c r="D239" s="4" t="n"/>
      <c r="E239" s="4" t="n"/>
      <c r="F239" s="5" t="n"/>
      <c r="G239" s="6" t="n"/>
      <c r="H239" s="6">
        <f>IFERROR(F239*G239,0)</f>
        <v/>
      </c>
      <c r="I239" s="4" t="n"/>
      <c r="J239" s="4" t="n"/>
      <c r="K239" s="4" t="n"/>
      <c r="L239" s="6" t="n"/>
      <c r="M239" s="6">
        <f>H239-IFERROR(L239,0)</f>
        <v/>
      </c>
      <c r="N239" s="4" t="n"/>
    </row>
    <row r="240" ht="22" customHeight="1">
      <c r="B240" s="7" t="n"/>
      <c r="C240" s="8" t="n"/>
      <c r="D240" s="8" t="n"/>
      <c r="E240" s="8" t="n"/>
      <c r="F240" s="9" t="n"/>
      <c r="G240" s="10" t="n"/>
      <c r="H240" s="10">
        <f>IFERROR(F240*G240,0)</f>
        <v/>
      </c>
      <c r="I240" s="8" t="n"/>
      <c r="J240" s="8" t="n"/>
      <c r="K240" s="8" t="n"/>
      <c r="L240" s="10" t="n"/>
      <c r="M240" s="10">
        <f>H240-IFERROR(L240,0)</f>
        <v/>
      </c>
      <c r="N240" s="8" t="n"/>
    </row>
    <row r="241" ht="22" customHeight="1">
      <c r="B241" s="3" t="n"/>
      <c r="C241" s="4" t="n"/>
      <c r="D241" s="4" t="n"/>
      <c r="E241" s="4" t="n"/>
      <c r="F241" s="5" t="n"/>
      <c r="G241" s="6" t="n"/>
      <c r="H241" s="6">
        <f>IFERROR(F241*G241,0)</f>
        <v/>
      </c>
      <c r="I241" s="4" t="n"/>
      <c r="J241" s="4" t="n"/>
      <c r="K241" s="4" t="n"/>
      <c r="L241" s="6" t="n"/>
      <c r="M241" s="6">
        <f>H241-IFERROR(L241,0)</f>
        <v/>
      </c>
      <c r="N241" s="4" t="n"/>
    </row>
    <row r="242" ht="22" customHeight="1">
      <c r="B242" s="7" t="n"/>
      <c r="C242" s="8" t="n"/>
      <c r="D242" s="8" t="n"/>
      <c r="E242" s="8" t="n"/>
      <c r="F242" s="9" t="n"/>
      <c r="G242" s="10" t="n"/>
      <c r="H242" s="10">
        <f>IFERROR(F242*G242,0)</f>
        <v/>
      </c>
      <c r="I242" s="8" t="n"/>
      <c r="J242" s="8" t="n"/>
      <c r="K242" s="8" t="n"/>
      <c r="L242" s="10" t="n"/>
      <c r="M242" s="10">
        <f>H242-IFERROR(L242,0)</f>
        <v/>
      </c>
      <c r="N242" s="8" t="n"/>
    </row>
    <row r="243" ht="22" customHeight="1">
      <c r="B243" s="3" t="n"/>
      <c r="C243" s="4" t="n"/>
      <c r="D243" s="4" t="n"/>
      <c r="E243" s="4" t="n"/>
      <c r="F243" s="5" t="n"/>
      <c r="G243" s="6" t="n"/>
      <c r="H243" s="6">
        <f>IFERROR(F243*G243,0)</f>
        <v/>
      </c>
      <c r="I243" s="4" t="n"/>
      <c r="J243" s="4" t="n"/>
      <c r="K243" s="4" t="n"/>
      <c r="L243" s="6" t="n"/>
      <c r="M243" s="6">
        <f>H243-IFERROR(L243,0)</f>
        <v/>
      </c>
      <c r="N243" s="4" t="n"/>
    </row>
    <row r="244" ht="22" customHeight="1">
      <c r="B244" s="7" t="n"/>
      <c r="C244" s="8" t="n"/>
      <c r="D244" s="8" t="n"/>
      <c r="E244" s="8" t="n"/>
      <c r="F244" s="9" t="n"/>
      <c r="G244" s="10" t="n"/>
      <c r="H244" s="10">
        <f>IFERROR(F244*G244,0)</f>
        <v/>
      </c>
      <c r="I244" s="8" t="n"/>
      <c r="J244" s="8" t="n"/>
      <c r="K244" s="8" t="n"/>
      <c r="L244" s="10" t="n"/>
      <c r="M244" s="10">
        <f>H244-IFERROR(L244,0)</f>
        <v/>
      </c>
      <c r="N244" s="8" t="n"/>
    </row>
    <row r="245" ht="22" customHeight="1">
      <c r="B245" s="3" t="n"/>
      <c r="C245" s="4" t="n"/>
      <c r="D245" s="4" t="n"/>
      <c r="E245" s="4" t="n"/>
      <c r="F245" s="5" t="n"/>
      <c r="G245" s="6" t="n"/>
      <c r="H245" s="6">
        <f>IFERROR(F245*G245,0)</f>
        <v/>
      </c>
      <c r="I245" s="4" t="n"/>
      <c r="J245" s="4" t="n"/>
      <c r="K245" s="4" t="n"/>
      <c r="L245" s="6" t="n"/>
      <c r="M245" s="6">
        <f>H245-IFERROR(L245,0)</f>
        <v/>
      </c>
      <c r="N245" s="4" t="n"/>
    </row>
    <row r="246" ht="22" customHeight="1">
      <c r="B246" s="7" t="n"/>
      <c r="C246" s="8" t="n"/>
      <c r="D246" s="8" t="n"/>
      <c r="E246" s="8" t="n"/>
      <c r="F246" s="9" t="n"/>
      <c r="G246" s="10" t="n"/>
      <c r="H246" s="10">
        <f>IFERROR(F246*G246,0)</f>
        <v/>
      </c>
      <c r="I246" s="8" t="n"/>
      <c r="J246" s="8" t="n"/>
      <c r="K246" s="8" t="n"/>
      <c r="L246" s="10" t="n"/>
      <c r="M246" s="10">
        <f>H246-IFERROR(L246,0)</f>
        <v/>
      </c>
      <c r="N246" s="8" t="n"/>
    </row>
    <row r="247" ht="22" customHeight="1">
      <c r="B247" s="3" t="n"/>
      <c r="C247" s="4" t="n"/>
      <c r="D247" s="4" t="n"/>
      <c r="E247" s="4" t="n"/>
      <c r="F247" s="5" t="n"/>
      <c r="G247" s="6" t="n"/>
      <c r="H247" s="6">
        <f>IFERROR(F247*G247,0)</f>
        <v/>
      </c>
      <c r="I247" s="4" t="n"/>
      <c r="J247" s="4" t="n"/>
      <c r="K247" s="4" t="n"/>
      <c r="L247" s="6" t="n"/>
      <c r="M247" s="6">
        <f>H247-IFERROR(L247,0)</f>
        <v/>
      </c>
      <c r="N247" s="4" t="n"/>
    </row>
    <row r="248" ht="22" customHeight="1">
      <c r="B248" s="7" t="n"/>
      <c r="C248" s="8" t="n"/>
      <c r="D248" s="8" t="n"/>
      <c r="E248" s="8" t="n"/>
      <c r="F248" s="9" t="n"/>
      <c r="G248" s="10" t="n"/>
      <c r="H248" s="10">
        <f>IFERROR(F248*G248,0)</f>
        <v/>
      </c>
      <c r="I248" s="8" t="n"/>
      <c r="J248" s="8" t="n"/>
      <c r="K248" s="8" t="n"/>
      <c r="L248" s="10" t="n"/>
      <c r="M248" s="10">
        <f>H248-IFERROR(L248,0)</f>
        <v/>
      </c>
      <c r="N248" s="8" t="n"/>
    </row>
    <row r="249" ht="22" customHeight="1">
      <c r="B249" s="3" t="n"/>
      <c r="C249" s="4" t="n"/>
      <c r="D249" s="4" t="n"/>
      <c r="E249" s="4" t="n"/>
      <c r="F249" s="5" t="n"/>
      <c r="G249" s="6" t="n"/>
      <c r="H249" s="6">
        <f>IFERROR(F249*G249,0)</f>
        <v/>
      </c>
      <c r="I249" s="4" t="n"/>
      <c r="J249" s="4" t="n"/>
      <c r="K249" s="4" t="n"/>
      <c r="L249" s="6" t="n"/>
      <c r="M249" s="6">
        <f>H249-IFERROR(L249,0)</f>
        <v/>
      </c>
      <c r="N249" s="4" t="n"/>
    </row>
    <row r="250" ht="22" customHeight="1">
      <c r="B250" s="7" t="n"/>
      <c r="C250" s="8" t="n"/>
      <c r="D250" s="8" t="n"/>
      <c r="E250" s="8" t="n"/>
      <c r="F250" s="9" t="n"/>
      <c r="G250" s="10" t="n"/>
      <c r="H250" s="10">
        <f>IFERROR(F250*G250,0)</f>
        <v/>
      </c>
      <c r="I250" s="8" t="n"/>
      <c r="J250" s="8" t="n"/>
      <c r="K250" s="8" t="n"/>
      <c r="L250" s="10" t="n"/>
      <c r="M250" s="10">
        <f>H250-IFERROR(L250,0)</f>
        <v/>
      </c>
      <c r="N250" s="8" t="n"/>
    </row>
    <row r="251" ht="22" customHeight="1">
      <c r="B251" s="3" t="n"/>
      <c r="C251" s="4" t="n"/>
      <c r="D251" s="4" t="n"/>
      <c r="E251" s="4" t="n"/>
      <c r="F251" s="5" t="n"/>
      <c r="G251" s="6" t="n"/>
      <c r="H251" s="6">
        <f>IFERROR(F251*G251,0)</f>
        <v/>
      </c>
      <c r="I251" s="4" t="n"/>
      <c r="J251" s="4" t="n"/>
      <c r="K251" s="4" t="n"/>
      <c r="L251" s="6" t="n"/>
      <c r="M251" s="6">
        <f>H251-IFERROR(L251,0)</f>
        <v/>
      </c>
      <c r="N251" s="4" t="n"/>
    </row>
    <row r="252" ht="22" customHeight="1">
      <c r="B252" s="7" t="n"/>
      <c r="C252" s="8" t="n"/>
      <c r="D252" s="8" t="n"/>
      <c r="E252" s="8" t="n"/>
      <c r="F252" s="9" t="n"/>
      <c r="G252" s="10" t="n"/>
      <c r="H252" s="10">
        <f>IFERROR(F252*G252,0)</f>
        <v/>
      </c>
      <c r="I252" s="8" t="n"/>
      <c r="J252" s="8" t="n"/>
      <c r="K252" s="8" t="n"/>
      <c r="L252" s="10" t="n"/>
      <c r="M252" s="10">
        <f>H252-IFERROR(L252,0)</f>
        <v/>
      </c>
      <c r="N252" s="8" t="n"/>
    </row>
    <row r="253" ht="22" customHeight="1">
      <c r="B253" s="3" t="n"/>
      <c r="C253" s="4" t="n"/>
      <c r="D253" s="4" t="n"/>
      <c r="E253" s="4" t="n"/>
      <c r="F253" s="5" t="n"/>
      <c r="G253" s="6" t="n"/>
      <c r="H253" s="6">
        <f>IFERROR(F253*G253,0)</f>
        <v/>
      </c>
      <c r="I253" s="4" t="n"/>
      <c r="J253" s="4" t="n"/>
      <c r="K253" s="4" t="n"/>
      <c r="L253" s="6" t="n"/>
      <c r="M253" s="6">
        <f>H253-IFERROR(L253,0)</f>
        <v/>
      </c>
      <c r="N253" s="4" t="n"/>
    </row>
    <row r="254" ht="22" customHeight="1">
      <c r="B254" s="7" t="n"/>
      <c r="C254" s="8" t="n"/>
      <c r="D254" s="8" t="n"/>
      <c r="E254" s="8" t="n"/>
      <c r="F254" s="9" t="n"/>
      <c r="G254" s="10" t="n"/>
      <c r="H254" s="10">
        <f>IFERROR(F254*G254,0)</f>
        <v/>
      </c>
      <c r="I254" s="8" t="n"/>
      <c r="J254" s="8" t="n"/>
      <c r="K254" s="8" t="n"/>
      <c r="L254" s="10" t="n"/>
      <c r="M254" s="10">
        <f>H254-IFERROR(L254,0)</f>
        <v/>
      </c>
      <c r="N254" s="8" t="n"/>
    </row>
    <row r="255" ht="22" customHeight="1">
      <c r="B255" s="3" t="n"/>
      <c r="C255" s="4" t="n"/>
      <c r="D255" s="4" t="n"/>
      <c r="E255" s="4" t="n"/>
      <c r="F255" s="5" t="n"/>
      <c r="G255" s="6" t="n"/>
      <c r="H255" s="6">
        <f>IFERROR(F255*G255,0)</f>
        <v/>
      </c>
      <c r="I255" s="4" t="n"/>
      <c r="J255" s="4" t="n"/>
      <c r="K255" s="4" t="n"/>
      <c r="L255" s="6" t="n"/>
      <c r="M255" s="6">
        <f>H255-IFERROR(L255,0)</f>
        <v/>
      </c>
      <c r="N255" s="4" t="n"/>
    </row>
    <row r="256" ht="22" customHeight="1">
      <c r="B256" s="7" t="n"/>
      <c r="C256" s="8" t="n"/>
      <c r="D256" s="8" t="n"/>
      <c r="E256" s="8" t="n"/>
      <c r="F256" s="9" t="n"/>
      <c r="G256" s="10" t="n"/>
      <c r="H256" s="10">
        <f>IFERROR(F256*G256,0)</f>
        <v/>
      </c>
      <c r="I256" s="8" t="n"/>
      <c r="J256" s="8" t="n"/>
      <c r="K256" s="8" t="n"/>
      <c r="L256" s="10" t="n"/>
      <c r="M256" s="10">
        <f>H256-IFERROR(L256,0)</f>
        <v/>
      </c>
      <c r="N256" s="8" t="n"/>
    </row>
    <row r="257" ht="22" customHeight="1">
      <c r="B257" s="3" t="n"/>
      <c r="C257" s="4" t="n"/>
      <c r="D257" s="4" t="n"/>
      <c r="E257" s="4" t="n"/>
      <c r="F257" s="5" t="n"/>
      <c r="G257" s="6" t="n"/>
      <c r="H257" s="6">
        <f>IFERROR(F257*G257,0)</f>
        <v/>
      </c>
      <c r="I257" s="4" t="n"/>
      <c r="J257" s="4" t="n"/>
      <c r="K257" s="4" t="n"/>
      <c r="L257" s="6" t="n"/>
      <c r="M257" s="6">
        <f>H257-IFERROR(L257,0)</f>
        <v/>
      </c>
      <c r="N257" s="4" t="n"/>
    </row>
    <row r="258" ht="22" customHeight="1">
      <c r="B258" s="7" t="n"/>
      <c r="C258" s="8" t="n"/>
      <c r="D258" s="8" t="n"/>
      <c r="E258" s="8" t="n"/>
      <c r="F258" s="9" t="n"/>
      <c r="G258" s="10" t="n"/>
      <c r="H258" s="10">
        <f>IFERROR(F258*G258,0)</f>
        <v/>
      </c>
      <c r="I258" s="8" t="n"/>
      <c r="J258" s="8" t="n"/>
      <c r="K258" s="8" t="n"/>
      <c r="L258" s="10" t="n"/>
      <c r="M258" s="10">
        <f>H258-IFERROR(L258,0)</f>
        <v/>
      </c>
      <c r="N258" s="8" t="n"/>
    </row>
    <row r="259" ht="22" customHeight="1">
      <c r="B259" s="3" t="n"/>
      <c r="C259" s="4" t="n"/>
      <c r="D259" s="4" t="n"/>
      <c r="E259" s="4" t="n"/>
      <c r="F259" s="5" t="n"/>
      <c r="G259" s="6" t="n"/>
      <c r="H259" s="6">
        <f>IFERROR(F259*G259,0)</f>
        <v/>
      </c>
      <c r="I259" s="4" t="n"/>
      <c r="J259" s="4" t="n"/>
      <c r="K259" s="4" t="n"/>
      <c r="L259" s="6" t="n"/>
      <c r="M259" s="6">
        <f>H259-IFERROR(L259,0)</f>
        <v/>
      </c>
      <c r="N259" s="4" t="n"/>
    </row>
    <row r="260" ht="22" customHeight="1">
      <c r="B260" s="7" t="n"/>
      <c r="C260" s="8" t="n"/>
      <c r="D260" s="8" t="n"/>
      <c r="E260" s="8" t="n"/>
      <c r="F260" s="9" t="n"/>
      <c r="G260" s="10" t="n"/>
      <c r="H260" s="10">
        <f>IFERROR(F260*G260,0)</f>
        <v/>
      </c>
      <c r="I260" s="8" t="n"/>
      <c r="J260" s="8" t="n"/>
      <c r="K260" s="8" t="n"/>
      <c r="L260" s="10" t="n"/>
      <c r="M260" s="10">
        <f>H260-IFERROR(L260,0)</f>
        <v/>
      </c>
      <c r="N260" s="8" t="n"/>
    </row>
    <row r="261" ht="22" customHeight="1">
      <c r="B261" s="3" t="n"/>
      <c r="C261" s="4" t="n"/>
      <c r="D261" s="4" t="n"/>
      <c r="E261" s="4" t="n"/>
      <c r="F261" s="5" t="n"/>
      <c r="G261" s="6" t="n"/>
      <c r="H261" s="6">
        <f>IFERROR(F261*G261,0)</f>
        <v/>
      </c>
      <c r="I261" s="4" t="n"/>
      <c r="J261" s="4" t="n"/>
      <c r="K261" s="4" t="n"/>
      <c r="L261" s="6" t="n"/>
      <c r="M261" s="6">
        <f>H261-IFERROR(L261,0)</f>
        <v/>
      </c>
      <c r="N261" s="4" t="n"/>
    </row>
    <row r="262" ht="22" customHeight="1">
      <c r="B262" s="7" t="n"/>
      <c r="C262" s="8" t="n"/>
      <c r="D262" s="8" t="n"/>
      <c r="E262" s="8" t="n"/>
      <c r="F262" s="9" t="n"/>
      <c r="G262" s="10" t="n"/>
      <c r="H262" s="10">
        <f>IFERROR(F262*G262,0)</f>
        <v/>
      </c>
      <c r="I262" s="8" t="n"/>
      <c r="J262" s="8" t="n"/>
      <c r="K262" s="8" t="n"/>
      <c r="L262" s="10" t="n"/>
      <c r="M262" s="10">
        <f>H262-IFERROR(L262,0)</f>
        <v/>
      </c>
      <c r="N262" s="8" t="n"/>
    </row>
    <row r="263" ht="22" customHeight="1">
      <c r="B263" s="3" t="n"/>
      <c r="C263" s="4" t="n"/>
      <c r="D263" s="4" t="n"/>
      <c r="E263" s="4" t="n"/>
      <c r="F263" s="5" t="n"/>
      <c r="G263" s="6" t="n"/>
      <c r="H263" s="6">
        <f>IFERROR(F263*G263,0)</f>
        <v/>
      </c>
      <c r="I263" s="4" t="n"/>
      <c r="J263" s="4" t="n"/>
      <c r="K263" s="4" t="n"/>
      <c r="L263" s="6" t="n"/>
      <c r="M263" s="6">
        <f>H263-IFERROR(L263,0)</f>
        <v/>
      </c>
      <c r="N263" s="4" t="n"/>
    </row>
    <row r="264" ht="22" customHeight="1">
      <c r="B264" s="7" t="n"/>
      <c r="C264" s="8" t="n"/>
      <c r="D264" s="8" t="n"/>
      <c r="E264" s="8" t="n"/>
      <c r="F264" s="9" t="n"/>
      <c r="G264" s="10" t="n"/>
      <c r="H264" s="10">
        <f>IFERROR(F264*G264,0)</f>
        <v/>
      </c>
      <c r="I264" s="8" t="n"/>
      <c r="J264" s="8" t="n"/>
      <c r="K264" s="8" t="n"/>
      <c r="L264" s="10" t="n"/>
      <c r="M264" s="10">
        <f>H264-IFERROR(L264,0)</f>
        <v/>
      </c>
      <c r="N264" s="8" t="n"/>
    </row>
    <row r="265" ht="22" customHeight="1">
      <c r="B265" s="3" t="n"/>
      <c r="C265" s="4" t="n"/>
      <c r="D265" s="4" t="n"/>
      <c r="E265" s="4" t="n"/>
      <c r="F265" s="5" t="n"/>
      <c r="G265" s="6" t="n"/>
      <c r="H265" s="6">
        <f>IFERROR(F265*G265,0)</f>
        <v/>
      </c>
      <c r="I265" s="4" t="n"/>
      <c r="J265" s="4" t="n"/>
      <c r="K265" s="4" t="n"/>
      <c r="L265" s="6" t="n"/>
      <c r="M265" s="6">
        <f>H265-IFERROR(L265,0)</f>
        <v/>
      </c>
      <c r="N265" s="4" t="n"/>
    </row>
    <row r="266" ht="22" customHeight="1">
      <c r="B266" s="7" t="n"/>
      <c r="C266" s="8" t="n"/>
      <c r="D266" s="8" t="n"/>
      <c r="E266" s="8" t="n"/>
      <c r="F266" s="9" t="n"/>
      <c r="G266" s="10" t="n"/>
      <c r="H266" s="10">
        <f>IFERROR(F266*G266,0)</f>
        <v/>
      </c>
      <c r="I266" s="8" t="n"/>
      <c r="J266" s="8" t="n"/>
      <c r="K266" s="8" t="n"/>
      <c r="L266" s="10" t="n"/>
      <c r="M266" s="10">
        <f>H266-IFERROR(L266,0)</f>
        <v/>
      </c>
      <c r="N266" s="8" t="n"/>
    </row>
    <row r="267" ht="22" customHeight="1">
      <c r="B267" s="3" t="n"/>
      <c r="C267" s="4" t="n"/>
      <c r="D267" s="4" t="n"/>
      <c r="E267" s="4" t="n"/>
      <c r="F267" s="5" t="n"/>
      <c r="G267" s="6" t="n"/>
      <c r="H267" s="6">
        <f>IFERROR(F267*G267,0)</f>
        <v/>
      </c>
      <c r="I267" s="4" t="n"/>
      <c r="J267" s="4" t="n"/>
      <c r="K267" s="4" t="n"/>
      <c r="L267" s="6" t="n"/>
      <c r="M267" s="6">
        <f>H267-IFERROR(L267,0)</f>
        <v/>
      </c>
      <c r="N267" s="4" t="n"/>
    </row>
    <row r="268" ht="22" customHeight="1">
      <c r="B268" s="7" t="n"/>
      <c r="C268" s="8" t="n"/>
      <c r="D268" s="8" t="n"/>
      <c r="E268" s="8" t="n"/>
      <c r="F268" s="9" t="n"/>
      <c r="G268" s="10" t="n"/>
      <c r="H268" s="10">
        <f>IFERROR(F268*G268,0)</f>
        <v/>
      </c>
      <c r="I268" s="8" t="n"/>
      <c r="J268" s="8" t="n"/>
      <c r="K268" s="8" t="n"/>
      <c r="L268" s="10" t="n"/>
      <c r="M268" s="10">
        <f>H268-IFERROR(L268,0)</f>
        <v/>
      </c>
      <c r="N268" s="8" t="n"/>
    </row>
    <row r="269" ht="22" customHeight="1">
      <c r="B269" s="3" t="n"/>
      <c r="C269" s="4" t="n"/>
      <c r="D269" s="4" t="n"/>
      <c r="E269" s="4" t="n"/>
      <c r="F269" s="5" t="n"/>
      <c r="G269" s="6" t="n"/>
      <c r="H269" s="6">
        <f>IFERROR(F269*G269,0)</f>
        <v/>
      </c>
      <c r="I269" s="4" t="n"/>
      <c r="J269" s="4" t="n"/>
      <c r="K269" s="4" t="n"/>
      <c r="L269" s="6" t="n"/>
      <c r="M269" s="6">
        <f>H269-IFERROR(L269,0)</f>
        <v/>
      </c>
      <c r="N269" s="4" t="n"/>
    </row>
    <row r="270" ht="22" customHeight="1">
      <c r="B270" s="7" t="n"/>
      <c r="C270" s="8" t="n"/>
      <c r="D270" s="8" t="n"/>
      <c r="E270" s="8" t="n"/>
      <c r="F270" s="9" t="n"/>
      <c r="G270" s="10" t="n"/>
      <c r="H270" s="10">
        <f>IFERROR(F270*G270,0)</f>
        <v/>
      </c>
      <c r="I270" s="8" t="n"/>
      <c r="J270" s="8" t="n"/>
      <c r="K270" s="8" t="n"/>
      <c r="L270" s="10" t="n"/>
      <c r="M270" s="10">
        <f>H270-IFERROR(L270,0)</f>
        <v/>
      </c>
      <c r="N270" s="8" t="n"/>
    </row>
    <row r="271" ht="22" customHeight="1">
      <c r="B271" s="3" t="n"/>
      <c r="C271" s="4" t="n"/>
      <c r="D271" s="4" t="n"/>
      <c r="E271" s="4" t="n"/>
      <c r="F271" s="5" t="n"/>
      <c r="G271" s="6" t="n"/>
      <c r="H271" s="6">
        <f>IFERROR(F271*G271,0)</f>
        <v/>
      </c>
      <c r="I271" s="4" t="n"/>
      <c r="J271" s="4" t="n"/>
      <c r="K271" s="4" t="n"/>
      <c r="L271" s="6" t="n"/>
      <c r="M271" s="6">
        <f>H271-IFERROR(L271,0)</f>
        <v/>
      </c>
      <c r="N271" s="4" t="n"/>
    </row>
    <row r="272" ht="22" customHeight="1">
      <c r="B272" s="7" t="n"/>
      <c r="C272" s="8" t="n"/>
      <c r="D272" s="8" t="n"/>
      <c r="E272" s="8" t="n"/>
      <c r="F272" s="9" t="n"/>
      <c r="G272" s="10" t="n"/>
      <c r="H272" s="10">
        <f>IFERROR(F272*G272,0)</f>
        <v/>
      </c>
      <c r="I272" s="8" t="n"/>
      <c r="J272" s="8" t="n"/>
      <c r="K272" s="8" t="n"/>
      <c r="L272" s="10" t="n"/>
      <c r="M272" s="10">
        <f>H272-IFERROR(L272,0)</f>
        <v/>
      </c>
      <c r="N272" s="8" t="n"/>
    </row>
    <row r="273" ht="22" customHeight="1">
      <c r="B273" s="3" t="n"/>
      <c r="C273" s="4" t="n"/>
      <c r="D273" s="4" t="n"/>
      <c r="E273" s="4" t="n"/>
      <c r="F273" s="5" t="n"/>
      <c r="G273" s="6" t="n"/>
      <c r="H273" s="6">
        <f>IFERROR(F273*G273,0)</f>
        <v/>
      </c>
      <c r="I273" s="4" t="n"/>
      <c r="J273" s="4" t="n"/>
      <c r="K273" s="4" t="n"/>
      <c r="L273" s="6" t="n"/>
      <c r="M273" s="6">
        <f>H273-IFERROR(L273,0)</f>
        <v/>
      </c>
      <c r="N273" s="4" t="n"/>
    </row>
    <row r="274" ht="22" customHeight="1">
      <c r="B274" s="7" t="n"/>
      <c r="C274" s="8" t="n"/>
      <c r="D274" s="8" t="n"/>
      <c r="E274" s="8" t="n"/>
      <c r="F274" s="9" t="n"/>
      <c r="G274" s="10" t="n"/>
      <c r="H274" s="10">
        <f>IFERROR(F274*G274,0)</f>
        <v/>
      </c>
      <c r="I274" s="8" t="n"/>
      <c r="J274" s="8" t="n"/>
      <c r="K274" s="8" t="n"/>
      <c r="L274" s="10" t="n"/>
      <c r="M274" s="10">
        <f>H274-IFERROR(L274,0)</f>
        <v/>
      </c>
      <c r="N274" s="8" t="n"/>
    </row>
    <row r="275" ht="22" customHeight="1">
      <c r="B275" s="3" t="n"/>
      <c r="C275" s="4" t="n"/>
      <c r="D275" s="4" t="n"/>
      <c r="E275" s="4" t="n"/>
      <c r="F275" s="5" t="n"/>
      <c r="G275" s="6" t="n"/>
      <c r="H275" s="6">
        <f>IFERROR(F275*G275,0)</f>
        <v/>
      </c>
      <c r="I275" s="4" t="n"/>
      <c r="J275" s="4" t="n"/>
      <c r="K275" s="4" t="n"/>
      <c r="L275" s="6" t="n"/>
      <c r="M275" s="6">
        <f>H275-IFERROR(L275,0)</f>
        <v/>
      </c>
      <c r="N275" s="4" t="n"/>
    </row>
    <row r="276" ht="22" customHeight="1">
      <c r="B276" s="7" t="n"/>
      <c r="C276" s="8" t="n"/>
      <c r="D276" s="8" t="n"/>
      <c r="E276" s="8" t="n"/>
      <c r="F276" s="9" t="n"/>
      <c r="G276" s="10" t="n"/>
      <c r="H276" s="10">
        <f>IFERROR(F276*G276,0)</f>
        <v/>
      </c>
      <c r="I276" s="8" t="n"/>
      <c r="J276" s="8" t="n"/>
      <c r="K276" s="8" t="n"/>
      <c r="L276" s="10" t="n"/>
      <c r="M276" s="10">
        <f>H276-IFERROR(L276,0)</f>
        <v/>
      </c>
      <c r="N276" s="8" t="n"/>
    </row>
    <row r="277" ht="22" customHeight="1">
      <c r="B277" s="3" t="n"/>
      <c r="C277" s="4" t="n"/>
      <c r="D277" s="4" t="n"/>
      <c r="E277" s="4" t="n"/>
      <c r="F277" s="5" t="n"/>
      <c r="G277" s="6" t="n"/>
      <c r="H277" s="6">
        <f>IFERROR(F277*G277,0)</f>
        <v/>
      </c>
      <c r="I277" s="4" t="n"/>
      <c r="J277" s="4" t="n"/>
      <c r="K277" s="4" t="n"/>
      <c r="L277" s="6" t="n"/>
      <c r="M277" s="6">
        <f>H277-IFERROR(L277,0)</f>
        <v/>
      </c>
      <c r="N277" s="4" t="n"/>
    </row>
    <row r="278" ht="22" customHeight="1">
      <c r="B278" s="7" t="n"/>
      <c r="C278" s="8" t="n"/>
      <c r="D278" s="8" t="n"/>
      <c r="E278" s="8" t="n"/>
      <c r="F278" s="9" t="n"/>
      <c r="G278" s="10" t="n"/>
      <c r="H278" s="10">
        <f>IFERROR(F278*G278,0)</f>
        <v/>
      </c>
      <c r="I278" s="8" t="n"/>
      <c r="J278" s="8" t="n"/>
      <c r="K278" s="8" t="n"/>
      <c r="L278" s="10" t="n"/>
      <c r="M278" s="10">
        <f>H278-IFERROR(L278,0)</f>
        <v/>
      </c>
      <c r="N278" s="8" t="n"/>
    </row>
    <row r="279" ht="22" customHeight="1">
      <c r="B279" s="3" t="n"/>
      <c r="C279" s="4" t="n"/>
      <c r="D279" s="4" t="n"/>
      <c r="E279" s="4" t="n"/>
      <c r="F279" s="5" t="n"/>
      <c r="G279" s="6" t="n"/>
      <c r="H279" s="6">
        <f>IFERROR(F279*G279,0)</f>
        <v/>
      </c>
      <c r="I279" s="4" t="n"/>
      <c r="J279" s="4" t="n"/>
      <c r="K279" s="4" t="n"/>
      <c r="L279" s="6" t="n"/>
      <c r="M279" s="6">
        <f>H279-IFERROR(L279,0)</f>
        <v/>
      </c>
      <c r="N279" s="4" t="n"/>
    </row>
    <row r="280" ht="22" customHeight="1">
      <c r="B280" s="7" t="n"/>
      <c r="C280" s="8" t="n"/>
      <c r="D280" s="8" t="n"/>
      <c r="E280" s="8" t="n"/>
      <c r="F280" s="9" t="n"/>
      <c r="G280" s="10" t="n"/>
      <c r="H280" s="10">
        <f>IFERROR(F280*G280,0)</f>
        <v/>
      </c>
      <c r="I280" s="8" t="n"/>
      <c r="J280" s="8" t="n"/>
      <c r="K280" s="8" t="n"/>
      <c r="L280" s="10" t="n"/>
      <c r="M280" s="10">
        <f>H280-IFERROR(L280,0)</f>
        <v/>
      </c>
      <c r="N280" s="8" t="n"/>
    </row>
    <row r="281" ht="22" customHeight="1">
      <c r="B281" s="3" t="n"/>
      <c r="C281" s="4" t="n"/>
      <c r="D281" s="4" t="n"/>
      <c r="E281" s="4" t="n"/>
      <c r="F281" s="5" t="n"/>
      <c r="G281" s="6" t="n"/>
      <c r="H281" s="6">
        <f>IFERROR(F281*G281,0)</f>
        <v/>
      </c>
      <c r="I281" s="4" t="n"/>
      <c r="J281" s="4" t="n"/>
      <c r="K281" s="4" t="n"/>
      <c r="L281" s="6" t="n"/>
      <c r="M281" s="6">
        <f>H281-IFERROR(L281,0)</f>
        <v/>
      </c>
      <c r="N281" s="4" t="n"/>
    </row>
    <row r="282" ht="22" customHeight="1">
      <c r="B282" s="7" t="n"/>
      <c r="C282" s="8" t="n"/>
      <c r="D282" s="8" t="n"/>
      <c r="E282" s="8" t="n"/>
      <c r="F282" s="9" t="n"/>
      <c r="G282" s="10" t="n"/>
      <c r="H282" s="10">
        <f>IFERROR(F282*G282,0)</f>
        <v/>
      </c>
      <c r="I282" s="8" t="n"/>
      <c r="J282" s="8" t="n"/>
      <c r="K282" s="8" t="n"/>
      <c r="L282" s="10" t="n"/>
      <c r="M282" s="10">
        <f>H282-IFERROR(L282,0)</f>
        <v/>
      </c>
      <c r="N282" s="8" t="n"/>
    </row>
    <row r="283" ht="22" customHeight="1">
      <c r="B283" s="3" t="n"/>
      <c r="C283" s="4" t="n"/>
      <c r="D283" s="4" t="n"/>
      <c r="E283" s="4" t="n"/>
      <c r="F283" s="5" t="n"/>
      <c r="G283" s="6" t="n"/>
      <c r="H283" s="6">
        <f>IFERROR(F283*G283,0)</f>
        <v/>
      </c>
      <c r="I283" s="4" t="n"/>
      <c r="J283" s="4" t="n"/>
      <c r="K283" s="4" t="n"/>
      <c r="L283" s="6" t="n"/>
      <c r="M283" s="6">
        <f>H283-IFERROR(L283,0)</f>
        <v/>
      </c>
      <c r="N283" s="4" t="n"/>
    </row>
    <row r="284" ht="22" customHeight="1">
      <c r="B284" s="7" t="n"/>
      <c r="C284" s="8" t="n"/>
      <c r="D284" s="8" t="n"/>
      <c r="E284" s="8" t="n"/>
      <c r="F284" s="9" t="n"/>
      <c r="G284" s="10" t="n"/>
      <c r="H284" s="10">
        <f>IFERROR(F284*G284,0)</f>
        <v/>
      </c>
      <c r="I284" s="8" t="n"/>
      <c r="J284" s="8" t="n"/>
      <c r="K284" s="8" t="n"/>
      <c r="L284" s="10" t="n"/>
      <c r="M284" s="10">
        <f>H284-IFERROR(L284,0)</f>
        <v/>
      </c>
      <c r="N284" s="8" t="n"/>
    </row>
    <row r="285" ht="22" customHeight="1">
      <c r="B285" s="3" t="n"/>
      <c r="C285" s="4" t="n"/>
      <c r="D285" s="4" t="n"/>
      <c r="E285" s="4" t="n"/>
      <c r="F285" s="5" t="n"/>
      <c r="G285" s="6" t="n"/>
      <c r="H285" s="6">
        <f>IFERROR(F285*G285,0)</f>
        <v/>
      </c>
      <c r="I285" s="4" t="n"/>
      <c r="J285" s="4" t="n"/>
      <c r="K285" s="4" t="n"/>
      <c r="L285" s="6" t="n"/>
      <c r="M285" s="6">
        <f>H285-IFERROR(L285,0)</f>
        <v/>
      </c>
      <c r="N285" s="4" t="n"/>
    </row>
    <row r="286" ht="22" customHeight="1">
      <c r="B286" s="7" t="n"/>
      <c r="C286" s="8" t="n"/>
      <c r="D286" s="8" t="n"/>
      <c r="E286" s="8" t="n"/>
      <c r="F286" s="9" t="n"/>
      <c r="G286" s="10" t="n"/>
      <c r="H286" s="10">
        <f>IFERROR(F286*G286,0)</f>
        <v/>
      </c>
      <c r="I286" s="8" t="n"/>
      <c r="J286" s="8" t="n"/>
      <c r="K286" s="8" t="n"/>
      <c r="L286" s="10" t="n"/>
      <c r="M286" s="10">
        <f>H286-IFERROR(L286,0)</f>
        <v/>
      </c>
      <c r="N286" s="8" t="n"/>
    </row>
    <row r="287" ht="22" customHeight="1">
      <c r="B287" s="3" t="n"/>
      <c r="C287" s="4" t="n"/>
      <c r="D287" s="4" t="n"/>
      <c r="E287" s="4" t="n"/>
      <c r="F287" s="5" t="n"/>
      <c r="G287" s="6" t="n"/>
      <c r="H287" s="6">
        <f>IFERROR(F287*G287,0)</f>
        <v/>
      </c>
      <c r="I287" s="4" t="n"/>
      <c r="J287" s="4" t="n"/>
      <c r="K287" s="4" t="n"/>
      <c r="L287" s="6" t="n"/>
      <c r="M287" s="6">
        <f>H287-IFERROR(L287,0)</f>
        <v/>
      </c>
      <c r="N287" s="4" t="n"/>
    </row>
    <row r="288" ht="22" customHeight="1">
      <c r="B288" s="7" t="n"/>
      <c r="C288" s="8" t="n"/>
      <c r="D288" s="8" t="n"/>
      <c r="E288" s="8" t="n"/>
      <c r="F288" s="9" t="n"/>
      <c r="G288" s="10" t="n"/>
      <c r="H288" s="10">
        <f>IFERROR(F288*G288,0)</f>
        <v/>
      </c>
      <c r="I288" s="8" t="n"/>
      <c r="J288" s="8" t="n"/>
      <c r="K288" s="8" t="n"/>
      <c r="L288" s="10" t="n"/>
      <c r="M288" s="10">
        <f>H288-IFERROR(L288,0)</f>
        <v/>
      </c>
      <c r="N288" s="8" t="n"/>
    </row>
    <row r="289" ht="22" customHeight="1">
      <c r="B289" s="3" t="n"/>
      <c r="C289" s="4" t="n"/>
      <c r="D289" s="4" t="n"/>
      <c r="E289" s="4" t="n"/>
      <c r="F289" s="5" t="n"/>
      <c r="G289" s="6" t="n"/>
      <c r="H289" s="6">
        <f>IFERROR(F289*G289,0)</f>
        <v/>
      </c>
      <c r="I289" s="4" t="n"/>
      <c r="J289" s="4" t="n"/>
      <c r="K289" s="4" t="n"/>
      <c r="L289" s="6" t="n"/>
      <c r="M289" s="6">
        <f>H289-IFERROR(L289,0)</f>
        <v/>
      </c>
      <c r="N289" s="4" t="n"/>
    </row>
    <row r="290" ht="22" customHeight="1">
      <c r="B290" s="7" t="n"/>
      <c r="C290" s="8" t="n"/>
      <c r="D290" s="8" t="n"/>
      <c r="E290" s="8" t="n"/>
      <c r="F290" s="9" t="n"/>
      <c r="G290" s="10" t="n"/>
      <c r="H290" s="10">
        <f>IFERROR(F290*G290,0)</f>
        <v/>
      </c>
      <c r="I290" s="8" t="n"/>
      <c r="J290" s="8" t="n"/>
      <c r="K290" s="8" t="n"/>
      <c r="L290" s="10" t="n"/>
      <c r="M290" s="10">
        <f>H290-IFERROR(L290,0)</f>
        <v/>
      </c>
      <c r="N290" s="8" t="n"/>
    </row>
    <row r="291" ht="22" customHeight="1">
      <c r="B291" s="3" t="n"/>
      <c r="C291" s="4" t="n"/>
      <c r="D291" s="4" t="n"/>
      <c r="E291" s="4" t="n"/>
      <c r="F291" s="5" t="n"/>
      <c r="G291" s="6" t="n"/>
      <c r="H291" s="6">
        <f>IFERROR(F291*G291,0)</f>
        <v/>
      </c>
      <c r="I291" s="4" t="n"/>
      <c r="J291" s="4" t="n"/>
      <c r="K291" s="4" t="n"/>
      <c r="L291" s="6" t="n"/>
      <c r="M291" s="6">
        <f>H291-IFERROR(L291,0)</f>
        <v/>
      </c>
      <c r="N291" s="4" t="n"/>
    </row>
    <row r="292" ht="22" customHeight="1">
      <c r="B292" s="7" t="n"/>
      <c r="C292" s="8" t="n"/>
      <c r="D292" s="8" t="n"/>
      <c r="E292" s="8" t="n"/>
      <c r="F292" s="9" t="n"/>
      <c r="G292" s="10" t="n"/>
      <c r="H292" s="10">
        <f>IFERROR(F292*G292,0)</f>
        <v/>
      </c>
      <c r="I292" s="8" t="n"/>
      <c r="J292" s="8" t="n"/>
      <c r="K292" s="8" t="n"/>
      <c r="L292" s="10" t="n"/>
      <c r="M292" s="10">
        <f>H292-IFERROR(L292,0)</f>
        <v/>
      </c>
      <c r="N292" s="8" t="n"/>
    </row>
    <row r="293" ht="22" customHeight="1">
      <c r="B293" s="3" t="n"/>
      <c r="C293" s="4" t="n"/>
      <c r="D293" s="4" t="n"/>
      <c r="E293" s="4" t="n"/>
      <c r="F293" s="5" t="n"/>
      <c r="G293" s="6" t="n"/>
      <c r="H293" s="6">
        <f>IFERROR(F293*G293,0)</f>
        <v/>
      </c>
      <c r="I293" s="4" t="n"/>
      <c r="J293" s="4" t="n"/>
      <c r="K293" s="4" t="n"/>
      <c r="L293" s="6" t="n"/>
      <c r="M293" s="6">
        <f>H293-IFERROR(L293,0)</f>
        <v/>
      </c>
      <c r="N293" s="4" t="n"/>
    </row>
    <row r="294" ht="22" customHeight="1">
      <c r="B294" s="7" t="n"/>
      <c r="C294" s="8" t="n"/>
      <c r="D294" s="8" t="n"/>
      <c r="E294" s="8" t="n"/>
      <c r="F294" s="9" t="n"/>
      <c r="G294" s="10" t="n"/>
      <c r="H294" s="10">
        <f>IFERROR(F294*G294,0)</f>
        <v/>
      </c>
      <c r="I294" s="8" t="n"/>
      <c r="J294" s="8" t="n"/>
      <c r="K294" s="8" t="n"/>
      <c r="L294" s="10" t="n"/>
      <c r="M294" s="10">
        <f>H294-IFERROR(L294,0)</f>
        <v/>
      </c>
      <c r="N294" s="8" t="n"/>
    </row>
    <row r="295" ht="22" customHeight="1">
      <c r="B295" s="3" t="n"/>
      <c r="C295" s="4" t="n"/>
      <c r="D295" s="4" t="n"/>
      <c r="E295" s="4" t="n"/>
      <c r="F295" s="5" t="n"/>
      <c r="G295" s="6" t="n"/>
      <c r="H295" s="6">
        <f>IFERROR(F295*G295,0)</f>
        <v/>
      </c>
      <c r="I295" s="4" t="n"/>
      <c r="J295" s="4" t="n"/>
      <c r="K295" s="4" t="n"/>
      <c r="L295" s="6" t="n"/>
      <c r="M295" s="6">
        <f>H295-IFERROR(L295,0)</f>
        <v/>
      </c>
      <c r="N295" s="4" t="n"/>
    </row>
    <row r="296" ht="22" customHeight="1">
      <c r="B296" s="7" t="n"/>
      <c r="C296" s="8" t="n"/>
      <c r="D296" s="8" t="n"/>
      <c r="E296" s="8" t="n"/>
      <c r="F296" s="9" t="n"/>
      <c r="G296" s="10" t="n"/>
      <c r="H296" s="10">
        <f>IFERROR(F296*G296,0)</f>
        <v/>
      </c>
      <c r="I296" s="8" t="n"/>
      <c r="J296" s="8" t="n"/>
      <c r="K296" s="8" t="n"/>
      <c r="L296" s="10" t="n"/>
      <c r="M296" s="10">
        <f>H296-IFERROR(L296,0)</f>
        <v/>
      </c>
      <c r="N296" s="8" t="n"/>
    </row>
    <row r="297" ht="22" customHeight="1">
      <c r="B297" s="3" t="n"/>
      <c r="C297" s="4" t="n"/>
      <c r="D297" s="4" t="n"/>
      <c r="E297" s="4" t="n"/>
      <c r="F297" s="5" t="n"/>
      <c r="G297" s="6" t="n"/>
      <c r="H297" s="6">
        <f>IFERROR(F297*G297,0)</f>
        <v/>
      </c>
      <c r="I297" s="4" t="n"/>
      <c r="J297" s="4" t="n"/>
      <c r="K297" s="4" t="n"/>
      <c r="L297" s="6" t="n"/>
      <c r="M297" s="6">
        <f>H297-IFERROR(L297,0)</f>
        <v/>
      </c>
      <c r="N297" s="4" t="n"/>
    </row>
    <row r="298" ht="22" customHeight="1">
      <c r="B298" s="7" t="n"/>
      <c r="C298" s="8" t="n"/>
      <c r="D298" s="8" t="n"/>
      <c r="E298" s="8" t="n"/>
      <c r="F298" s="9" t="n"/>
      <c r="G298" s="10" t="n"/>
      <c r="H298" s="10">
        <f>IFERROR(F298*G298,0)</f>
        <v/>
      </c>
      <c r="I298" s="8" t="n"/>
      <c r="J298" s="8" t="n"/>
      <c r="K298" s="8" t="n"/>
      <c r="L298" s="10" t="n"/>
      <c r="M298" s="10">
        <f>H298-IFERROR(L298,0)</f>
        <v/>
      </c>
      <c r="N298" s="8" t="n"/>
    </row>
    <row r="299" ht="22" customHeight="1">
      <c r="B299" s="3" t="n"/>
      <c r="C299" s="4" t="n"/>
      <c r="D299" s="4" t="n"/>
      <c r="E299" s="4" t="n"/>
      <c r="F299" s="5" t="n"/>
      <c r="G299" s="6" t="n"/>
      <c r="H299" s="6">
        <f>IFERROR(F299*G299,0)</f>
        <v/>
      </c>
      <c r="I299" s="4" t="n"/>
      <c r="J299" s="4" t="n"/>
      <c r="K299" s="4" t="n"/>
      <c r="L299" s="6" t="n"/>
      <c r="M299" s="6">
        <f>H299-IFERROR(L299,0)</f>
        <v/>
      </c>
      <c r="N299" s="4" t="n"/>
    </row>
    <row r="300" ht="22" customHeight="1">
      <c r="B300" s="7" t="n"/>
      <c r="C300" s="8" t="n"/>
      <c r="D300" s="8" t="n"/>
      <c r="E300" s="8" t="n"/>
      <c r="F300" s="9" t="n"/>
      <c r="G300" s="10" t="n"/>
      <c r="H300" s="10">
        <f>IFERROR(F300*G300,0)</f>
        <v/>
      </c>
      <c r="I300" s="8" t="n"/>
      <c r="J300" s="8" t="n"/>
      <c r="K300" s="8" t="n"/>
      <c r="L300" s="10" t="n"/>
      <c r="M300" s="10">
        <f>H300-IFERROR(L300,0)</f>
        <v/>
      </c>
      <c r="N300" s="8" t="n"/>
    </row>
    <row r="301" ht="22" customHeight="1">
      <c r="B301" s="3" t="n"/>
      <c r="C301" s="4" t="n"/>
      <c r="D301" s="4" t="n"/>
      <c r="E301" s="4" t="n"/>
      <c r="F301" s="5" t="n"/>
      <c r="G301" s="6" t="n"/>
      <c r="H301" s="6">
        <f>IFERROR(F301*G301,0)</f>
        <v/>
      </c>
      <c r="I301" s="4" t="n"/>
      <c r="J301" s="4" t="n"/>
      <c r="K301" s="4" t="n"/>
      <c r="L301" s="6" t="n"/>
      <c r="M301" s="6">
        <f>H301-IFERROR(L301,0)</f>
        <v/>
      </c>
      <c r="N301" s="4" t="n"/>
    </row>
    <row r="302" ht="22" customHeight="1">
      <c r="B302" s="7" t="n"/>
      <c r="C302" s="8" t="n"/>
      <c r="D302" s="8" t="n"/>
      <c r="E302" s="8" t="n"/>
      <c r="F302" s="9" t="n"/>
      <c r="G302" s="10" t="n"/>
      <c r="H302" s="10">
        <f>IFERROR(F302*G302,0)</f>
        <v/>
      </c>
      <c r="I302" s="8" t="n"/>
      <c r="J302" s="8" t="n"/>
      <c r="K302" s="8" t="n"/>
      <c r="L302" s="10" t="n"/>
      <c r="M302" s="10">
        <f>H302-IFERROR(L302,0)</f>
        <v/>
      </c>
      <c r="N302" s="8" t="n"/>
    </row>
    <row r="303" ht="22" customHeight="1">
      <c r="B303" s="3" t="n"/>
      <c r="C303" s="4" t="n"/>
      <c r="D303" s="4" t="n"/>
      <c r="E303" s="4" t="n"/>
      <c r="F303" s="5" t="n"/>
      <c r="G303" s="6" t="n"/>
      <c r="H303" s="6">
        <f>IFERROR(F303*G303,0)</f>
        <v/>
      </c>
      <c r="I303" s="4" t="n"/>
      <c r="J303" s="4" t="n"/>
      <c r="K303" s="4" t="n"/>
      <c r="L303" s="6" t="n"/>
      <c r="M303" s="6">
        <f>H303-IFERROR(L303,0)</f>
        <v/>
      </c>
      <c r="N303" s="4" t="n"/>
    </row>
    <row r="304" ht="22" customHeight="1">
      <c r="B304" s="7" t="n"/>
      <c r="C304" s="8" t="n"/>
      <c r="D304" s="8" t="n"/>
      <c r="E304" s="8" t="n"/>
      <c r="F304" s="9" t="n"/>
      <c r="G304" s="10" t="n"/>
      <c r="H304" s="10">
        <f>IFERROR(F304*G304,0)</f>
        <v/>
      </c>
      <c r="I304" s="8" t="n"/>
      <c r="J304" s="8" t="n"/>
      <c r="K304" s="8" t="n"/>
      <c r="L304" s="10" t="n"/>
      <c r="M304" s="10">
        <f>H304-IFERROR(L304,0)</f>
        <v/>
      </c>
      <c r="N304" s="8" t="n"/>
    </row>
    <row r="305" ht="22" customHeight="1">
      <c r="B305" s="3" t="n"/>
      <c r="C305" s="4" t="n"/>
      <c r="D305" s="4" t="n"/>
      <c r="E305" s="4" t="n"/>
      <c r="F305" s="5" t="n"/>
      <c r="G305" s="6" t="n"/>
      <c r="H305" s="6">
        <f>IFERROR(F305*G305,0)</f>
        <v/>
      </c>
      <c r="I305" s="4" t="n"/>
      <c r="J305" s="4" t="n"/>
      <c r="K305" s="4" t="n"/>
      <c r="L305" s="6" t="n"/>
      <c r="M305" s="6">
        <f>H305-IFERROR(L305,0)</f>
        <v/>
      </c>
      <c r="N305" s="4" t="n"/>
    </row>
    <row r="306" ht="22" customHeight="1">
      <c r="B306" s="7" t="n"/>
      <c r="C306" s="8" t="n"/>
      <c r="D306" s="8" t="n"/>
      <c r="E306" s="8" t="n"/>
      <c r="F306" s="9" t="n"/>
      <c r="G306" s="10" t="n"/>
      <c r="H306" s="10">
        <f>IFERROR(F306*G306,0)</f>
        <v/>
      </c>
      <c r="I306" s="8" t="n"/>
      <c r="J306" s="8" t="n"/>
      <c r="K306" s="8" t="n"/>
      <c r="L306" s="10" t="n"/>
      <c r="M306" s="10">
        <f>H306-IFERROR(L306,0)</f>
        <v/>
      </c>
      <c r="N306" s="8" t="n"/>
    </row>
    <row r="307" ht="22" customHeight="1">
      <c r="B307" s="3" t="n"/>
      <c r="C307" s="4" t="n"/>
      <c r="D307" s="4" t="n"/>
      <c r="E307" s="4" t="n"/>
      <c r="F307" s="5" t="n"/>
      <c r="G307" s="6" t="n"/>
      <c r="H307" s="6">
        <f>IFERROR(F307*G307,0)</f>
        <v/>
      </c>
      <c r="I307" s="4" t="n"/>
      <c r="J307" s="4" t="n"/>
      <c r="K307" s="4" t="n"/>
      <c r="L307" s="6" t="n"/>
      <c r="M307" s="6">
        <f>H307-IFERROR(L307,0)</f>
        <v/>
      </c>
      <c r="N307" s="4" t="n"/>
    </row>
    <row r="308" ht="22" customHeight="1">
      <c r="B308" s="7" t="n"/>
      <c r="C308" s="8" t="n"/>
      <c r="D308" s="8" t="n"/>
      <c r="E308" s="8" t="n"/>
      <c r="F308" s="9" t="n"/>
      <c r="G308" s="10" t="n"/>
      <c r="H308" s="10">
        <f>IFERROR(F308*G308,0)</f>
        <v/>
      </c>
      <c r="I308" s="8" t="n"/>
      <c r="J308" s="8" t="n"/>
      <c r="K308" s="8" t="n"/>
      <c r="L308" s="10" t="n"/>
      <c r="M308" s="10">
        <f>H308-IFERROR(L308,0)</f>
        <v/>
      </c>
      <c r="N308" s="8" t="n"/>
    </row>
    <row r="309" ht="22" customHeight="1">
      <c r="B309" s="3" t="n"/>
      <c r="C309" s="4" t="n"/>
      <c r="D309" s="4" t="n"/>
      <c r="E309" s="4" t="n"/>
      <c r="F309" s="5" t="n"/>
      <c r="G309" s="6" t="n"/>
      <c r="H309" s="6">
        <f>IFERROR(F309*G309,0)</f>
        <v/>
      </c>
      <c r="I309" s="4" t="n"/>
      <c r="J309" s="4" t="n"/>
      <c r="K309" s="4" t="n"/>
      <c r="L309" s="6" t="n"/>
      <c r="M309" s="6">
        <f>H309-IFERROR(L309,0)</f>
        <v/>
      </c>
      <c r="N309" s="4" t="n"/>
    </row>
    <row r="310" ht="22" customHeight="1">
      <c r="B310" s="7" t="n"/>
      <c r="C310" s="8" t="n"/>
      <c r="D310" s="8" t="n"/>
      <c r="E310" s="8" t="n"/>
      <c r="F310" s="9" t="n"/>
      <c r="G310" s="10" t="n"/>
      <c r="H310" s="10">
        <f>IFERROR(F310*G310,0)</f>
        <v/>
      </c>
      <c r="I310" s="8" t="n"/>
      <c r="J310" s="8" t="n"/>
      <c r="K310" s="8" t="n"/>
      <c r="L310" s="10" t="n"/>
      <c r="M310" s="10">
        <f>H310-IFERROR(L310,0)</f>
        <v/>
      </c>
      <c r="N310" s="8" t="n"/>
    </row>
    <row r="311" ht="22" customHeight="1">
      <c r="B311" s="3" t="n"/>
      <c r="C311" s="4" t="n"/>
      <c r="D311" s="4" t="n"/>
      <c r="E311" s="4" t="n"/>
      <c r="F311" s="5" t="n"/>
      <c r="G311" s="6" t="n"/>
      <c r="H311" s="6">
        <f>IFERROR(F311*G311,0)</f>
        <v/>
      </c>
      <c r="I311" s="4" t="n"/>
      <c r="J311" s="4" t="n"/>
      <c r="K311" s="4" t="n"/>
      <c r="L311" s="6" t="n"/>
      <c r="M311" s="6">
        <f>H311-IFERROR(L311,0)</f>
        <v/>
      </c>
      <c r="N311" s="4" t="n"/>
    </row>
    <row r="312" ht="22" customHeight="1">
      <c r="B312" s="7" t="n"/>
      <c r="C312" s="8" t="n"/>
      <c r="D312" s="8" t="n"/>
      <c r="E312" s="8" t="n"/>
      <c r="F312" s="9" t="n"/>
      <c r="G312" s="10" t="n"/>
      <c r="H312" s="10">
        <f>IFERROR(F312*G312,0)</f>
        <v/>
      </c>
      <c r="I312" s="8" t="n"/>
      <c r="J312" s="8" t="n"/>
      <c r="K312" s="8" t="n"/>
      <c r="L312" s="10" t="n"/>
      <c r="M312" s="10">
        <f>H312-IFERROR(L312,0)</f>
        <v/>
      </c>
      <c r="N312" s="8" t="n"/>
    </row>
    <row r="313" ht="22" customHeight="1">
      <c r="B313" s="3" t="n"/>
      <c r="C313" s="4" t="n"/>
      <c r="D313" s="4" t="n"/>
      <c r="E313" s="4" t="n"/>
      <c r="F313" s="5" t="n"/>
      <c r="G313" s="6" t="n"/>
      <c r="H313" s="6">
        <f>IFERROR(F313*G313,0)</f>
        <v/>
      </c>
      <c r="I313" s="4" t="n"/>
      <c r="J313" s="4" t="n"/>
      <c r="K313" s="4" t="n"/>
      <c r="L313" s="6" t="n"/>
      <c r="M313" s="6">
        <f>H313-IFERROR(L313,0)</f>
        <v/>
      </c>
      <c r="N313" s="4" t="n"/>
    </row>
    <row r="314" ht="22" customHeight="1">
      <c r="B314" s="7" t="n"/>
      <c r="C314" s="8" t="n"/>
      <c r="D314" s="8" t="n"/>
      <c r="E314" s="8" t="n"/>
      <c r="F314" s="9" t="n"/>
      <c r="G314" s="10" t="n"/>
      <c r="H314" s="10">
        <f>IFERROR(F314*G314,0)</f>
        <v/>
      </c>
      <c r="I314" s="8" t="n"/>
      <c r="J314" s="8" t="n"/>
      <c r="K314" s="8" t="n"/>
      <c r="L314" s="10" t="n"/>
      <c r="M314" s="10">
        <f>H314-IFERROR(L314,0)</f>
        <v/>
      </c>
      <c r="N314" s="8" t="n"/>
    </row>
    <row r="315" ht="22" customHeight="1">
      <c r="B315" s="3" t="n"/>
      <c r="C315" s="4" t="n"/>
      <c r="D315" s="4" t="n"/>
      <c r="E315" s="4" t="n"/>
      <c r="F315" s="5" t="n"/>
      <c r="G315" s="6" t="n"/>
      <c r="H315" s="6">
        <f>IFERROR(F315*G315,0)</f>
        <v/>
      </c>
      <c r="I315" s="4" t="n"/>
      <c r="J315" s="4" t="n"/>
      <c r="K315" s="4" t="n"/>
      <c r="L315" s="6" t="n"/>
      <c r="M315" s="6">
        <f>H315-IFERROR(L315,0)</f>
        <v/>
      </c>
      <c r="N315" s="4" t="n"/>
    </row>
    <row r="316" ht="22" customHeight="1">
      <c r="B316" s="7" t="n"/>
      <c r="C316" s="8" t="n"/>
      <c r="D316" s="8" t="n"/>
      <c r="E316" s="8" t="n"/>
      <c r="F316" s="9" t="n"/>
      <c r="G316" s="10" t="n"/>
      <c r="H316" s="10">
        <f>IFERROR(F316*G316,0)</f>
        <v/>
      </c>
      <c r="I316" s="8" t="n"/>
      <c r="J316" s="8" t="n"/>
      <c r="K316" s="8" t="n"/>
      <c r="L316" s="10" t="n"/>
      <c r="M316" s="10">
        <f>H316-IFERROR(L316,0)</f>
        <v/>
      </c>
      <c r="N316" s="8" t="n"/>
    </row>
    <row r="317" ht="22" customHeight="1">
      <c r="B317" s="3" t="n"/>
      <c r="C317" s="4" t="n"/>
      <c r="D317" s="4" t="n"/>
      <c r="E317" s="4" t="n"/>
      <c r="F317" s="5" t="n"/>
      <c r="G317" s="6" t="n"/>
      <c r="H317" s="6">
        <f>IFERROR(F317*G317,0)</f>
        <v/>
      </c>
      <c r="I317" s="4" t="n"/>
      <c r="J317" s="4" t="n"/>
      <c r="K317" s="4" t="n"/>
      <c r="L317" s="6" t="n"/>
      <c r="M317" s="6">
        <f>H317-IFERROR(L317,0)</f>
        <v/>
      </c>
      <c r="N317" s="4" t="n"/>
    </row>
    <row r="318" ht="22" customHeight="1">
      <c r="B318" s="7" t="n"/>
      <c r="C318" s="8" t="n"/>
      <c r="D318" s="8" t="n"/>
      <c r="E318" s="8" t="n"/>
      <c r="F318" s="9" t="n"/>
      <c r="G318" s="10" t="n"/>
      <c r="H318" s="10">
        <f>IFERROR(F318*G318,0)</f>
        <v/>
      </c>
      <c r="I318" s="8" t="n"/>
      <c r="J318" s="8" t="n"/>
      <c r="K318" s="8" t="n"/>
      <c r="L318" s="10" t="n"/>
      <c r="M318" s="10">
        <f>H318-IFERROR(L318,0)</f>
        <v/>
      </c>
      <c r="N318" s="8" t="n"/>
    </row>
    <row r="319" ht="22" customHeight="1">
      <c r="B319" s="3" t="n"/>
      <c r="C319" s="4" t="n"/>
      <c r="D319" s="4" t="n"/>
      <c r="E319" s="4" t="n"/>
      <c r="F319" s="5" t="n"/>
      <c r="G319" s="6" t="n"/>
      <c r="H319" s="6">
        <f>IFERROR(F319*G319,0)</f>
        <v/>
      </c>
      <c r="I319" s="4" t="n"/>
      <c r="J319" s="4" t="n"/>
      <c r="K319" s="4" t="n"/>
      <c r="L319" s="6" t="n"/>
      <c r="M319" s="6">
        <f>H319-IFERROR(L319,0)</f>
        <v/>
      </c>
      <c r="N319" s="4" t="n"/>
    </row>
    <row r="320" ht="22" customHeight="1">
      <c r="B320" s="7" t="n"/>
      <c r="C320" s="8" t="n"/>
      <c r="D320" s="8" t="n"/>
      <c r="E320" s="8" t="n"/>
      <c r="F320" s="9" t="n"/>
      <c r="G320" s="10" t="n"/>
      <c r="H320" s="10">
        <f>IFERROR(F320*G320,0)</f>
        <v/>
      </c>
      <c r="I320" s="8" t="n"/>
      <c r="J320" s="8" t="n"/>
      <c r="K320" s="8" t="n"/>
      <c r="L320" s="10" t="n"/>
      <c r="M320" s="10">
        <f>H320-IFERROR(L320,0)</f>
        <v/>
      </c>
      <c r="N320" s="8" t="n"/>
    </row>
    <row r="321" ht="22" customHeight="1">
      <c r="B321" s="3" t="n"/>
      <c r="C321" s="4" t="n"/>
      <c r="D321" s="4" t="n"/>
      <c r="E321" s="4" t="n"/>
      <c r="F321" s="5" t="n"/>
      <c r="G321" s="6" t="n"/>
      <c r="H321" s="6">
        <f>IFERROR(F321*G321,0)</f>
        <v/>
      </c>
      <c r="I321" s="4" t="n"/>
      <c r="J321" s="4" t="n"/>
      <c r="K321" s="4" t="n"/>
      <c r="L321" s="6" t="n"/>
      <c r="M321" s="6">
        <f>H321-IFERROR(L321,0)</f>
        <v/>
      </c>
      <c r="N321" s="4" t="n"/>
    </row>
    <row r="322" ht="22" customHeight="1">
      <c r="B322" s="7" t="n"/>
      <c r="C322" s="8" t="n"/>
      <c r="D322" s="8" t="n"/>
      <c r="E322" s="8" t="n"/>
      <c r="F322" s="9" t="n"/>
      <c r="G322" s="10" t="n"/>
      <c r="H322" s="10">
        <f>IFERROR(F322*G322,0)</f>
        <v/>
      </c>
      <c r="I322" s="8" t="n"/>
      <c r="J322" s="8" t="n"/>
      <c r="K322" s="8" t="n"/>
      <c r="L322" s="10" t="n"/>
      <c r="M322" s="10">
        <f>H322-IFERROR(L322,0)</f>
        <v/>
      </c>
      <c r="N322" s="8" t="n"/>
    </row>
    <row r="323" ht="22" customHeight="1">
      <c r="B323" s="3" t="n"/>
      <c r="C323" s="4" t="n"/>
      <c r="D323" s="4" t="n"/>
      <c r="E323" s="4" t="n"/>
      <c r="F323" s="5" t="n"/>
      <c r="G323" s="6" t="n"/>
      <c r="H323" s="6">
        <f>IFERROR(F323*G323,0)</f>
        <v/>
      </c>
      <c r="I323" s="4" t="n"/>
      <c r="J323" s="4" t="n"/>
      <c r="K323" s="4" t="n"/>
      <c r="L323" s="6" t="n"/>
      <c r="M323" s="6">
        <f>H323-IFERROR(L323,0)</f>
        <v/>
      </c>
      <c r="N323" s="4" t="n"/>
    </row>
    <row r="324" ht="22" customHeight="1">
      <c r="B324" s="7" t="n"/>
      <c r="C324" s="8" t="n"/>
      <c r="D324" s="8" t="n"/>
      <c r="E324" s="8" t="n"/>
      <c r="F324" s="9" t="n"/>
      <c r="G324" s="10" t="n"/>
      <c r="H324" s="10">
        <f>IFERROR(F324*G324,0)</f>
        <v/>
      </c>
      <c r="I324" s="8" t="n"/>
      <c r="J324" s="8" t="n"/>
      <c r="K324" s="8" t="n"/>
      <c r="L324" s="10" t="n"/>
      <c r="M324" s="10">
        <f>H324-IFERROR(L324,0)</f>
        <v/>
      </c>
      <c r="N324" s="8" t="n"/>
    </row>
    <row r="325" ht="22" customHeight="1">
      <c r="B325" s="3" t="n"/>
      <c r="C325" s="4" t="n"/>
      <c r="D325" s="4" t="n"/>
      <c r="E325" s="4" t="n"/>
      <c r="F325" s="5" t="n"/>
      <c r="G325" s="6" t="n"/>
      <c r="H325" s="6">
        <f>IFERROR(F325*G325,0)</f>
        <v/>
      </c>
      <c r="I325" s="4" t="n"/>
      <c r="J325" s="4" t="n"/>
      <c r="K325" s="4" t="n"/>
      <c r="L325" s="6" t="n"/>
      <c r="M325" s="6">
        <f>H325-IFERROR(L325,0)</f>
        <v/>
      </c>
      <c r="N325" s="4" t="n"/>
    </row>
    <row r="326" ht="22" customHeight="1">
      <c r="B326" s="7" t="n"/>
      <c r="C326" s="8" t="n"/>
      <c r="D326" s="8" t="n"/>
      <c r="E326" s="8" t="n"/>
      <c r="F326" s="9" t="n"/>
      <c r="G326" s="10" t="n"/>
      <c r="H326" s="10">
        <f>IFERROR(F326*G326,0)</f>
        <v/>
      </c>
      <c r="I326" s="8" t="n"/>
      <c r="J326" s="8" t="n"/>
      <c r="K326" s="8" t="n"/>
      <c r="L326" s="10" t="n"/>
      <c r="M326" s="10">
        <f>H326-IFERROR(L326,0)</f>
        <v/>
      </c>
      <c r="N326" s="8" t="n"/>
    </row>
    <row r="327" ht="22" customHeight="1">
      <c r="B327" s="3" t="n"/>
      <c r="C327" s="4" t="n"/>
      <c r="D327" s="4" t="n"/>
      <c r="E327" s="4" t="n"/>
      <c r="F327" s="5" t="n"/>
      <c r="G327" s="6" t="n"/>
      <c r="H327" s="6">
        <f>IFERROR(F327*G327,0)</f>
        <v/>
      </c>
      <c r="I327" s="4" t="n"/>
      <c r="J327" s="4" t="n"/>
      <c r="K327" s="4" t="n"/>
      <c r="L327" s="6" t="n"/>
      <c r="M327" s="6">
        <f>H327-IFERROR(L327,0)</f>
        <v/>
      </c>
      <c r="N327" s="4" t="n"/>
    </row>
    <row r="328" ht="22" customHeight="1">
      <c r="B328" s="7" t="n"/>
      <c r="C328" s="8" t="n"/>
      <c r="D328" s="8" t="n"/>
      <c r="E328" s="8" t="n"/>
      <c r="F328" s="9" t="n"/>
      <c r="G328" s="10" t="n"/>
      <c r="H328" s="10">
        <f>IFERROR(F328*G328,0)</f>
        <v/>
      </c>
      <c r="I328" s="8" t="n"/>
      <c r="J328" s="8" t="n"/>
      <c r="K328" s="8" t="n"/>
      <c r="L328" s="10" t="n"/>
      <c r="M328" s="10">
        <f>H328-IFERROR(L328,0)</f>
        <v/>
      </c>
      <c r="N328" s="8" t="n"/>
    </row>
    <row r="329" ht="22" customHeight="1">
      <c r="B329" s="3" t="n"/>
      <c r="C329" s="4" t="n"/>
      <c r="D329" s="4" t="n"/>
      <c r="E329" s="4" t="n"/>
      <c r="F329" s="5" t="n"/>
      <c r="G329" s="6" t="n"/>
      <c r="H329" s="6">
        <f>IFERROR(F329*G329,0)</f>
        <v/>
      </c>
      <c r="I329" s="4" t="n"/>
      <c r="J329" s="4" t="n"/>
      <c r="K329" s="4" t="n"/>
      <c r="L329" s="6" t="n"/>
      <c r="M329" s="6">
        <f>H329-IFERROR(L329,0)</f>
        <v/>
      </c>
      <c r="N329" s="4" t="n"/>
    </row>
    <row r="330" ht="22" customHeight="1">
      <c r="B330" s="7" t="n"/>
      <c r="C330" s="8" t="n"/>
      <c r="D330" s="8" t="n"/>
      <c r="E330" s="8" t="n"/>
      <c r="F330" s="9" t="n"/>
      <c r="G330" s="10" t="n"/>
      <c r="H330" s="10">
        <f>IFERROR(F330*G330,0)</f>
        <v/>
      </c>
      <c r="I330" s="8" t="n"/>
      <c r="J330" s="8" t="n"/>
      <c r="K330" s="8" t="n"/>
      <c r="L330" s="10" t="n"/>
      <c r="M330" s="10">
        <f>H330-IFERROR(L330,0)</f>
        <v/>
      </c>
      <c r="N330" s="8" t="n"/>
    </row>
    <row r="331" ht="22" customHeight="1">
      <c r="B331" s="3" t="n"/>
      <c r="C331" s="4" t="n"/>
      <c r="D331" s="4" t="n"/>
      <c r="E331" s="4" t="n"/>
      <c r="F331" s="5" t="n"/>
      <c r="G331" s="6" t="n"/>
      <c r="H331" s="6">
        <f>IFERROR(F331*G331,0)</f>
        <v/>
      </c>
      <c r="I331" s="4" t="n"/>
      <c r="J331" s="4" t="n"/>
      <c r="K331" s="4" t="n"/>
      <c r="L331" s="6" t="n"/>
      <c r="M331" s="6">
        <f>H331-IFERROR(L331,0)</f>
        <v/>
      </c>
      <c r="N331" s="4" t="n"/>
    </row>
    <row r="332" ht="22" customHeight="1">
      <c r="B332" s="7" t="n"/>
      <c r="C332" s="8" t="n"/>
      <c r="D332" s="8" t="n"/>
      <c r="E332" s="8" t="n"/>
      <c r="F332" s="9" t="n"/>
      <c r="G332" s="10" t="n"/>
      <c r="H332" s="10">
        <f>IFERROR(F332*G332,0)</f>
        <v/>
      </c>
      <c r="I332" s="8" t="n"/>
      <c r="J332" s="8" t="n"/>
      <c r="K332" s="8" t="n"/>
      <c r="L332" s="10" t="n"/>
      <c r="M332" s="10">
        <f>H332-IFERROR(L332,0)</f>
        <v/>
      </c>
      <c r="N332" s="8" t="n"/>
    </row>
    <row r="333" ht="22" customHeight="1">
      <c r="B333" s="3" t="n"/>
      <c r="C333" s="4" t="n"/>
      <c r="D333" s="4" t="n"/>
      <c r="E333" s="4" t="n"/>
      <c r="F333" s="5" t="n"/>
      <c r="G333" s="6" t="n"/>
      <c r="H333" s="6">
        <f>IFERROR(F333*G333,0)</f>
        <v/>
      </c>
      <c r="I333" s="4" t="n"/>
      <c r="J333" s="4" t="n"/>
      <c r="K333" s="4" t="n"/>
      <c r="L333" s="6" t="n"/>
      <c r="M333" s="6">
        <f>H333-IFERROR(L333,0)</f>
        <v/>
      </c>
      <c r="N333" s="4" t="n"/>
    </row>
    <row r="334" ht="22" customHeight="1">
      <c r="B334" s="7" t="n"/>
      <c r="C334" s="8" t="n"/>
      <c r="D334" s="8" t="n"/>
      <c r="E334" s="8" t="n"/>
      <c r="F334" s="9" t="n"/>
      <c r="G334" s="10" t="n"/>
      <c r="H334" s="10">
        <f>IFERROR(F334*G334,0)</f>
        <v/>
      </c>
      <c r="I334" s="8" t="n"/>
      <c r="J334" s="8" t="n"/>
      <c r="K334" s="8" t="n"/>
      <c r="L334" s="10" t="n"/>
      <c r="M334" s="10">
        <f>H334-IFERROR(L334,0)</f>
        <v/>
      </c>
      <c r="N334" s="8" t="n"/>
    </row>
    <row r="335" ht="22" customHeight="1">
      <c r="B335" s="3" t="n"/>
      <c r="C335" s="4" t="n"/>
      <c r="D335" s="4" t="n"/>
      <c r="E335" s="4" t="n"/>
      <c r="F335" s="5" t="n"/>
      <c r="G335" s="6" t="n"/>
      <c r="H335" s="6">
        <f>IFERROR(F335*G335,0)</f>
        <v/>
      </c>
      <c r="I335" s="4" t="n"/>
      <c r="J335" s="4" t="n"/>
      <c r="K335" s="4" t="n"/>
      <c r="L335" s="6" t="n"/>
      <c r="M335" s="6">
        <f>H335-IFERROR(L335,0)</f>
        <v/>
      </c>
      <c r="N335" s="4" t="n"/>
    </row>
    <row r="336" ht="22" customHeight="1">
      <c r="B336" s="7" t="n"/>
      <c r="C336" s="8" t="n"/>
      <c r="D336" s="8" t="n"/>
      <c r="E336" s="8" t="n"/>
      <c r="F336" s="9" t="n"/>
      <c r="G336" s="10" t="n"/>
      <c r="H336" s="10">
        <f>IFERROR(F336*G336,0)</f>
        <v/>
      </c>
      <c r="I336" s="8" t="n"/>
      <c r="J336" s="8" t="n"/>
      <c r="K336" s="8" t="n"/>
      <c r="L336" s="10" t="n"/>
      <c r="M336" s="10">
        <f>H336-IFERROR(L336,0)</f>
        <v/>
      </c>
      <c r="N336" s="8" t="n"/>
    </row>
    <row r="337" ht="22" customHeight="1">
      <c r="B337" s="3" t="n"/>
      <c r="C337" s="4" t="n"/>
      <c r="D337" s="4" t="n"/>
      <c r="E337" s="4" t="n"/>
      <c r="F337" s="5" t="n"/>
      <c r="G337" s="6" t="n"/>
      <c r="H337" s="6">
        <f>IFERROR(F337*G337,0)</f>
        <v/>
      </c>
      <c r="I337" s="4" t="n"/>
      <c r="J337" s="4" t="n"/>
      <c r="K337" s="4" t="n"/>
      <c r="L337" s="6" t="n"/>
      <c r="M337" s="6">
        <f>H337-IFERROR(L337,0)</f>
        <v/>
      </c>
      <c r="N337" s="4" t="n"/>
    </row>
    <row r="338" ht="22" customHeight="1">
      <c r="B338" s="7" t="n"/>
      <c r="C338" s="8" t="n"/>
      <c r="D338" s="8" t="n"/>
      <c r="E338" s="8" t="n"/>
      <c r="F338" s="9" t="n"/>
      <c r="G338" s="10" t="n"/>
      <c r="H338" s="10">
        <f>IFERROR(F338*G338,0)</f>
        <v/>
      </c>
      <c r="I338" s="8" t="n"/>
      <c r="J338" s="8" t="n"/>
      <c r="K338" s="8" t="n"/>
      <c r="L338" s="10" t="n"/>
      <c r="M338" s="10">
        <f>H338-IFERROR(L338,0)</f>
        <v/>
      </c>
      <c r="N338" s="8" t="n"/>
    </row>
    <row r="339" ht="22" customHeight="1">
      <c r="B339" s="3" t="n"/>
      <c r="C339" s="4" t="n"/>
      <c r="D339" s="4" t="n"/>
      <c r="E339" s="4" t="n"/>
      <c r="F339" s="5" t="n"/>
      <c r="G339" s="6" t="n"/>
      <c r="H339" s="6">
        <f>IFERROR(F339*G339,0)</f>
        <v/>
      </c>
      <c r="I339" s="4" t="n"/>
      <c r="J339" s="4" t="n"/>
      <c r="K339" s="4" t="n"/>
      <c r="L339" s="6" t="n"/>
      <c r="M339" s="6">
        <f>H339-IFERROR(L339,0)</f>
        <v/>
      </c>
      <c r="N339" s="4" t="n"/>
    </row>
    <row r="340" ht="22" customHeight="1">
      <c r="B340" s="7" t="n"/>
      <c r="C340" s="8" t="n"/>
      <c r="D340" s="8" t="n"/>
      <c r="E340" s="8" t="n"/>
      <c r="F340" s="9" t="n"/>
      <c r="G340" s="10" t="n"/>
      <c r="H340" s="10">
        <f>IFERROR(F340*G340,0)</f>
        <v/>
      </c>
      <c r="I340" s="8" t="n"/>
      <c r="J340" s="8" t="n"/>
      <c r="K340" s="8" t="n"/>
      <c r="L340" s="10" t="n"/>
      <c r="M340" s="10">
        <f>H340-IFERROR(L340,0)</f>
        <v/>
      </c>
      <c r="N340" s="8" t="n"/>
    </row>
    <row r="341" ht="22" customHeight="1">
      <c r="B341" s="3" t="n"/>
      <c r="C341" s="4" t="n"/>
      <c r="D341" s="4" t="n"/>
      <c r="E341" s="4" t="n"/>
      <c r="F341" s="5" t="n"/>
      <c r="G341" s="6" t="n"/>
      <c r="H341" s="6">
        <f>IFERROR(F341*G341,0)</f>
        <v/>
      </c>
      <c r="I341" s="4" t="n"/>
      <c r="J341" s="4" t="n"/>
      <c r="K341" s="4" t="n"/>
      <c r="L341" s="6" t="n"/>
      <c r="M341" s="6">
        <f>H341-IFERROR(L341,0)</f>
        <v/>
      </c>
      <c r="N341" s="4" t="n"/>
    </row>
    <row r="342" ht="22" customHeight="1">
      <c r="B342" s="7" t="n"/>
      <c r="C342" s="8" t="n"/>
      <c r="D342" s="8" t="n"/>
      <c r="E342" s="8" t="n"/>
      <c r="F342" s="9" t="n"/>
      <c r="G342" s="10" t="n"/>
      <c r="H342" s="10">
        <f>IFERROR(F342*G342,0)</f>
        <v/>
      </c>
      <c r="I342" s="8" t="n"/>
      <c r="J342" s="8" t="n"/>
      <c r="K342" s="8" t="n"/>
      <c r="L342" s="10" t="n"/>
      <c r="M342" s="10">
        <f>H342-IFERROR(L342,0)</f>
        <v/>
      </c>
      <c r="N342" s="8" t="n"/>
    </row>
    <row r="343" ht="22" customHeight="1">
      <c r="B343" s="3" t="n"/>
      <c r="C343" s="4" t="n"/>
      <c r="D343" s="4" t="n"/>
      <c r="E343" s="4" t="n"/>
      <c r="F343" s="5" t="n"/>
      <c r="G343" s="6" t="n"/>
      <c r="H343" s="6">
        <f>IFERROR(F343*G343,0)</f>
        <v/>
      </c>
      <c r="I343" s="4" t="n"/>
      <c r="J343" s="4" t="n"/>
      <c r="K343" s="4" t="n"/>
      <c r="L343" s="6" t="n"/>
      <c r="M343" s="6">
        <f>H343-IFERROR(L343,0)</f>
        <v/>
      </c>
      <c r="N343" s="4" t="n"/>
    </row>
    <row r="344" ht="22" customHeight="1">
      <c r="B344" s="7" t="n"/>
      <c r="C344" s="8" t="n"/>
      <c r="D344" s="8" t="n"/>
      <c r="E344" s="8" t="n"/>
      <c r="F344" s="9" t="n"/>
      <c r="G344" s="10" t="n"/>
      <c r="H344" s="10">
        <f>IFERROR(F344*G344,0)</f>
        <v/>
      </c>
      <c r="I344" s="8" t="n"/>
      <c r="J344" s="8" t="n"/>
      <c r="K344" s="8" t="n"/>
      <c r="L344" s="10" t="n"/>
      <c r="M344" s="10">
        <f>H344-IFERROR(L344,0)</f>
        <v/>
      </c>
      <c r="N344" s="8" t="n"/>
    </row>
    <row r="345" ht="22" customHeight="1">
      <c r="B345" s="3" t="n"/>
      <c r="C345" s="4" t="n"/>
      <c r="D345" s="4" t="n"/>
      <c r="E345" s="4" t="n"/>
      <c r="F345" s="5" t="n"/>
      <c r="G345" s="6" t="n"/>
      <c r="H345" s="6">
        <f>IFERROR(F345*G345,0)</f>
        <v/>
      </c>
      <c r="I345" s="4" t="n"/>
      <c r="J345" s="4" t="n"/>
      <c r="K345" s="4" t="n"/>
      <c r="L345" s="6" t="n"/>
      <c r="M345" s="6">
        <f>H345-IFERROR(L345,0)</f>
        <v/>
      </c>
      <c r="N345" s="4" t="n"/>
    </row>
    <row r="346" ht="22" customHeight="1">
      <c r="B346" s="7" t="n"/>
      <c r="C346" s="8" t="n"/>
      <c r="D346" s="8" t="n"/>
      <c r="E346" s="8" t="n"/>
      <c r="F346" s="9" t="n"/>
      <c r="G346" s="10" t="n"/>
      <c r="H346" s="10">
        <f>IFERROR(F346*G346,0)</f>
        <v/>
      </c>
      <c r="I346" s="8" t="n"/>
      <c r="J346" s="8" t="n"/>
      <c r="K346" s="8" t="n"/>
      <c r="L346" s="10" t="n"/>
      <c r="M346" s="10">
        <f>H346-IFERROR(L346,0)</f>
        <v/>
      </c>
      <c r="N346" s="8" t="n"/>
    </row>
    <row r="347" ht="22" customHeight="1">
      <c r="B347" s="3" t="n"/>
      <c r="C347" s="4" t="n"/>
      <c r="D347" s="4" t="n"/>
      <c r="E347" s="4" t="n"/>
      <c r="F347" s="5" t="n"/>
      <c r="G347" s="6" t="n"/>
      <c r="H347" s="6">
        <f>IFERROR(F347*G347,0)</f>
        <v/>
      </c>
      <c r="I347" s="4" t="n"/>
      <c r="J347" s="4" t="n"/>
      <c r="K347" s="4" t="n"/>
      <c r="L347" s="6" t="n"/>
      <c r="M347" s="6">
        <f>H347-IFERROR(L347,0)</f>
        <v/>
      </c>
      <c r="N347" s="4" t="n"/>
    </row>
    <row r="348" ht="22" customHeight="1">
      <c r="B348" s="7" t="n"/>
      <c r="C348" s="8" t="n"/>
      <c r="D348" s="8" t="n"/>
      <c r="E348" s="8" t="n"/>
      <c r="F348" s="9" t="n"/>
      <c r="G348" s="10" t="n"/>
      <c r="H348" s="10">
        <f>IFERROR(F348*G348,0)</f>
        <v/>
      </c>
      <c r="I348" s="8" t="n"/>
      <c r="J348" s="8" t="n"/>
      <c r="K348" s="8" t="n"/>
      <c r="L348" s="10" t="n"/>
      <c r="M348" s="10">
        <f>H348-IFERROR(L348,0)</f>
        <v/>
      </c>
      <c r="N348" s="8" t="n"/>
    </row>
    <row r="349" ht="22" customHeight="1">
      <c r="B349" s="3" t="n"/>
      <c r="C349" s="4" t="n"/>
      <c r="D349" s="4" t="n"/>
      <c r="E349" s="4" t="n"/>
      <c r="F349" s="5" t="n"/>
      <c r="G349" s="6" t="n"/>
      <c r="H349" s="6">
        <f>IFERROR(F349*G349,0)</f>
        <v/>
      </c>
      <c r="I349" s="4" t="n"/>
      <c r="J349" s="4" t="n"/>
      <c r="K349" s="4" t="n"/>
      <c r="L349" s="6" t="n"/>
      <c r="M349" s="6">
        <f>H349-IFERROR(L349,0)</f>
        <v/>
      </c>
      <c r="N349" s="4" t="n"/>
    </row>
    <row r="350" ht="22" customHeight="1">
      <c r="B350" s="7" t="n"/>
      <c r="C350" s="8" t="n"/>
      <c r="D350" s="8" t="n"/>
      <c r="E350" s="8" t="n"/>
      <c r="F350" s="9" t="n"/>
      <c r="G350" s="10" t="n"/>
      <c r="H350" s="10">
        <f>IFERROR(F350*G350,0)</f>
        <v/>
      </c>
      <c r="I350" s="8" t="n"/>
      <c r="J350" s="8" t="n"/>
      <c r="K350" s="8" t="n"/>
      <c r="L350" s="10" t="n"/>
      <c r="M350" s="10">
        <f>H350-IFERROR(L350,0)</f>
        <v/>
      </c>
      <c r="N350" s="8" t="n"/>
    </row>
    <row r="351" ht="22" customHeight="1">
      <c r="B351" s="3" t="n"/>
      <c r="C351" s="4" t="n"/>
      <c r="D351" s="4" t="n"/>
      <c r="E351" s="4" t="n"/>
      <c r="F351" s="5" t="n"/>
      <c r="G351" s="6" t="n"/>
      <c r="H351" s="6">
        <f>IFERROR(F351*G351,0)</f>
        <v/>
      </c>
      <c r="I351" s="4" t="n"/>
      <c r="J351" s="4" t="n"/>
      <c r="K351" s="4" t="n"/>
      <c r="L351" s="6" t="n"/>
      <c r="M351" s="6">
        <f>H351-IFERROR(L351,0)</f>
        <v/>
      </c>
      <c r="N351" s="4" t="n"/>
    </row>
    <row r="352" ht="22" customHeight="1">
      <c r="B352" s="7" t="n"/>
      <c r="C352" s="8" t="n"/>
      <c r="D352" s="8" t="n"/>
      <c r="E352" s="8" t="n"/>
      <c r="F352" s="9" t="n"/>
      <c r="G352" s="10" t="n"/>
      <c r="H352" s="10">
        <f>IFERROR(F352*G352,0)</f>
        <v/>
      </c>
      <c r="I352" s="8" t="n"/>
      <c r="J352" s="8" t="n"/>
      <c r="K352" s="8" t="n"/>
      <c r="L352" s="10" t="n"/>
      <c r="M352" s="10">
        <f>H352-IFERROR(L352,0)</f>
        <v/>
      </c>
      <c r="N352" s="8" t="n"/>
    </row>
    <row r="353" ht="22" customHeight="1">
      <c r="B353" s="3" t="n"/>
      <c r="C353" s="4" t="n"/>
      <c r="D353" s="4" t="n"/>
      <c r="E353" s="4" t="n"/>
      <c r="F353" s="5" t="n"/>
      <c r="G353" s="6" t="n"/>
      <c r="H353" s="6">
        <f>IFERROR(F353*G353,0)</f>
        <v/>
      </c>
      <c r="I353" s="4" t="n"/>
      <c r="J353" s="4" t="n"/>
      <c r="K353" s="4" t="n"/>
      <c r="L353" s="6" t="n"/>
      <c r="M353" s="6">
        <f>H353-IFERROR(L353,0)</f>
        <v/>
      </c>
      <c r="N353" s="4" t="n"/>
    </row>
    <row r="354" ht="22" customHeight="1">
      <c r="B354" s="7" t="n"/>
      <c r="C354" s="8" t="n"/>
      <c r="D354" s="8" t="n"/>
      <c r="E354" s="8" t="n"/>
      <c r="F354" s="9" t="n"/>
      <c r="G354" s="10" t="n"/>
      <c r="H354" s="10">
        <f>IFERROR(F354*G354,0)</f>
        <v/>
      </c>
      <c r="I354" s="8" t="n"/>
      <c r="J354" s="8" t="n"/>
      <c r="K354" s="8" t="n"/>
      <c r="L354" s="10" t="n"/>
      <c r="M354" s="10">
        <f>H354-IFERROR(L354,0)</f>
        <v/>
      </c>
      <c r="N354" s="8" t="n"/>
    </row>
    <row r="355" ht="22" customHeight="1">
      <c r="B355" s="3" t="n"/>
      <c r="C355" s="4" t="n"/>
      <c r="D355" s="4" t="n"/>
      <c r="E355" s="4" t="n"/>
      <c r="F355" s="5" t="n"/>
      <c r="G355" s="6" t="n"/>
      <c r="H355" s="6">
        <f>IFERROR(F355*G355,0)</f>
        <v/>
      </c>
      <c r="I355" s="4" t="n"/>
      <c r="J355" s="4" t="n"/>
      <c r="K355" s="4" t="n"/>
      <c r="L355" s="6" t="n"/>
      <c r="M355" s="6">
        <f>H355-IFERROR(L355,0)</f>
        <v/>
      </c>
      <c r="N355" s="4" t="n"/>
    </row>
    <row r="356" ht="22" customHeight="1">
      <c r="B356" s="7" t="n"/>
      <c r="C356" s="8" t="n"/>
      <c r="D356" s="8" t="n"/>
      <c r="E356" s="8" t="n"/>
      <c r="F356" s="9" t="n"/>
      <c r="G356" s="10" t="n"/>
      <c r="H356" s="10">
        <f>IFERROR(F356*G356,0)</f>
        <v/>
      </c>
      <c r="I356" s="8" t="n"/>
      <c r="J356" s="8" t="n"/>
      <c r="K356" s="8" t="n"/>
      <c r="L356" s="10" t="n"/>
      <c r="M356" s="10">
        <f>H356-IFERROR(L356,0)</f>
        <v/>
      </c>
      <c r="N356" s="8" t="n"/>
    </row>
    <row r="357" ht="22" customHeight="1">
      <c r="B357" s="3" t="n"/>
      <c r="C357" s="4" t="n"/>
      <c r="D357" s="4" t="n"/>
      <c r="E357" s="4" t="n"/>
      <c r="F357" s="5" t="n"/>
      <c r="G357" s="6" t="n"/>
      <c r="H357" s="6">
        <f>IFERROR(F357*G357,0)</f>
        <v/>
      </c>
      <c r="I357" s="4" t="n"/>
      <c r="J357" s="4" t="n"/>
      <c r="K357" s="4" t="n"/>
      <c r="L357" s="6" t="n"/>
      <c r="M357" s="6">
        <f>H357-IFERROR(L357,0)</f>
        <v/>
      </c>
      <c r="N357" s="4" t="n"/>
    </row>
    <row r="358" ht="22" customHeight="1">
      <c r="B358" s="7" t="n"/>
      <c r="C358" s="8" t="n"/>
      <c r="D358" s="8" t="n"/>
      <c r="E358" s="8" t="n"/>
      <c r="F358" s="9" t="n"/>
      <c r="G358" s="10" t="n"/>
      <c r="H358" s="10">
        <f>IFERROR(F358*G358,0)</f>
        <v/>
      </c>
      <c r="I358" s="8" t="n"/>
      <c r="J358" s="8" t="n"/>
      <c r="K358" s="8" t="n"/>
      <c r="L358" s="10" t="n"/>
      <c r="M358" s="10">
        <f>H358-IFERROR(L358,0)</f>
        <v/>
      </c>
      <c r="N358" s="8" t="n"/>
    </row>
    <row r="359" ht="22" customHeight="1">
      <c r="B359" s="3" t="n"/>
      <c r="C359" s="4" t="n"/>
      <c r="D359" s="4" t="n"/>
      <c r="E359" s="4" t="n"/>
      <c r="F359" s="5" t="n"/>
      <c r="G359" s="6" t="n"/>
      <c r="H359" s="6">
        <f>IFERROR(F359*G359,0)</f>
        <v/>
      </c>
      <c r="I359" s="4" t="n"/>
      <c r="J359" s="4" t="n"/>
      <c r="K359" s="4" t="n"/>
      <c r="L359" s="6" t="n"/>
      <c r="M359" s="6">
        <f>H359-IFERROR(L359,0)</f>
        <v/>
      </c>
      <c r="N359" s="4" t="n"/>
    </row>
    <row r="360" ht="22" customHeight="1">
      <c r="B360" s="7" t="n"/>
      <c r="C360" s="8" t="n"/>
      <c r="D360" s="8" t="n"/>
      <c r="E360" s="8" t="n"/>
      <c r="F360" s="9" t="n"/>
      <c r="G360" s="10" t="n"/>
      <c r="H360" s="10">
        <f>IFERROR(F360*G360,0)</f>
        <v/>
      </c>
      <c r="I360" s="8" t="n"/>
      <c r="J360" s="8" t="n"/>
      <c r="K360" s="8" t="n"/>
      <c r="L360" s="10" t="n"/>
      <c r="M360" s="10">
        <f>H360-IFERROR(L360,0)</f>
        <v/>
      </c>
      <c r="N360" s="8" t="n"/>
    </row>
    <row r="361" ht="22" customHeight="1">
      <c r="B361" s="3" t="n"/>
      <c r="C361" s="4" t="n"/>
      <c r="D361" s="4" t="n"/>
      <c r="E361" s="4" t="n"/>
      <c r="F361" s="5" t="n"/>
      <c r="G361" s="6" t="n"/>
      <c r="H361" s="6">
        <f>IFERROR(F361*G361,0)</f>
        <v/>
      </c>
      <c r="I361" s="4" t="n"/>
      <c r="J361" s="4" t="n"/>
      <c r="K361" s="4" t="n"/>
      <c r="L361" s="6" t="n"/>
      <c r="M361" s="6">
        <f>H361-IFERROR(L361,0)</f>
        <v/>
      </c>
      <c r="N361" s="4" t="n"/>
    </row>
    <row r="362" ht="22" customHeight="1">
      <c r="B362" s="7" t="n"/>
      <c r="C362" s="8" t="n"/>
      <c r="D362" s="8" t="n"/>
      <c r="E362" s="8" t="n"/>
      <c r="F362" s="9" t="n"/>
      <c r="G362" s="10" t="n"/>
      <c r="H362" s="10">
        <f>IFERROR(F362*G362,0)</f>
        <v/>
      </c>
      <c r="I362" s="8" t="n"/>
      <c r="J362" s="8" t="n"/>
      <c r="K362" s="8" t="n"/>
      <c r="L362" s="10" t="n"/>
      <c r="M362" s="10">
        <f>H362-IFERROR(L362,0)</f>
        <v/>
      </c>
      <c r="N362" s="8" t="n"/>
    </row>
    <row r="363" ht="22" customHeight="1">
      <c r="B363" s="3" t="n"/>
      <c r="C363" s="4" t="n"/>
      <c r="D363" s="4" t="n"/>
      <c r="E363" s="4" t="n"/>
      <c r="F363" s="5" t="n"/>
      <c r="G363" s="6" t="n"/>
      <c r="H363" s="6">
        <f>IFERROR(F363*G363,0)</f>
        <v/>
      </c>
      <c r="I363" s="4" t="n"/>
      <c r="J363" s="4" t="n"/>
      <c r="K363" s="4" t="n"/>
      <c r="L363" s="6" t="n"/>
      <c r="M363" s="6">
        <f>H363-IFERROR(L363,0)</f>
        <v/>
      </c>
      <c r="N363" s="4" t="n"/>
    </row>
    <row r="364" ht="22" customHeight="1">
      <c r="B364" s="7" t="n"/>
      <c r="C364" s="8" t="n"/>
      <c r="D364" s="8" t="n"/>
      <c r="E364" s="8" t="n"/>
      <c r="F364" s="9" t="n"/>
      <c r="G364" s="10" t="n"/>
      <c r="H364" s="10">
        <f>IFERROR(F364*G364,0)</f>
        <v/>
      </c>
      <c r="I364" s="8" t="n"/>
      <c r="J364" s="8" t="n"/>
      <c r="K364" s="8" t="n"/>
      <c r="L364" s="10" t="n"/>
      <c r="M364" s="10">
        <f>H364-IFERROR(L364,0)</f>
        <v/>
      </c>
      <c r="N364" s="8" t="n"/>
    </row>
    <row r="365" ht="22" customHeight="1">
      <c r="B365" s="3" t="n"/>
      <c r="C365" s="4" t="n"/>
      <c r="D365" s="4" t="n"/>
      <c r="E365" s="4" t="n"/>
      <c r="F365" s="5" t="n"/>
      <c r="G365" s="6" t="n"/>
      <c r="H365" s="6">
        <f>IFERROR(F365*G365,0)</f>
        <v/>
      </c>
      <c r="I365" s="4" t="n"/>
      <c r="J365" s="4" t="n"/>
      <c r="K365" s="4" t="n"/>
      <c r="L365" s="6" t="n"/>
      <c r="M365" s="6">
        <f>H365-IFERROR(L365,0)</f>
        <v/>
      </c>
      <c r="N365" s="4" t="n"/>
    </row>
    <row r="366" ht="22" customHeight="1">
      <c r="B366" s="7" t="n"/>
      <c r="C366" s="8" t="n"/>
      <c r="D366" s="8" t="n"/>
      <c r="E366" s="8" t="n"/>
      <c r="F366" s="9" t="n"/>
      <c r="G366" s="10" t="n"/>
      <c r="H366" s="10">
        <f>IFERROR(F366*G366,0)</f>
        <v/>
      </c>
      <c r="I366" s="8" t="n"/>
      <c r="J366" s="8" t="n"/>
      <c r="K366" s="8" t="n"/>
      <c r="L366" s="10" t="n"/>
      <c r="M366" s="10">
        <f>H366-IFERROR(L366,0)</f>
        <v/>
      </c>
      <c r="N366" s="8" t="n"/>
    </row>
    <row r="367" ht="22" customHeight="1">
      <c r="B367" s="3" t="n"/>
      <c r="C367" s="4" t="n"/>
      <c r="D367" s="4" t="n"/>
      <c r="E367" s="4" t="n"/>
      <c r="F367" s="5" t="n"/>
      <c r="G367" s="6" t="n"/>
      <c r="H367" s="6">
        <f>IFERROR(F367*G367,0)</f>
        <v/>
      </c>
      <c r="I367" s="4" t="n"/>
      <c r="J367" s="4" t="n"/>
      <c r="K367" s="4" t="n"/>
      <c r="L367" s="6" t="n"/>
      <c r="M367" s="6">
        <f>H367-IFERROR(L367,0)</f>
        <v/>
      </c>
      <c r="N367" s="4" t="n"/>
    </row>
    <row r="368" ht="22" customHeight="1">
      <c r="B368" s="7" t="n"/>
      <c r="C368" s="8" t="n"/>
      <c r="D368" s="8" t="n"/>
      <c r="E368" s="8" t="n"/>
      <c r="F368" s="9" t="n"/>
      <c r="G368" s="10" t="n"/>
      <c r="H368" s="10">
        <f>IFERROR(F368*G368,0)</f>
        <v/>
      </c>
      <c r="I368" s="8" t="n"/>
      <c r="J368" s="8" t="n"/>
      <c r="K368" s="8" t="n"/>
      <c r="L368" s="10" t="n"/>
      <c r="M368" s="10">
        <f>H368-IFERROR(L368,0)</f>
        <v/>
      </c>
      <c r="N368" s="8" t="n"/>
    </row>
    <row r="369" ht="22" customHeight="1">
      <c r="B369" s="3" t="n"/>
      <c r="C369" s="4" t="n"/>
      <c r="D369" s="4" t="n"/>
      <c r="E369" s="4" t="n"/>
      <c r="F369" s="5" t="n"/>
      <c r="G369" s="6" t="n"/>
      <c r="H369" s="6">
        <f>IFERROR(F369*G369,0)</f>
        <v/>
      </c>
      <c r="I369" s="4" t="n"/>
      <c r="J369" s="4" t="n"/>
      <c r="K369" s="4" t="n"/>
      <c r="L369" s="6" t="n"/>
      <c r="M369" s="6">
        <f>H369-IFERROR(L369,0)</f>
        <v/>
      </c>
      <c r="N369" s="4" t="n"/>
    </row>
    <row r="370" ht="22" customHeight="1">
      <c r="B370" s="7" t="n"/>
      <c r="C370" s="8" t="n"/>
      <c r="D370" s="8" t="n"/>
      <c r="E370" s="8" t="n"/>
      <c r="F370" s="9" t="n"/>
      <c r="G370" s="10" t="n"/>
      <c r="H370" s="10">
        <f>IFERROR(F370*G370,0)</f>
        <v/>
      </c>
      <c r="I370" s="8" t="n"/>
      <c r="J370" s="8" t="n"/>
      <c r="K370" s="8" t="n"/>
      <c r="L370" s="10" t="n"/>
      <c r="M370" s="10">
        <f>H370-IFERROR(L370,0)</f>
        <v/>
      </c>
      <c r="N370" s="8" t="n"/>
    </row>
    <row r="371" ht="22" customHeight="1">
      <c r="B371" s="3" t="n"/>
      <c r="C371" s="4" t="n"/>
      <c r="D371" s="4" t="n"/>
      <c r="E371" s="4" t="n"/>
      <c r="F371" s="5" t="n"/>
      <c r="G371" s="6" t="n"/>
      <c r="H371" s="6">
        <f>IFERROR(F371*G371,0)</f>
        <v/>
      </c>
      <c r="I371" s="4" t="n"/>
      <c r="J371" s="4" t="n"/>
      <c r="K371" s="4" t="n"/>
      <c r="L371" s="6" t="n"/>
      <c r="M371" s="6">
        <f>H371-IFERROR(L371,0)</f>
        <v/>
      </c>
      <c r="N371" s="4" t="n"/>
    </row>
    <row r="372" ht="22" customHeight="1">
      <c r="B372" s="7" t="n"/>
      <c r="C372" s="8" t="n"/>
      <c r="D372" s="8" t="n"/>
      <c r="E372" s="8" t="n"/>
      <c r="F372" s="9" t="n"/>
      <c r="G372" s="10" t="n"/>
      <c r="H372" s="10">
        <f>IFERROR(F372*G372,0)</f>
        <v/>
      </c>
      <c r="I372" s="8" t="n"/>
      <c r="J372" s="8" t="n"/>
      <c r="K372" s="8" t="n"/>
      <c r="L372" s="10" t="n"/>
      <c r="M372" s="10">
        <f>H372-IFERROR(L372,0)</f>
        <v/>
      </c>
      <c r="N372" s="8" t="n"/>
    </row>
    <row r="373" ht="22" customHeight="1">
      <c r="B373" s="3" t="n"/>
      <c r="C373" s="4" t="n"/>
      <c r="D373" s="4" t="n"/>
      <c r="E373" s="4" t="n"/>
      <c r="F373" s="5" t="n"/>
      <c r="G373" s="6" t="n"/>
      <c r="H373" s="6">
        <f>IFERROR(F373*G373,0)</f>
        <v/>
      </c>
      <c r="I373" s="4" t="n"/>
      <c r="J373" s="4" t="n"/>
      <c r="K373" s="4" t="n"/>
      <c r="L373" s="6" t="n"/>
      <c r="M373" s="6">
        <f>H373-IFERROR(L373,0)</f>
        <v/>
      </c>
      <c r="N373" s="4" t="n"/>
    </row>
    <row r="374" ht="22" customHeight="1">
      <c r="B374" s="7" t="n"/>
      <c r="C374" s="8" t="n"/>
      <c r="D374" s="8" t="n"/>
      <c r="E374" s="8" t="n"/>
      <c r="F374" s="9" t="n"/>
      <c r="G374" s="10" t="n"/>
      <c r="H374" s="10">
        <f>IFERROR(F374*G374,0)</f>
        <v/>
      </c>
      <c r="I374" s="8" t="n"/>
      <c r="J374" s="8" t="n"/>
      <c r="K374" s="8" t="n"/>
      <c r="L374" s="10" t="n"/>
      <c r="M374" s="10">
        <f>H374-IFERROR(L374,0)</f>
        <v/>
      </c>
      <c r="N374" s="8" t="n"/>
    </row>
    <row r="375" ht="22" customHeight="1">
      <c r="B375" s="3" t="n"/>
      <c r="C375" s="4" t="n"/>
      <c r="D375" s="4" t="n"/>
      <c r="E375" s="4" t="n"/>
      <c r="F375" s="5" t="n"/>
      <c r="G375" s="6" t="n"/>
      <c r="H375" s="6">
        <f>IFERROR(F375*G375,0)</f>
        <v/>
      </c>
      <c r="I375" s="4" t="n"/>
      <c r="J375" s="4" t="n"/>
      <c r="K375" s="4" t="n"/>
      <c r="L375" s="6" t="n"/>
      <c r="M375" s="6">
        <f>H375-IFERROR(L375,0)</f>
        <v/>
      </c>
      <c r="N375" s="4" t="n"/>
    </row>
    <row r="376" ht="22" customHeight="1">
      <c r="B376" s="7" t="n"/>
      <c r="C376" s="8" t="n"/>
      <c r="D376" s="8" t="n"/>
      <c r="E376" s="8" t="n"/>
      <c r="F376" s="9" t="n"/>
      <c r="G376" s="10" t="n"/>
      <c r="H376" s="10">
        <f>IFERROR(F376*G376,0)</f>
        <v/>
      </c>
      <c r="I376" s="8" t="n"/>
      <c r="J376" s="8" t="n"/>
      <c r="K376" s="8" t="n"/>
      <c r="L376" s="10" t="n"/>
      <c r="M376" s="10">
        <f>H376-IFERROR(L376,0)</f>
        <v/>
      </c>
      <c r="N376" s="8" t="n"/>
    </row>
    <row r="377" ht="22" customHeight="1">
      <c r="B377" s="3" t="n"/>
      <c r="C377" s="4" t="n"/>
      <c r="D377" s="4" t="n"/>
      <c r="E377" s="4" t="n"/>
      <c r="F377" s="5" t="n"/>
      <c r="G377" s="6" t="n"/>
      <c r="H377" s="6">
        <f>IFERROR(F377*G377,0)</f>
        <v/>
      </c>
      <c r="I377" s="4" t="n"/>
      <c r="J377" s="4" t="n"/>
      <c r="K377" s="4" t="n"/>
      <c r="L377" s="6" t="n"/>
      <c r="M377" s="6">
        <f>H377-IFERROR(L377,0)</f>
        <v/>
      </c>
      <c r="N377" s="4" t="n"/>
    </row>
    <row r="378" ht="22" customHeight="1">
      <c r="B378" s="7" t="n"/>
      <c r="C378" s="8" t="n"/>
      <c r="D378" s="8" t="n"/>
      <c r="E378" s="8" t="n"/>
      <c r="F378" s="9" t="n"/>
      <c r="G378" s="10" t="n"/>
      <c r="H378" s="10">
        <f>IFERROR(F378*G378,0)</f>
        <v/>
      </c>
      <c r="I378" s="8" t="n"/>
      <c r="J378" s="8" t="n"/>
      <c r="K378" s="8" t="n"/>
      <c r="L378" s="10" t="n"/>
      <c r="M378" s="10">
        <f>H378-IFERROR(L378,0)</f>
        <v/>
      </c>
      <c r="N378" s="8" t="n"/>
    </row>
    <row r="379" ht="22" customHeight="1">
      <c r="B379" s="3" t="n"/>
      <c r="C379" s="4" t="n"/>
      <c r="D379" s="4" t="n"/>
      <c r="E379" s="4" t="n"/>
      <c r="F379" s="5" t="n"/>
      <c r="G379" s="6" t="n"/>
      <c r="H379" s="6">
        <f>IFERROR(F379*G379,0)</f>
        <v/>
      </c>
      <c r="I379" s="4" t="n"/>
      <c r="J379" s="4" t="n"/>
      <c r="K379" s="4" t="n"/>
      <c r="L379" s="6" t="n"/>
      <c r="M379" s="6">
        <f>H379-IFERROR(L379,0)</f>
        <v/>
      </c>
      <c r="N379" s="4" t="n"/>
    </row>
    <row r="380" ht="22" customHeight="1">
      <c r="B380" s="7" t="n"/>
      <c r="C380" s="8" t="n"/>
      <c r="D380" s="8" t="n"/>
      <c r="E380" s="8" t="n"/>
      <c r="F380" s="9" t="n"/>
      <c r="G380" s="10" t="n"/>
      <c r="H380" s="10">
        <f>IFERROR(F380*G380,0)</f>
        <v/>
      </c>
      <c r="I380" s="8" t="n"/>
      <c r="J380" s="8" t="n"/>
      <c r="K380" s="8" t="n"/>
      <c r="L380" s="10" t="n"/>
      <c r="M380" s="10">
        <f>H380-IFERROR(L380,0)</f>
        <v/>
      </c>
      <c r="N380" s="8" t="n"/>
    </row>
    <row r="381" ht="22" customHeight="1">
      <c r="B381" s="3" t="n"/>
      <c r="C381" s="4" t="n"/>
      <c r="D381" s="4" t="n"/>
      <c r="E381" s="4" t="n"/>
      <c r="F381" s="5" t="n"/>
      <c r="G381" s="6" t="n"/>
      <c r="H381" s="6">
        <f>IFERROR(F381*G381,0)</f>
        <v/>
      </c>
      <c r="I381" s="4" t="n"/>
      <c r="J381" s="4" t="n"/>
      <c r="K381" s="4" t="n"/>
      <c r="L381" s="6" t="n"/>
      <c r="M381" s="6">
        <f>H381-IFERROR(L381,0)</f>
        <v/>
      </c>
      <c r="N381" s="4" t="n"/>
    </row>
    <row r="382" ht="22" customHeight="1">
      <c r="B382" s="7" t="n"/>
      <c r="C382" s="8" t="n"/>
      <c r="D382" s="8" t="n"/>
      <c r="E382" s="8" t="n"/>
      <c r="F382" s="9" t="n"/>
      <c r="G382" s="10" t="n"/>
      <c r="H382" s="10">
        <f>IFERROR(F382*G382,0)</f>
        <v/>
      </c>
      <c r="I382" s="8" t="n"/>
      <c r="J382" s="8" t="n"/>
      <c r="K382" s="8" t="n"/>
      <c r="L382" s="10" t="n"/>
      <c r="M382" s="10">
        <f>H382-IFERROR(L382,0)</f>
        <v/>
      </c>
      <c r="N382" s="8" t="n"/>
    </row>
    <row r="383" ht="22" customHeight="1">
      <c r="B383" s="3" t="n"/>
      <c r="C383" s="4" t="n"/>
      <c r="D383" s="4" t="n"/>
      <c r="E383" s="4" t="n"/>
      <c r="F383" s="5" t="n"/>
      <c r="G383" s="6" t="n"/>
      <c r="H383" s="6">
        <f>IFERROR(F383*G383,0)</f>
        <v/>
      </c>
      <c r="I383" s="4" t="n"/>
      <c r="J383" s="4" t="n"/>
      <c r="K383" s="4" t="n"/>
      <c r="L383" s="6" t="n"/>
      <c r="M383" s="6">
        <f>H383-IFERROR(L383,0)</f>
        <v/>
      </c>
      <c r="N383" s="4" t="n"/>
    </row>
    <row r="384" ht="22" customHeight="1">
      <c r="B384" s="7" t="n"/>
      <c r="C384" s="8" t="n"/>
      <c r="D384" s="8" t="n"/>
      <c r="E384" s="8" t="n"/>
      <c r="F384" s="9" t="n"/>
      <c r="G384" s="10" t="n"/>
      <c r="H384" s="10">
        <f>IFERROR(F384*G384,0)</f>
        <v/>
      </c>
      <c r="I384" s="8" t="n"/>
      <c r="J384" s="8" t="n"/>
      <c r="K384" s="8" t="n"/>
      <c r="L384" s="10" t="n"/>
      <c r="M384" s="10">
        <f>H384-IFERROR(L384,0)</f>
        <v/>
      </c>
      <c r="N384" s="8" t="n"/>
    </row>
    <row r="385" ht="22" customHeight="1">
      <c r="B385" s="3" t="n"/>
      <c r="C385" s="4" t="n"/>
      <c r="D385" s="4" t="n"/>
      <c r="E385" s="4" t="n"/>
      <c r="F385" s="5" t="n"/>
      <c r="G385" s="6" t="n"/>
      <c r="H385" s="6">
        <f>IFERROR(F385*G385,0)</f>
        <v/>
      </c>
      <c r="I385" s="4" t="n"/>
      <c r="J385" s="4" t="n"/>
      <c r="K385" s="4" t="n"/>
      <c r="L385" s="6" t="n"/>
      <c r="M385" s="6">
        <f>H385-IFERROR(L385,0)</f>
        <v/>
      </c>
      <c r="N385" s="4" t="n"/>
    </row>
    <row r="386" ht="22" customHeight="1">
      <c r="B386" s="7" t="n"/>
      <c r="C386" s="8" t="n"/>
      <c r="D386" s="8" t="n"/>
      <c r="E386" s="8" t="n"/>
      <c r="F386" s="9" t="n"/>
      <c r="G386" s="10" t="n"/>
      <c r="H386" s="10">
        <f>IFERROR(F386*G386,0)</f>
        <v/>
      </c>
      <c r="I386" s="8" t="n"/>
      <c r="J386" s="8" t="n"/>
      <c r="K386" s="8" t="n"/>
      <c r="L386" s="10" t="n"/>
      <c r="M386" s="10">
        <f>H386-IFERROR(L386,0)</f>
        <v/>
      </c>
      <c r="N386" s="8" t="n"/>
    </row>
    <row r="387" ht="22" customHeight="1">
      <c r="B387" s="3" t="n"/>
      <c r="C387" s="4" t="n"/>
      <c r="D387" s="4" t="n"/>
      <c r="E387" s="4" t="n"/>
      <c r="F387" s="5" t="n"/>
      <c r="G387" s="6" t="n"/>
      <c r="H387" s="6">
        <f>IFERROR(F387*G387,0)</f>
        <v/>
      </c>
      <c r="I387" s="4" t="n"/>
      <c r="J387" s="4" t="n"/>
      <c r="K387" s="4" t="n"/>
      <c r="L387" s="6" t="n"/>
      <c r="M387" s="6">
        <f>H387-IFERROR(L387,0)</f>
        <v/>
      </c>
      <c r="N387" s="4" t="n"/>
    </row>
    <row r="388" ht="22" customHeight="1">
      <c r="B388" s="7" t="n"/>
      <c r="C388" s="8" t="n"/>
      <c r="D388" s="8" t="n"/>
      <c r="E388" s="8" t="n"/>
      <c r="F388" s="9" t="n"/>
      <c r="G388" s="10" t="n"/>
      <c r="H388" s="10">
        <f>IFERROR(F388*G388,0)</f>
        <v/>
      </c>
      <c r="I388" s="8" t="n"/>
      <c r="J388" s="8" t="n"/>
      <c r="K388" s="8" t="n"/>
      <c r="L388" s="10" t="n"/>
      <c r="M388" s="10">
        <f>H388-IFERROR(L388,0)</f>
        <v/>
      </c>
      <c r="N388" s="8" t="n"/>
    </row>
    <row r="389" ht="22" customHeight="1">
      <c r="B389" s="3" t="n"/>
      <c r="C389" s="4" t="n"/>
      <c r="D389" s="4" t="n"/>
      <c r="E389" s="4" t="n"/>
      <c r="F389" s="5" t="n"/>
      <c r="G389" s="6" t="n"/>
      <c r="H389" s="6">
        <f>IFERROR(F389*G389,0)</f>
        <v/>
      </c>
      <c r="I389" s="4" t="n"/>
      <c r="J389" s="4" t="n"/>
      <c r="K389" s="4" t="n"/>
      <c r="L389" s="6" t="n"/>
      <c r="M389" s="6">
        <f>H389-IFERROR(L389,0)</f>
        <v/>
      </c>
      <c r="N389" s="4" t="n"/>
    </row>
    <row r="390" ht="22" customHeight="1">
      <c r="B390" s="7" t="n"/>
      <c r="C390" s="8" t="n"/>
      <c r="D390" s="8" t="n"/>
      <c r="E390" s="8" t="n"/>
      <c r="F390" s="9" t="n"/>
      <c r="G390" s="10" t="n"/>
      <c r="H390" s="10">
        <f>IFERROR(F390*G390,0)</f>
        <v/>
      </c>
      <c r="I390" s="8" t="n"/>
      <c r="J390" s="8" t="n"/>
      <c r="K390" s="8" t="n"/>
      <c r="L390" s="10" t="n"/>
      <c r="M390" s="10">
        <f>H390-IFERROR(L390,0)</f>
        <v/>
      </c>
      <c r="N390" s="8" t="n"/>
    </row>
    <row r="391" ht="22" customHeight="1">
      <c r="B391" s="3" t="n"/>
      <c r="C391" s="4" t="n"/>
      <c r="D391" s="4" t="n"/>
      <c r="E391" s="4" t="n"/>
      <c r="F391" s="5" t="n"/>
      <c r="G391" s="6" t="n"/>
      <c r="H391" s="6">
        <f>IFERROR(F391*G391,0)</f>
        <v/>
      </c>
      <c r="I391" s="4" t="n"/>
      <c r="J391" s="4" t="n"/>
      <c r="K391" s="4" t="n"/>
      <c r="L391" s="6" t="n"/>
      <c r="M391" s="6">
        <f>H391-IFERROR(L391,0)</f>
        <v/>
      </c>
      <c r="N391" s="4" t="n"/>
    </row>
    <row r="392" ht="22" customHeight="1">
      <c r="B392" s="7" t="n"/>
      <c r="C392" s="8" t="n"/>
      <c r="D392" s="8" t="n"/>
      <c r="E392" s="8" t="n"/>
      <c r="F392" s="9" t="n"/>
      <c r="G392" s="10" t="n"/>
      <c r="H392" s="10">
        <f>IFERROR(F392*G392,0)</f>
        <v/>
      </c>
      <c r="I392" s="8" t="n"/>
      <c r="J392" s="8" t="n"/>
      <c r="K392" s="8" t="n"/>
      <c r="L392" s="10" t="n"/>
      <c r="M392" s="10">
        <f>H392-IFERROR(L392,0)</f>
        <v/>
      </c>
      <c r="N392" s="8" t="n"/>
    </row>
    <row r="393" ht="22" customHeight="1">
      <c r="B393" s="3" t="n"/>
      <c r="C393" s="4" t="n"/>
      <c r="D393" s="4" t="n"/>
      <c r="E393" s="4" t="n"/>
      <c r="F393" s="5" t="n"/>
      <c r="G393" s="6" t="n"/>
      <c r="H393" s="6">
        <f>IFERROR(F393*G393,0)</f>
        <v/>
      </c>
      <c r="I393" s="4" t="n"/>
      <c r="J393" s="4" t="n"/>
      <c r="K393" s="4" t="n"/>
      <c r="L393" s="6" t="n"/>
      <c r="M393" s="6">
        <f>H393-IFERROR(L393,0)</f>
        <v/>
      </c>
      <c r="N393" s="4" t="n"/>
    </row>
    <row r="394" ht="22" customHeight="1">
      <c r="B394" s="7" t="n"/>
      <c r="C394" s="8" t="n"/>
      <c r="D394" s="8" t="n"/>
      <c r="E394" s="8" t="n"/>
      <c r="F394" s="9" t="n"/>
      <c r="G394" s="10" t="n"/>
      <c r="H394" s="10">
        <f>IFERROR(F394*G394,0)</f>
        <v/>
      </c>
      <c r="I394" s="8" t="n"/>
      <c r="J394" s="8" t="n"/>
      <c r="K394" s="8" t="n"/>
      <c r="L394" s="10" t="n"/>
      <c r="M394" s="10">
        <f>H394-IFERROR(L394,0)</f>
        <v/>
      </c>
      <c r="N394" s="8" t="n"/>
    </row>
    <row r="395" ht="22" customHeight="1">
      <c r="B395" s="3" t="n"/>
      <c r="C395" s="4" t="n"/>
      <c r="D395" s="4" t="n"/>
      <c r="E395" s="4" t="n"/>
      <c r="F395" s="5" t="n"/>
      <c r="G395" s="6" t="n"/>
      <c r="H395" s="6">
        <f>IFERROR(F395*G395,0)</f>
        <v/>
      </c>
      <c r="I395" s="4" t="n"/>
      <c r="J395" s="4" t="n"/>
      <c r="K395" s="4" t="n"/>
      <c r="L395" s="6" t="n"/>
      <c r="M395" s="6">
        <f>H395-IFERROR(L395,0)</f>
        <v/>
      </c>
      <c r="N395" s="4" t="n"/>
    </row>
    <row r="396" ht="22" customHeight="1">
      <c r="B396" s="7" t="n"/>
      <c r="C396" s="8" t="n"/>
      <c r="D396" s="8" t="n"/>
      <c r="E396" s="8" t="n"/>
      <c r="F396" s="9" t="n"/>
      <c r="G396" s="10" t="n"/>
      <c r="H396" s="10">
        <f>IFERROR(F396*G396,0)</f>
        <v/>
      </c>
      <c r="I396" s="8" t="n"/>
      <c r="J396" s="8" t="n"/>
      <c r="K396" s="8" t="n"/>
      <c r="L396" s="10" t="n"/>
      <c r="M396" s="10">
        <f>H396-IFERROR(L396,0)</f>
        <v/>
      </c>
      <c r="N396" s="8" t="n"/>
    </row>
    <row r="397" ht="22" customHeight="1">
      <c r="B397" s="3" t="n"/>
      <c r="C397" s="4" t="n"/>
      <c r="D397" s="4" t="n"/>
      <c r="E397" s="4" t="n"/>
      <c r="F397" s="5" t="n"/>
      <c r="G397" s="6" t="n"/>
      <c r="H397" s="6">
        <f>IFERROR(F397*G397,0)</f>
        <v/>
      </c>
      <c r="I397" s="4" t="n"/>
      <c r="J397" s="4" t="n"/>
      <c r="K397" s="4" t="n"/>
      <c r="L397" s="6" t="n"/>
      <c r="M397" s="6">
        <f>H397-IFERROR(L397,0)</f>
        <v/>
      </c>
      <c r="N397" s="4" t="n"/>
    </row>
    <row r="398" ht="22" customHeight="1">
      <c r="B398" s="7" t="n"/>
      <c r="C398" s="8" t="n"/>
      <c r="D398" s="8" t="n"/>
      <c r="E398" s="8" t="n"/>
      <c r="F398" s="9" t="n"/>
      <c r="G398" s="10" t="n"/>
      <c r="H398" s="10">
        <f>IFERROR(F398*G398,0)</f>
        <v/>
      </c>
      <c r="I398" s="8" t="n"/>
      <c r="J398" s="8" t="n"/>
      <c r="K398" s="8" t="n"/>
      <c r="L398" s="10" t="n"/>
      <c r="M398" s="10">
        <f>H398-IFERROR(L398,0)</f>
        <v/>
      </c>
      <c r="N398" s="8" t="n"/>
    </row>
    <row r="399" ht="22" customHeight="1">
      <c r="B399" s="3" t="n"/>
      <c r="C399" s="4" t="n"/>
      <c r="D399" s="4" t="n"/>
      <c r="E399" s="4" t="n"/>
      <c r="F399" s="5" t="n"/>
      <c r="G399" s="6" t="n"/>
      <c r="H399" s="6">
        <f>IFERROR(F399*G399,0)</f>
        <v/>
      </c>
      <c r="I399" s="4" t="n"/>
      <c r="J399" s="4" t="n"/>
      <c r="K399" s="4" t="n"/>
      <c r="L399" s="6" t="n"/>
      <c r="M399" s="6">
        <f>H399-IFERROR(L399,0)</f>
        <v/>
      </c>
      <c r="N399" s="4" t="n"/>
    </row>
    <row r="400" ht="22" customHeight="1">
      <c r="B400" s="7" t="n"/>
      <c r="C400" s="8" t="n"/>
      <c r="D400" s="8" t="n"/>
      <c r="E400" s="8" t="n"/>
      <c r="F400" s="9" t="n"/>
      <c r="G400" s="10" t="n"/>
      <c r="H400" s="10">
        <f>IFERROR(F400*G400,0)</f>
        <v/>
      </c>
      <c r="I400" s="8" t="n"/>
      <c r="J400" s="8" t="n"/>
      <c r="K400" s="8" t="n"/>
      <c r="L400" s="10" t="n"/>
      <c r="M400" s="10">
        <f>H400-IFERROR(L400,0)</f>
        <v/>
      </c>
      <c r="N400" s="8" t="n"/>
    </row>
    <row r="401" ht="22" customHeight="1">
      <c r="B401" s="3" t="n"/>
      <c r="C401" s="4" t="n"/>
      <c r="D401" s="4" t="n"/>
      <c r="E401" s="4" t="n"/>
      <c r="F401" s="5" t="n"/>
      <c r="G401" s="6" t="n"/>
      <c r="H401" s="6">
        <f>IFERROR(F401*G401,0)</f>
        <v/>
      </c>
      <c r="I401" s="4" t="n"/>
      <c r="J401" s="4" t="n"/>
      <c r="K401" s="4" t="n"/>
      <c r="L401" s="6" t="n"/>
      <c r="M401" s="6">
        <f>H401-IFERROR(L401,0)</f>
        <v/>
      </c>
      <c r="N401" s="4" t="n"/>
    </row>
    <row r="402" ht="22" customHeight="1">
      <c r="B402" s="7" t="n"/>
      <c r="C402" s="8" t="n"/>
      <c r="D402" s="8" t="n"/>
      <c r="E402" s="8" t="n"/>
      <c r="F402" s="9" t="n"/>
      <c r="G402" s="10" t="n"/>
      <c r="H402" s="10">
        <f>IFERROR(F402*G402,0)</f>
        <v/>
      </c>
      <c r="I402" s="8" t="n"/>
      <c r="J402" s="8" t="n"/>
      <c r="K402" s="8" t="n"/>
      <c r="L402" s="10" t="n"/>
      <c r="M402" s="10">
        <f>H402-IFERROR(L402,0)</f>
        <v/>
      </c>
      <c r="N402" s="8" t="n"/>
    </row>
    <row r="403" ht="22" customHeight="1">
      <c r="B403" s="3" t="n"/>
      <c r="C403" s="4" t="n"/>
      <c r="D403" s="4" t="n"/>
      <c r="E403" s="4" t="n"/>
      <c r="F403" s="5" t="n"/>
      <c r="G403" s="6" t="n"/>
      <c r="H403" s="6">
        <f>IFERROR(F403*G403,0)</f>
        <v/>
      </c>
      <c r="I403" s="4" t="n"/>
      <c r="J403" s="4" t="n"/>
      <c r="K403" s="4" t="n"/>
      <c r="L403" s="6" t="n"/>
      <c r="M403" s="6">
        <f>H403-IFERROR(L403,0)</f>
        <v/>
      </c>
      <c r="N403" s="4" t="n"/>
    </row>
    <row r="404" ht="22" customHeight="1">
      <c r="B404" s="7" t="n"/>
      <c r="C404" s="8" t="n"/>
      <c r="D404" s="8" t="n"/>
      <c r="E404" s="8" t="n"/>
      <c r="F404" s="9" t="n"/>
      <c r="G404" s="10" t="n"/>
      <c r="H404" s="10">
        <f>IFERROR(F404*G404,0)</f>
        <v/>
      </c>
      <c r="I404" s="8" t="n"/>
      <c r="J404" s="8" t="n"/>
      <c r="K404" s="8" t="n"/>
      <c r="L404" s="10" t="n"/>
      <c r="M404" s="10">
        <f>H404-IFERROR(L404,0)</f>
        <v/>
      </c>
      <c r="N404" s="8" t="n"/>
    </row>
    <row r="405" ht="22" customHeight="1">
      <c r="B405" s="3" t="n"/>
      <c r="C405" s="4" t="n"/>
      <c r="D405" s="4" t="n"/>
      <c r="E405" s="4" t="n"/>
      <c r="F405" s="5" t="n"/>
      <c r="G405" s="6" t="n"/>
      <c r="H405" s="6">
        <f>IFERROR(F405*G405,0)</f>
        <v/>
      </c>
      <c r="I405" s="4" t="n"/>
      <c r="J405" s="4" t="n"/>
      <c r="K405" s="4" t="n"/>
      <c r="L405" s="6" t="n"/>
      <c r="M405" s="6">
        <f>H405-IFERROR(L405,0)</f>
        <v/>
      </c>
      <c r="N405" s="4" t="n"/>
    </row>
    <row r="406" ht="22" customHeight="1">
      <c r="B406" s="7" t="n"/>
      <c r="C406" s="8" t="n"/>
      <c r="D406" s="8" t="n"/>
      <c r="E406" s="8" t="n"/>
      <c r="F406" s="9" t="n"/>
      <c r="G406" s="10" t="n"/>
      <c r="H406" s="10">
        <f>IFERROR(F406*G406,0)</f>
        <v/>
      </c>
      <c r="I406" s="8" t="n"/>
      <c r="J406" s="8" t="n"/>
      <c r="K406" s="8" t="n"/>
      <c r="L406" s="10" t="n"/>
      <c r="M406" s="10">
        <f>H406-IFERROR(L406,0)</f>
        <v/>
      </c>
      <c r="N406" s="8" t="n"/>
    </row>
    <row r="407" ht="22" customHeight="1">
      <c r="B407" s="3" t="n"/>
      <c r="C407" s="4" t="n"/>
      <c r="D407" s="4" t="n"/>
      <c r="E407" s="4" t="n"/>
      <c r="F407" s="5" t="n"/>
      <c r="G407" s="6" t="n"/>
      <c r="H407" s="6">
        <f>IFERROR(F407*G407,0)</f>
        <v/>
      </c>
      <c r="I407" s="4" t="n"/>
      <c r="J407" s="4" t="n"/>
      <c r="K407" s="4" t="n"/>
      <c r="L407" s="6" t="n"/>
      <c r="M407" s="6">
        <f>H407-IFERROR(L407,0)</f>
        <v/>
      </c>
      <c r="N407" s="4" t="n"/>
    </row>
    <row r="408" ht="22" customHeight="1">
      <c r="B408" s="7" t="n"/>
      <c r="C408" s="8" t="n"/>
      <c r="D408" s="8" t="n"/>
      <c r="E408" s="8" t="n"/>
      <c r="F408" s="9" t="n"/>
      <c r="G408" s="10" t="n"/>
      <c r="H408" s="10">
        <f>IFERROR(F408*G408,0)</f>
        <v/>
      </c>
      <c r="I408" s="8" t="n"/>
      <c r="J408" s="8" t="n"/>
      <c r="K408" s="8" t="n"/>
      <c r="L408" s="10" t="n"/>
      <c r="M408" s="10">
        <f>H408-IFERROR(L408,0)</f>
        <v/>
      </c>
      <c r="N408" s="8" t="n"/>
    </row>
    <row r="409" ht="22" customHeight="1">
      <c r="B409" s="3" t="n"/>
      <c r="C409" s="4" t="n"/>
      <c r="D409" s="4" t="n"/>
      <c r="E409" s="4" t="n"/>
      <c r="F409" s="5" t="n"/>
      <c r="G409" s="6" t="n"/>
      <c r="H409" s="6">
        <f>IFERROR(F409*G409,0)</f>
        <v/>
      </c>
      <c r="I409" s="4" t="n"/>
      <c r="J409" s="4" t="n"/>
      <c r="K409" s="4" t="n"/>
      <c r="L409" s="6" t="n"/>
      <c r="M409" s="6">
        <f>H409-IFERROR(L409,0)</f>
        <v/>
      </c>
      <c r="N409" s="4" t="n"/>
    </row>
    <row r="410" ht="22" customHeight="1">
      <c r="B410" s="7" t="n"/>
      <c r="C410" s="8" t="n"/>
      <c r="D410" s="8" t="n"/>
      <c r="E410" s="8" t="n"/>
      <c r="F410" s="9" t="n"/>
      <c r="G410" s="10" t="n"/>
      <c r="H410" s="10">
        <f>IFERROR(F410*G410,0)</f>
        <v/>
      </c>
      <c r="I410" s="8" t="n"/>
      <c r="J410" s="8" t="n"/>
      <c r="K410" s="8" t="n"/>
      <c r="L410" s="10" t="n"/>
      <c r="M410" s="10">
        <f>H410-IFERROR(L410,0)</f>
        <v/>
      </c>
      <c r="N410" s="8" t="n"/>
    </row>
    <row r="411" ht="22" customHeight="1">
      <c r="B411" s="3" t="n"/>
      <c r="C411" s="4" t="n"/>
      <c r="D411" s="4" t="n"/>
      <c r="E411" s="4" t="n"/>
      <c r="F411" s="5" t="n"/>
      <c r="G411" s="6" t="n"/>
      <c r="H411" s="6">
        <f>IFERROR(F411*G411,0)</f>
        <v/>
      </c>
      <c r="I411" s="4" t="n"/>
      <c r="J411" s="4" t="n"/>
      <c r="K411" s="4" t="n"/>
      <c r="L411" s="6" t="n"/>
      <c r="M411" s="6">
        <f>H411-IFERROR(L411,0)</f>
        <v/>
      </c>
      <c r="N411" s="4" t="n"/>
    </row>
    <row r="412" ht="22" customHeight="1">
      <c r="B412" s="7" t="n"/>
      <c r="C412" s="8" t="n"/>
      <c r="D412" s="8" t="n"/>
      <c r="E412" s="8" t="n"/>
      <c r="F412" s="9" t="n"/>
      <c r="G412" s="10" t="n"/>
      <c r="H412" s="10">
        <f>IFERROR(F412*G412,0)</f>
        <v/>
      </c>
      <c r="I412" s="8" t="n"/>
      <c r="J412" s="8" t="n"/>
      <c r="K412" s="8" t="n"/>
      <c r="L412" s="10" t="n"/>
      <c r="M412" s="10">
        <f>H412-IFERROR(L412,0)</f>
        <v/>
      </c>
      <c r="N412" s="8" t="n"/>
    </row>
    <row r="413" ht="22" customHeight="1">
      <c r="B413" s="3" t="n"/>
      <c r="C413" s="4" t="n"/>
      <c r="D413" s="4" t="n"/>
      <c r="E413" s="4" t="n"/>
      <c r="F413" s="5" t="n"/>
      <c r="G413" s="6" t="n"/>
      <c r="H413" s="6">
        <f>IFERROR(F413*G413,0)</f>
        <v/>
      </c>
      <c r="I413" s="4" t="n"/>
      <c r="J413" s="4" t="n"/>
      <c r="K413" s="4" t="n"/>
      <c r="L413" s="6" t="n"/>
      <c r="M413" s="6">
        <f>H413-IFERROR(L413,0)</f>
        <v/>
      </c>
      <c r="N413" s="4" t="n"/>
    </row>
    <row r="414" ht="22" customHeight="1">
      <c r="B414" s="7" t="n"/>
      <c r="C414" s="8" t="n"/>
      <c r="D414" s="8" t="n"/>
      <c r="E414" s="8" t="n"/>
      <c r="F414" s="9" t="n"/>
      <c r="G414" s="10" t="n"/>
      <c r="H414" s="10">
        <f>IFERROR(F414*G414,0)</f>
        <v/>
      </c>
      <c r="I414" s="8" t="n"/>
      <c r="J414" s="8" t="n"/>
      <c r="K414" s="8" t="n"/>
      <c r="L414" s="10" t="n"/>
      <c r="M414" s="10">
        <f>H414-IFERROR(L414,0)</f>
        <v/>
      </c>
      <c r="N414" s="8" t="n"/>
    </row>
    <row r="415" ht="22" customHeight="1">
      <c r="B415" s="3" t="n"/>
      <c r="C415" s="4" t="n"/>
      <c r="D415" s="4" t="n"/>
      <c r="E415" s="4" t="n"/>
      <c r="F415" s="5" t="n"/>
      <c r="G415" s="6" t="n"/>
      <c r="H415" s="6">
        <f>IFERROR(F415*G415,0)</f>
        <v/>
      </c>
      <c r="I415" s="4" t="n"/>
      <c r="J415" s="4" t="n"/>
      <c r="K415" s="4" t="n"/>
      <c r="L415" s="6" t="n"/>
      <c r="M415" s="6">
        <f>H415-IFERROR(L415,0)</f>
        <v/>
      </c>
      <c r="N415" s="4" t="n"/>
    </row>
    <row r="416" ht="22" customHeight="1">
      <c r="B416" s="7" t="n"/>
      <c r="C416" s="8" t="n"/>
      <c r="D416" s="8" t="n"/>
      <c r="E416" s="8" t="n"/>
      <c r="F416" s="9" t="n"/>
      <c r="G416" s="10" t="n"/>
      <c r="H416" s="10">
        <f>IFERROR(F416*G416,0)</f>
        <v/>
      </c>
      <c r="I416" s="8" t="n"/>
      <c r="J416" s="8" t="n"/>
      <c r="K416" s="8" t="n"/>
      <c r="L416" s="10" t="n"/>
      <c r="M416" s="10">
        <f>H416-IFERROR(L416,0)</f>
        <v/>
      </c>
      <c r="N416" s="8" t="n"/>
    </row>
    <row r="417" ht="22" customHeight="1">
      <c r="B417" s="3" t="n"/>
      <c r="C417" s="4" t="n"/>
      <c r="D417" s="4" t="n"/>
      <c r="E417" s="4" t="n"/>
      <c r="F417" s="5" t="n"/>
      <c r="G417" s="6" t="n"/>
      <c r="H417" s="6">
        <f>IFERROR(F417*G417,0)</f>
        <v/>
      </c>
      <c r="I417" s="4" t="n"/>
      <c r="J417" s="4" t="n"/>
      <c r="K417" s="4" t="n"/>
      <c r="L417" s="6" t="n"/>
      <c r="M417" s="6">
        <f>H417-IFERROR(L417,0)</f>
        <v/>
      </c>
      <c r="N417" s="4" t="n"/>
    </row>
    <row r="418" ht="22" customHeight="1">
      <c r="B418" s="7" t="n"/>
      <c r="C418" s="8" t="n"/>
      <c r="D418" s="8" t="n"/>
      <c r="E418" s="8" t="n"/>
      <c r="F418" s="9" t="n"/>
      <c r="G418" s="10" t="n"/>
      <c r="H418" s="10">
        <f>IFERROR(F418*G418,0)</f>
        <v/>
      </c>
      <c r="I418" s="8" t="n"/>
      <c r="J418" s="8" t="n"/>
      <c r="K418" s="8" t="n"/>
      <c r="L418" s="10" t="n"/>
      <c r="M418" s="10">
        <f>H418-IFERROR(L418,0)</f>
        <v/>
      </c>
      <c r="N418" s="8" t="n"/>
    </row>
    <row r="419" ht="22" customHeight="1">
      <c r="B419" s="3" t="n"/>
      <c r="C419" s="4" t="n"/>
      <c r="D419" s="4" t="n"/>
      <c r="E419" s="4" t="n"/>
      <c r="F419" s="5" t="n"/>
      <c r="G419" s="6" t="n"/>
      <c r="H419" s="6">
        <f>IFERROR(F419*G419,0)</f>
        <v/>
      </c>
      <c r="I419" s="4" t="n"/>
      <c r="J419" s="4" t="n"/>
      <c r="K419" s="4" t="n"/>
      <c r="L419" s="6" t="n"/>
      <c r="M419" s="6">
        <f>H419-IFERROR(L419,0)</f>
        <v/>
      </c>
      <c r="N419" s="4" t="n"/>
    </row>
    <row r="420" ht="22" customHeight="1">
      <c r="B420" s="7" t="n"/>
      <c r="C420" s="8" t="n"/>
      <c r="D420" s="8" t="n"/>
      <c r="E420" s="8" t="n"/>
      <c r="F420" s="9" t="n"/>
      <c r="G420" s="10" t="n"/>
      <c r="H420" s="10">
        <f>IFERROR(F420*G420,0)</f>
        <v/>
      </c>
      <c r="I420" s="8" t="n"/>
      <c r="J420" s="8" t="n"/>
      <c r="K420" s="8" t="n"/>
      <c r="L420" s="10" t="n"/>
      <c r="M420" s="10">
        <f>H420-IFERROR(L420,0)</f>
        <v/>
      </c>
      <c r="N420" s="8" t="n"/>
    </row>
    <row r="421" ht="22" customHeight="1">
      <c r="B421" s="3" t="n"/>
      <c r="C421" s="4" t="n"/>
      <c r="D421" s="4" t="n"/>
      <c r="E421" s="4" t="n"/>
      <c r="F421" s="5" t="n"/>
      <c r="G421" s="6" t="n"/>
      <c r="H421" s="6">
        <f>IFERROR(F421*G421,0)</f>
        <v/>
      </c>
      <c r="I421" s="4" t="n"/>
      <c r="J421" s="4" t="n"/>
      <c r="K421" s="4" t="n"/>
      <c r="L421" s="6" t="n"/>
      <c r="M421" s="6">
        <f>H421-IFERROR(L421,0)</f>
        <v/>
      </c>
      <c r="N421" s="4" t="n"/>
    </row>
    <row r="422" ht="22" customHeight="1">
      <c r="B422" s="7" t="n"/>
      <c r="C422" s="8" t="n"/>
      <c r="D422" s="8" t="n"/>
      <c r="E422" s="8" t="n"/>
      <c r="F422" s="9" t="n"/>
      <c r="G422" s="10" t="n"/>
      <c r="H422" s="10">
        <f>IFERROR(F422*G422,0)</f>
        <v/>
      </c>
      <c r="I422" s="8" t="n"/>
      <c r="J422" s="8" t="n"/>
      <c r="K422" s="8" t="n"/>
      <c r="L422" s="10" t="n"/>
      <c r="M422" s="10">
        <f>H422-IFERROR(L422,0)</f>
        <v/>
      </c>
      <c r="N422" s="8" t="n"/>
    </row>
    <row r="423" ht="22" customHeight="1">
      <c r="B423" s="3" t="n"/>
      <c r="C423" s="4" t="n"/>
      <c r="D423" s="4" t="n"/>
      <c r="E423" s="4" t="n"/>
      <c r="F423" s="5" t="n"/>
      <c r="G423" s="6" t="n"/>
      <c r="H423" s="6">
        <f>IFERROR(F423*G423,0)</f>
        <v/>
      </c>
      <c r="I423" s="4" t="n"/>
      <c r="J423" s="4" t="n"/>
      <c r="K423" s="4" t="n"/>
      <c r="L423" s="6" t="n"/>
      <c r="M423" s="6">
        <f>H423-IFERROR(L423,0)</f>
        <v/>
      </c>
      <c r="N423" s="4" t="n"/>
    </row>
    <row r="424" ht="22" customHeight="1">
      <c r="B424" s="7" t="n"/>
      <c r="C424" s="8" t="n"/>
      <c r="D424" s="8" t="n"/>
      <c r="E424" s="8" t="n"/>
      <c r="F424" s="9" t="n"/>
      <c r="G424" s="10" t="n"/>
      <c r="H424" s="10">
        <f>IFERROR(F424*G424,0)</f>
        <v/>
      </c>
      <c r="I424" s="8" t="n"/>
      <c r="J424" s="8" t="n"/>
      <c r="K424" s="8" t="n"/>
      <c r="L424" s="10" t="n"/>
      <c r="M424" s="10">
        <f>H424-IFERROR(L424,0)</f>
        <v/>
      </c>
      <c r="N424" s="8" t="n"/>
    </row>
    <row r="425" ht="22" customHeight="1">
      <c r="B425" s="3" t="n"/>
      <c r="C425" s="4" t="n"/>
      <c r="D425" s="4" t="n"/>
      <c r="E425" s="4" t="n"/>
      <c r="F425" s="5" t="n"/>
      <c r="G425" s="6" t="n"/>
      <c r="H425" s="6">
        <f>IFERROR(F425*G425,0)</f>
        <v/>
      </c>
      <c r="I425" s="4" t="n"/>
      <c r="J425" s="4" t="n"/>
      <c r="K425" s="4" t="n"/>
      <c r="L425" s="6" t="n"/>
      <c r="M425" s="6">
        <f>H425-IFERROR(L425,0)</f>
        <v/>
      </c>
      <c r="N425" s="4" t="n"/>
    </row>
    <row r="426" ht="22" customHeight="1">
      <c r="B426" s="7" t="n"/>
      <c r="C426" s="8" t="n"/>
      <c r="D426" s="8" t="n"/>
      <c r="E426" s="8" t="n"/>
      <c r="F426" s="9" t="n"/>
      <c r="G426" s="10" t="n"/>
      <c r="H426" s="10">
        <f>IFERROR(F426*G426,0)</f>
        <v/>
      </c>
      <c r="I426" s="8" t="n"/>
      <c r="J426" s="8" t="n"/>
      <c r="K426" s="8" t="n"/>
      <c r="L426" s="10" t="n"/>
      <c r="M426" s="10">
        <f>H426-IFERROR(L426,0)</f>
        <v/>
      </c>
      <c r="N426" s="8" t="n"/>
    </row>
    <row r="427" ht="22" customHeight="1">
      <c r="B427" s="3" t="n"/>
      <c r="C427" s="4" t="n"/>
      <c r="D427" s="4" t="n"/>
      <c r="E427" s="4" t="n"/>
      <c r="F427" s="5" t="n"/>
      <c r="G427" s="6" t="n"/>
      <c r="H427" s="6">
        <f>IFERROR(F427*G427,0)</f>
        <v/>
      </c>
      <c r="I427" s="4" t="n"/>
      <c r="J427" s="4" t="n"/>
      <c r="K427" s="4" t="n"/>
      <c r="L427" s="6" t="n"/>
      <c r="M427" s="6">
        <f>H427-IFERROR(L427,0)</f>
        <v/>
      </c>
      <c r="N427" s="4" t="n"/>
    </row>
    <row r="428" ht="22" customHeight="1">
      <c r="B428" s="7" t="n"/>
      <c r="C428" s="8" t="n"/>
      <c r="D428" s="8" t="n"/>
      <c r="E428" s="8" t="n"/>
      <c r="F428" s="9" t="n"/>
      <c r="G428" s="10" t="n"/>
      <c r="H428" s="10">
        <f>IFERROR(F428*G428,0)</f>
        <v/>
      </c>
      <c r="I428" s="8" t="n"/>
      <c r="J428" s="8" t="n"/>
      <c r="K428" s="8" t="n"/>
      <c r="L428" s="10" t="n"/>
      <c r="M428" s="10">
        <f>H428-IFERROR(L428,0)</f>
        <v/>
      </c>
      <c r="N428" s="8" t="n"/>
    </row>
    <row r="429" ht="22" customHeight="1">
      <c r="B429" s="3" t="n"/>
      <c r="C429" s="4" t="n"/>
      <c r="D429" s="4" t="n"/>
      <c r="E429" s="4" t="n"/>
      <c r="F429" s="5" t="n"/>
      <c r="G429" s="6" t="n"/>
      <c r="H429" s="6">
        <f>IFERROR(F429*G429,0)</f>
        <v/>
      </c>
      <c r="I429" s="4" t="n"/>
      <c r="J429" s="4" t="n"/>
      <c r="K429" s="4" t="n"/>
      <c r="L429" s="6" t="n"/>
      <c r="M429" s="6">
        <f>H429-IFERROR(L429,0)</f>
        <v/>
      </c>
      <c r="N429" s="4" t="n"/>
    </row>
    <row r="430" ht="22" customHeight="1">
      <c r="B430" s="7" t="n"/>
      <c r="C430" s="8" t="n"/>
      <c r="D430" s="8" t="n"/>
      <c r="E430" s="8" t="n"/>
      <c r="F430" s="9" t="n"/>
      <c r="G430" s="10" t="n"/>
      <c r="H430" s="10">
        <f>IFERROR(F430*G430,0)</f>
        <v/>
      </c>
      <c r="I430" s="8" t="n"/>
      <c r="J430" s="8" t="n"/>
      <c r="K430" s="8" t="n"/>
      <c r="L430" s="10" t="n"/>
      <c r="M430" s="10">
        <f>H430-IFERROR(L430,0)</f>
        <v/>
      </c>
      <c r="N430" s="8" t="n"/>
    </row>
    <row r="431" ht="22" customHeight="1">
      <c r="B431" s="3" t="n"/>
      <c r="C431" s="4" t="n"/>
      <c r="D431" s="4" t="n"/>
      <c r="E431" s="4" t="n"/>
      <c r="F431" s="5" t="n"/>
      <c r="G431" s="6" t="n"/>
      <c r="H431" s="6">
        <f>IFERROR(F431*G431,0)</f>
        <v/>
      </c>
      <c r="I431" s="4" t="n"/>
      <c r="J431" s="4" t="n"/>
      <c r="K431" s="4" t="n"/>
      <c r="L431" s="6" t="n"/>
      <c r="M431" s="6">
        <f>H431-IFERROR(L431,0)</f>
        <v/>
      </c>
      <c r="N431" s="4" t="n"/>
    </row>
    <row r="432" ht="22" customHeight="1">
      <c r="B432" s="7" t="n"/>
      <c r="C432" s="8" t="n"/>
      <c r="D432" s="8" t="n"/>
      <c r="E432" s="8" t="n"/>
      <c r="F432" s="9" t="n"/>
      <c r="G432" s="10" t="n"/>
      <c r="H432" s="10">
        <f>IFERROR(F432*G432,0)</f>
        <v/>
      </c>
      <c r="I432" s="8" t="n"/>
      <c r="J432" s="8" t="n"/>
      <c r="K432" s="8" t="n"/>
      <c r="L432" s="10" t="n"/>
      <c r="M432" s="10">
        <f>H432-IFERROR(L432,0)</f>
        <v/>
      </c>
      <c r="N432" s="8" t="n"/>
    </row>
    <row r="433" ht="22" customHeight="1">
      <c r="B433" s="3" t="n"/>
      <c r="C433" s="4" t="n"/>
      <c r="D433" s="4" t="n"/>
      <c r="E433" s="4" t="n"/>
      <c r="F433" s="5" t="n"/>
      <c r="G433" s="6" t="n"/>
      <c r="H433" s="6">
        <f>IFERROR(F433*G433,0)</f>
        <v/>
      </c>
      <c r="I433" s="4" t="n"/>
      <c r="J433" s="4" t="n"/>
      <c r="K433" s="4" t="n"/>
      <c r="L433" s="6" t="n"/>
      <c r="M433" s="6">
        <f>H433-IFERROR(L433,0)</f>
        <v/>
      </c>
      <c r="N433" s="4" t="n"/>
    </row>
    <row r="434" ht="22" customHeight="1">
      <c r="B434" s="7" t="n"/>
      <c r="C434" s="8" t="n"/>
      <c r="D434" s="8" t="n"/>
      <c r="E434" s="8" t="n"/>
      <c r="F434" s="9" t="n"/>
      <c r="G434" s="10" t="n"/>
      <c r="H434" s="10">
        <f>IFERROR(F434*G434,0)</f>
        <v/>
      </c>
      <c r="I434" s="8" t="n"/>
      <c r="J434" s="8" t="n"/>
      <c r="K434" s="8" t="n"/>
      <c r="L434" s="10" t="n"/>
      <c r="M434" s="10">
        <f>H434-IFERROR(L434,0)</f>
        <v/>
      </c>
      <c r="N434" s="8" t="n"/>
    </row>
    <row r="435" ht="22" customHeight="1">
      <c r="B435" s="3" t="n"/>
      <c r="C435" s="4" t="n"/>
      <c r="D435" s="4" t="n"/>
      <c r="E435" s="4" t="n"/>
      <c r="F435" s="5" t="n"/>
      <c r="G435" s="6" t="n"/>
      <c r="H435" s="6">
        <f>IFERROR(F435*G435,0)</f>
        <v/>
      </c>
      <c r="I435" s="4" t="n"/>
      <c r="J435" s="4" t="n"/>
      <c r="K435" s="4" t="n"/>
      <c r="L435" s="6" t="n"/>
      <c r="M435" s="6">
        <f>H435-IFERROR(L435,0)</f>
        <v/>
      </c>
      <c r="N435" s="4" t="n"/>
    </row>
    <row r="436" ht="22" customHeight="1">
      <c r="B436" s="7" t="n"/>
      <c r="C436" s="8" t="n"/>
      <c r="D436" s="8" t="n"/>
      <c r="E436" s="8" t="n"/>
      <c r="F436" s="9" t="n"/>
      <c r="G436" s="10" t="n"/>
      <c r="H436" s="10">
        <f>IFERROR(F436*G436,0)</f>
        <v/>
      </c>
      <c r="I436" s="8" t="n"/>
      <c r="J436" s="8" t="n"/>
      <c r="K436" s="8" t="n"/>
      <c r="L436" s="10" t="n"/>
      <c r="M436" s="10">
        <f>H436-IFERROR(L436,0)</f>
        <v/>
      </c>
      <c r="N436" s="8" t="n"/>
    </row>
    <row r="437" ht="22" customHeight="1">
      <c r="B437" s="3" t="n"/>
      <c r="C437" s="4" t="n"/>
      <c r="D437" s="4" t="n"/>
      <c r="E437" s="4" t="n"/>
      <c r="F437" s="5" t="n"/>
      <c r="G437" s="6" t="n"/>
      <c r="H437" s="6">
        <f>IFERROR(F437*G437,0)</f>
        <v/>
      </c>
      <c r="I437" s="4" t="n"/>
      <c r="J437" s="4" t="n"/>
      <c r="K437" s="4" t="n"/>
      <c r="L437" s="6" t="n"/>
      <c r="M437" s="6">
        <f>H437-IFERROR(L437,0)</f>
        <v/>
      </c>
      <c r="N437" s="4" t="n"/>
    </row>
    <row r="438" ht="22" customHeight="1">
      <c r="B438" s="7" t="n"/>
      <c r="C438" s="8" t="n"/>
      <c r="D438" s="8" t="n"/>
      <c r="E438" s="8" t="n"/>
      <c r="F438" s="9" t="n"/>
      <c r="G438" s="10" t="n"/>
      <c r="H438" s="10">
        <f>IFERROR(F438*G438,0)</f>
        <v/>
      </c>
      <c r="I438" s="8" t="n"/>
      <c r="J438" s="8" t="n"/>
      <c r="K438" s="8" t="n"/>
      <c r="L438" s="10" t="n"/>
      <c r="M438" s="10">
        <f>H438-IFERROR(L438,0)</f>
        <v/>
      </c>
      <c r="N438" s="8" t="n"/>
    </row>
    <row r="439" ht="22" customHeight="1">
      <c r="B439" s="3" t="n"/>
      <c r="C439" s="4" t="n"/>
      <c r="D439" s="4" t="n"/>
      <c r="E439" s="4" t="n"/>
      <c r="F439" s="5" t="n"/>
      <c r="G439" s="6" t="n"/>
      <c r="H439" s="6">
        <f>IFERROR(F439*G439,0)</f>
        <v/>
      </c>
      <c r="I439" s="4" t="n"/>
      <c r="J439" s="4" t="n"/>
      <c r="K439" s="4" t="n"/>
      <c r="L439" s="6" t="n"/>
      <c r="M439" s="6">
        <f>H439-IFERROR(L439,0)</f>
        <v/>
      </c>
      <c r="N439" s="4" t="n"/>
    </row>
    <row r="440" ht="22" customHeight="1">
      <c r="B440" s="7" t="n"/>
      <c r="C440" s="8" t="n"/>
      <c r="D440" s="8" t="n"/>
      <c r="E440" s="8" t="n"/>
      <c r="F440" s="9" t="n"/>
      <c r="G440" s="10" t="n"/>
      <c r="H440" s="10">
        <f>IFERROR(F440*G440,0)</f>
        <v/>
      </c>
      <c r="I440" s="8" t="n"/>
      <c r="J440" s="8" t="n"/>
      <c r="K440" s="8" t="n"/>
      <c r="L440" s="10" t="n"/>
      <c r="M440" s="10">
        <f>H440-IFERROR(L440,0)</f>
        <v/>
      </c>
      <c r="N440" s="8" t="n"/>
    </row>
    <row r="441" ht="22" customHeight="1">
      <c r="B441" s="3" t="n"/>
      <c r="C441" s="4" t="n"/>
      <c r="D441" s="4" t="n"/>
      <c r="E441" s="4" t="n"/>
      <c r="F441" s="5" t="n"/>
      <c r="G441" s="6" t="n"/>
      <c r="H441" s="6">
        <f>IFERROR(F441*G441,0)</f>
        <v/>
      </c>
      <c r="I441" s="4" t="n"/>
      <c r="J441" s="4" t="n"/>
      <c r="K441" s="4" t="n"/>
      <c r="L441" s="6" t="n"/>
      <c r="M441" s="6">
        <f>H441-IFERROR(L441,0)</f>
        <v/>
      </c>
      <c r="N441" s="4" t="n"/>
    </row>
    <row r="442" ht="22" customHeight="1">
      <c r="B442" s="7" t="n"/>
      <c r="C442" s="8" t="n"/>
      <c r="D442" s="8" t="n"/>
      <c r="E442" s="8" t="n"/>
      <c r="F442" s="9" t="n"/>
      <c r="G442" s="10" t="n"/>
      <c r="H442" s="10">
        <f>IFERROR(F442*G442,0)</f>
        <v/>
      </c>
      <c r="I442" s="8" t="n"/>
      <c r="J442" s="8" t="n"/>
      <c r="K442" s="8" t="n"/>
      <c r="L442" s="10" t="n"/>
      <c r="M442" s="10">
        <f>H442-IFERROR(L442,0)</f>
        <v/>
      </c>
      <c r="N442" s="8" t="n"/>
    </row>
    <row r="443" ht="22" customHeight="1">
      <c r="B443" s="3" t="n"/>
      <c r="C443" s="4" t="n"/>
      <c r="D443" s="4" t="n"/>
      <c r="E443" s="4" t="n"/>
      <c r="F443" s="5" t="n"/>
      <c r="G443" s="6" t="n"/>
      <c r="H443" s="6">
        <f>IFERROR(F443*G443,0)</f>
        <v/>
      </c>
      <c r="I443" s="4" t="n"/>
      <c r="J443" s="4" t="n"/>
      <c r="K443" s="4" t="n"/>
      <c r="L443" s="6" t="n"/>
      <c r="M443" s="6">
        <f>H443-IFERROR(L443,0)</f>
        <v/>
      </c>
      <c r="N443" s="4" t="n"/>
    </row>
    <row r="444" ht="22" customHeight="1">
      <c r="B444" s="7" t="n"/>
      <c r="C444" s="8" t="n"/>
      <c r="D444" s="8" t="n"/>
      <c r="E444" s="8" t="n"/>
      <c r="F444" s="9" t="n"/>
      <c r="G444" s="10" t="n"/>
      <c r="H444" s="10">
        <f>IFERROR(F444*G444,0)</f>
        <v/>
      </c>
      <c r="I444" s="8" t="n"/>
      <c r="J444" s="8" t="n"/>
      <c r="K444" s="8" t="n"/>
      <c r="L444" s="10" t="n"/>
      <c r="M444" s="10">
        <f>H444-IFERROR(L444,0)</f>
        <v/>
      </c>
      <c r="N444" s="8" t="n"/>
    </row>
    <row r="445" ht="22" customHeight="1">
      <c r="B445" s="3" t="n"/>
      <c r="C445" s="4" t="n"/>
      <c r="D445" s="4" t="n"/>
      <c r="E445" s="4" t="n"/>
      <c r="F445" s="5" t="n"/>
      <c r="G445" s="6" t="n"/>
      <c r="H445" s="6">
        <f>IFERROR(F445*G445,0)</f>
        <v/>
      </c>
      <c r="I445" s="4" t="n"/>
      <c r="J445" s="4" t="n"/>
      <c r="K445" s="4" t="n"/>
      <c r="L445" s="6" t="n"/>
      <c r="M445" s="6">
        <f>H445-IFERROR(L445,0)</f>
        <v/>
      </c>
      <c r="N445" s="4" t="n"/>
    </row>
    <row r="446" ht="22" customHeight="1">
      <c r="B446" s="7" t="n"/>
      <c r="C446" s="8" t="n"/>
      <c r="D446" s="8" t="n"/>
      <c r="E446" s="8" t="n"/>
      <c r="F446" s="9" t="n"/>
      <c r="G446" s="10" t="n"/>
      <c r="H446" s="10">
        <f>IFERROR(F446*G446,0)</f>
        <v/>
      </c>
      <c r="I446" s="8" t="n"/>
      <c r="J446" s="8" t="n"/>
      <c r="K446" s="8" t="n"/>
      <c r="L446" s="10" t="n"/>
      <c r="M446" s="10">
        <f>H446-IFERROR(L446,0)</f>
        <v/>
      </c>
      <c r="N446" s="8" t="n"/>
    </row>
    <row r="447" ht="22" customHeight="1">
      <c r="B447" s="3" t="n"/>
      <c r="C447" s="4" t="n"/>
      <c r="D447" s="4" t="n"/>
      <c r="E447" s="4" t="n"/>
      <c r="F447" s="5" t="n"/>
      <c r="G447" s="6" t="n"/>
      <c r="H447" s="6">
        <f>IFERROR(F447*G447,0)</f>
        <v/>
      </c>
      <c r="I447" s="4" t="n"/>
      <c r="J447" s="4" t="n"/>
      <c r="K447" s="4" t="n"/>
      <c r="L447" s="6" t="n"/>
      <c r="M447" s="6">
        <f>H447-IFERROR(L447,0)</f>
        <v/>
      </c>
      <c r="N447" s="4" t="n"/>
    </row>
    <row r="448" ht="22" customHeight="1">
      <c r="B448" s="7" t="n"/>
      <c r="C448" s="8" t="n"/>
      <c r="D448" s="8" t="n"/>
      <c r="E448" s="8" t="n"/>
      <c r="F448" s="9" t="n"/>
      <c r="G448" s="10" t="n"/>
      <c r="H448" s="10">
        <f>IFERROR(F448*G448,0)</f>
        <v/>
      </c>
      <c r="I448" s="8" t="n"/>
      <c r="J448" s="8" t="n"/>
      <c r="K448" s="8" t="n"/>
      <c r="L448" s="10" t="n"/>
      <c r="M448" s="10">
        <f>H448-IFERROR(L448,0)</f>
        <v/>
      </c>
      <c r="N448" s="8" t="n"/>
    </row>
    <row r="449" ht="22" customHeight="1">
      <c r="B449" s="3" t="n"/>
      <c r="C449" s="4" t="n"/>
      <c r="D449" s="4" t="n"/>
      <c r="E449" s="4" t="n"/>
      <c r="F449" s="5" t="n"/>
      <c r="G449" s="6" t="n"/>
      <c r="H449" s="6">
        <f>IFERROR(F449*G449,0)</f>
        <v/>
      </c>
      <c r="I449" s="4" t="n"/>
      <c r="J449" s="4" t="n"/>
      <c r="K449" s="4" t="n"/>
      <c r="L449" s="6" t="n"/>
      <c r="M449" s="6">
        <f>H449-IFERROR(L449,0)</f>
        <v/>
      </c>
      <c r="N449" s="4" t="n"/>
    </row>
    <row r="450" ht="22" customHeight="1">
      <c r="B450" s="7" t="n"/>
      <c r="C450" s="8" t="n"/>
      <c r="D450" s="8" t="n"/>
      <c r="E450" s="8" t="n"/>
      <c r="F450" s="9" t="n"/>
      <c r="G450" s="10" t="n"/>
      <c r="H450" s="10">
        <f>IFERROR(F450*G450,0)</f>
        <v/>
      </c>
      <c r="I450" s="8" t="n"/>
      <c r="J450" s="8" t="n"/>
      <c r="K450" s="8" t="n"/>
      <c r="L450" s="10" t="n"/>
      <c r="M450" s="10">
        <f>H450-IFERROR(L450,0)</f>
        <v/>
      </c>
      <c r="N450" s="8" t="n"/>
    </row>
    <row r="451" ht="22" customHeight="1">
      <c r="B451" s="3" t="n"/>
      <c r="C451" s="4" t="n"/>
      <c r="D451" s="4" t="n"/>
      <c r="E451" s="4" t="n"/>
      <c r="F451" s="5" t="n"/>
      <c r="G451" s="6" t="n"/>
      <c r="H451" s="6">
        <f>IFERROR(F451*G451,0)</f>
        <v/>
      </c>
      <c r="I451" s="4" t="n"/>
      <c r="J451" s="4" t="n"/>
      <c r="K451" s="4" t="n"/>
      <c r="L451" s="6" t="n"/>
      <c r="M451" s="6">
        <f>H451-IFERROR(L451,0)</f>
        <v/>
      </c>
      <c r="N451" s="4" t="n"/>
    </row>
    <row r="452" ht="22" customHeight="1">
      <c r="B452" s="7" t="n"/>
      <c r="C452" s="8" t="n"/>
      <c r="D452" s="8" t="n"/>
      <c r="E452" s="8" t="n"/>
      <c r="F452" s="9" t="n"/>
      <c r="G452" s="10" t="n"/>
      <c r="H452" s="10">
        <f>IFERROR(F452*G452,0)</f>
        <v/>
      </c>
      <c r="I452" s="8" t="n"/>
      <c r="J452" s="8" t="n"/>
      <c r="K452" s="8" t="n"/>
      <c r="L452" s="10" t="n"/>
      <c r="M452" s="10">
        <f>H452-IFERROR(L452,0)</f>
        <v/>
      </c>
      <c r="N452" s="8" t="n"/>
    </row>
    <row r="453" ht="22" customHeight="1">
      <c r="B453" s="3" t="n"/>
      <c r="C453" s="4" t="n"/>
      <c r="D453" s="4" t="n"/>
      <c r="E453" s="4" t="n"/>
      <c r="F453" s="5" t="n"/>
      <c r="G453" s="6" t="n"/>
      <c r="H453" s="6">
        <f>IFERROR(F453*G453,0)</f>
        <v/>
      </c>
      <c r="I453" s="4" t="n"/>
      <c r="J453" s="4" t="n"/>
      <c r="K453" s="4" t="n"/>
      <c r="L453" s="6" t="n"/>
      <c r="M453" s="6">
        <f>H453-IFERROR(L453,0)</f>
        <v/>
      </c>
      <c r="N453" s="4" t="n"/>
    </row>
    <row r="454" ht="22" customHeight="1">
      <c r="B454" s="7" t="n"/>
      <c r="C454" s="8" t="n"/>
      <c r="D454" s="8" t="n"/>
      <c r="E454" s="8" t="n"/>
      <c r="F454" s="9" t="n"/>
      <c r="G454" s="10" t="n"/>
      <c r="H454" s="10">
        <f>IFERROR(F454*G454,0)</f>
        <v/>
      </c>
      <c r="I454" s="8" t="n"/>
      <c r="J454" s="8" t="n"/>
      <c r="K454" s="8" t="n"/>
      <c r="L454" s="10" t="n"/>
      <c r="M454" s="10">
        <f>H454-IFERROR(L454,0)</f>
        <v/>
      </c>
      <c r="N454" s="8" t="n"/>
    </row>
    <row r="455" ht="22" customHeight="1">
      <c r="B455" s="3" t="n"/>
      <c r="C455" s="4" t="n"/>
      <c r="D455" s="4" t="n"/>
      <c r="E455" s="4" t="n"/>
      <c r="F455" s="5" t="n"/>
      <c r="G455" s="6" t="n"/>
      <c r="H455" s="6">
        <f>IFERROR(F455*G455,0)</f>
        <v/>
      </c>
      <c r="I455" s="4" t="n"/>
      <c r="J455" s="4" t="n"/>
      <c r="K455" s="4" t="n"/>
      <c r="L455" s="6" t="n"/>
      <c r="M455" s="6">
        <f>H455-IFERROR(L455,0)</f>
        <v/>
      </c>
      <c r="N455" s="4" t="n"/>
    </row>
    <row r="456" ht="22" customHeight="1">
      <c r="B456" s="7" t="n"/>
      <c r="C456" s="8" t="n"/>
      <c r="D456" s="8" t="n"/>
      <c r="E456" s="8" t="n"/>
      <c r="F456" s="9" t="n"/>
      <c r="G456" s="10" t="n"/>
      <c r="H456" s="10">
        <f>IFERROR(F456*G456,0)</f>
        <v/>
      </c>
      <c r="I456" s="8" t="n"/>
      <c r="J456" s="8" t="n"/>
      <c r="K456" s="8" t="n"/>
      <c r="L456" s="10" t="n"/>
      <c r="M456" s="10">
        <f>H456-IFERROR(L456,0)</f>
        <v/>
      </c>
      <c r="N456" s="8" t="n"/>
    </row>
    <row r="457" ht="22" customHeight="1">
      <c r="B457" s="3" t="n"/>
      <c r="C457" s="4" t="n"/>
      <c r="D457" s="4" t="n"/>
      <c r="E457" s="4" t="n"/>
      <c r="F457" s="5" t="n"/>
      <c r="G457" s="6" t="n"/>
      <c r="H457" s="6">
        <f>IFERROR(F457*G457,0)</f>
        <v/>
      </c>
      <c r="I457" s="4" t="n"/>
      <c r="J457" s="4" t="n"/>
      <c r="K457" s="4" t="n"/>
      <c r="L457" s="6" t="n"/>
      <c r="M457" s="6">
        <f>H457-IFERROR(L457,0)</f>
        <v/>
      </c>
      <c r="N457" s="4" t="n"/>
    </row>
    <row r="458" ht="22" customHeight="1">
      <c r="B458" s="7" t="n"/>
      <c r="C458" s="8" t="n"/>
      <c r="D458" s="8" t="n"/>
      <c r="E458" s="8" t="n"/>
      <c r="F458" s="9" t="n"/>
      <c r="G458" s="10" t="n"/>
      <c r="H458" s="10">
        <f>IFERROR(F458*G458,0)</f>
        <v/>
      </c>
      <c r="I458" s="8" t="n"/>
      <c r="J458" s="8" t="n"/>
      <c r="K458" s="8" t="n"/>
      <c r="L458" s="10" t="n"/>
      <c r="M458" s="10">
        <f>H458-IFERROR(L458,0)</f>
        <v/>
      </c>
      <c r="N458" s="8" t="n"/>
    </row>
    <row r="459" ht="22" customHeight="1">
      <c r="B459" s="3" t="n"/>
      <c r="C459" s="4" t="n"/>
      <c r="D459" s="4" t="n"/>
      <c r="E459" s="4" t="n"/>
      <c r="F459" s="5" t="n"/>
      <c r="G459" s="6" t="n"/>
      <c r="H459" s="6">
        <f>IFERROR(F459*G459,0)</f>
        <v/>
      </c>
      <c r="I459" s="4" t="n"/>
      <c r="J459" s="4" t="n"/>
      <c r="K459" s="4" t="n"/>
      <c r="L459" s="6" t="n"/>
      <c r="M459" s="6">
        <f>H459-IFERROR(L459,0)</f>
        <v/>
      </c>
      <c r="N459" s="4" t="n"/>
    </row>
    <row r="460" ht="22" customHeight="1">
      <c r="B460" s="7" t="n"/>
      <c r="C460" s="8" t="n"/>
      <c r="D460" s="8" t="n"/>
      <c r="E460" s="8" t="n"/>
      <c r="F460" s="9" t="n"/>
      <c r="G460" s="10" t="n"/>
      <c r="H460" s="10">
        <f>IFERROR(F460*G460,0)</f>
        <v/>
      </c>
      <c r="I460" s="8" t="n"/>
      <c r="J460" s="8" t="n"/>
      <c r="K460" s="8" t="n"/>
      <c r="L460" s="10" t="n"/>
      <c r="M460" s="10">
        <f>H460-IFERROR(L460,0)</f>
        <v/>
      </c>
      <c r="N460" s="8" t="n"/>
    </row>
    <row r="461" ht="22" customHeight="1">
      <c r="B461" s="3" t="n"/>
      <c r="C461" s="4" t="n"/>
      <c r="D461" s="4" t="n"/>
      <c r="E461" s="4" t="n"/>
      <c r="F461" s="5" t="n"/>
      <c r="G461" s="6" t="n"/>
      <c r="H461" s="6">
        <f>IFERROR(F461*G461,0)</f>
        <v/>
      </c>
      <c r="I461" s="4" t="n"/>
      <c r="J461" s="4" t="n"/>
      <c r="K461" s="4" t="n"/>
      <c r="L461" s="6" t="n"/>
      <c r="M461" s="6">
        <f>H461-IFERROR(L461,0)</f>
        <v/>
      </c>
      <c r="N461" s="4" t="n"/>
    </row>
    <row r="462" ht="22" customHeight="1">
      <c r="B462" s="7" t="n"/>
      <c r="C462" s="8" t="n"/>
      <c r="D462" s="8" t="n"/>
      <c r="E462" s="8" t="n"/>
      <c r="F462" s="9" t="n"/>
      <c r="G462" s="10" t="n"/>
      <c r="H462" s="10">
        <f>IFERROR(F462*G462,0)</f>
        <v/>
      </c>
      <c r="I462" s="8" t="n"/>
      <c r="J462" s="8" t="n"/>
      <c r="K462" s="8" t="n"/>
      <c r="L462" s="10" t="n"/>
      <c r="M462" s="10">
        <f>H462-IFERROR(L462,0)</f>
        <v/>
      </c>
      <c r="N462" s="8" t="n"/>
    </row>
    <row r="463" ht="22" customHeight="1">
      <c r="B463" s="3" t="n"/>
      <c r="C463" s="4" t="n"/>
      <c r="D463" s="4" t="n"/>
      <c r="E463" s="4" t="n"/>
      <c r="F463" s="5" t="n"/>
      <c r="G463" s="6" t="n"/>
      <c r="H463" s="6">
        <f>IFERROR(F463*G463,0)</f>
        <v/>
      </c>
      <c r="I463" s="4" t="n"/>
      <c r="J463" s="4" t="n"/>
      <c r="K463" s="4" t="n"/>
      <c r="L463" s="6" t="n"/>
      <c r="M463" s="6">
        <f>H463-IFERROR(L463,0)</f>
        <v/>
      </c>
      <c r="N463" s="4" t="n"/>
    </row>
    <row r="464" ht="22" customHeight="1">
      <c r="B464" s="7" t="n"/>
      <c r="C464" s="8" t="n"/>
      <c r="D464" s="8" t="n"/>
      <c r="E464" s="8" t="n"/>
      <c r="F464" s="9" t="n"/>
      <c r="G464" s="10" t="n"/>
      <c r="H464" s="10">
        <f>IFERROR(F464*G464,0)</f>
        <v/>
      </c>
      <c r="I464" s="8" t="n"/>
      <c r="J464" s="8" t="n"/>
      <c r="K464" s="8" t="n"/>
      <c r="L464" s="10" t="n"/>
      <c r="M464" s="10">
        <f>H464-IFERROR(L464,0)</f>
        <v/>
      </c>
      <c r="N464" s="8" t="n"/>
    </row>
    <row r="465" ht="22" customHeight="1">
      <c r="B465" s="3" t="n"/>
      <c r="C465" s="4" t="n"/>
      <c r="D465" s="4" t="n"/>
      <c r="E465" s="4" t="n"/>
      <c r="F465" s="5" t="n"/>
      <c r="G465" s="6" t="n"/>
      <c r="H465" s="6">
        <f>IFERROR(F465*G465,0)</f>
        <v/>
      </c>
      <c r="I465" s="4" t="n"/>
      <c r="J465" s="4" t="n"/>
      <c r="K465" s="4" t="n"/>
      <c r="L465" s="6" t="n"/>
      <c r="M465" s="6">
        <f>H465-IFERROR(L465,0)</f>
        <v/>
      </c>
      <c r="N465" s="4" t="n"/>
    </row>
    <row r="466" ht="22" customHeight="1">
      <c r="B466" s="7" t="n"/>
      <c r="C466" s="8" t="n"/>
      <c r="D466" s="8" t="n"/>
      <c r="E466" s="8" t="n"/>
      <c r="F466" s="9" t="n"/>
      <c r="G466" s="10" t="n"/>
      <c r="H466" s="10">
        <f>IFERROR(F466*G466,0)</f>
        <v/>
      </c>
      <c r="I466" s="8" t="n"/>
      <c r="J466" s="8" t="n"/>
      <c r="K466" s="8" t="n"/>
      <c r="L466" s="10" t="n"/>
      <c r="M466" s="10">
        <f>H466-IFERROR(L466,0)</f>
        <v/>
      </c>
      <c r="N466" s="8" t="n"/>
    </row>
    <row r="467" ht="22" customHeight="1">
      <c r="B467" s="3" t="n"/>
      <c r="C467" s="4" t="n"/>
      <c r="D467" s="4" t="n"/>
      <c r="E467" s="4" t="n"/>
      <c r="F467" s="5" t="n"/>
      <c r="G467" s="6" t="n"/>
      <c r="H467" s="6">
        <f>IFERROR(F467*G467,0)</f>
        <v/>
      </c>
      <c r="I467" s="4" t="n"/>
      <c r="J467" s="4" t="n"/>
      <c r="K467" s="4" t="n"/>
      <c r="L467" s="6" t="n"/>
      <c r="M467" s="6">
        <f>H467-IFERROR(L467,0)</f>
        <v/>
      </c>
      <c r="N467" s="4" t="n"/>
    </row>
    <row r="468" ht="22" customHeight="1">
      <c r="B468" s="7" t="n"/>
      <c r="C468" s="8" t="n"/>
      <c r="D468" s="8" t="n"/>
      <c r="E468" s="8" t="n"/>
      <c r="F468" s="9" t="n"/>
      <c r="G468" s="10" t="n"/>
      <c r="H468" s="10">
        <f>IFERROR(F468*G468,0)</f>
        <v/>
      </c>
      <c r="I468" s="8" t="n"/>
      <c r="J468" s="8" t="n"/>
      <c r="K468" s="8" t="n"/>
      <c r="L468" s="10" t="n"/>
      <c r="M468" s="10">
        <f>H468-IFERROR(L468,0)</f>
        <v/>
      </c>
      <c r="N468" s="8" t="n"/>
    </row>
    <row r="469" ht="22" customHeight="1">
      <c r="B469" s="3" t="n"/>
      <c r="C469" s="4" t="n"/>
      <c r="D469" s="4" t="n"/>
      <c r="E469" s="4" t="n"/>
      <c r="F469" s="5" t="n"/>
      <c r="G469" s="6" t="n"/>
      <c r="H469" s="6">
        <f>IFERROR(F469*G469,0)</f>
        <v/>
      </c>
      <c r="I469" s="4" t="n"/>
      <c r="J469" s="4" t="n"/>
      <c r="K469" s="4" t="n"/>
      <c r="L469" s="6" t="n"/>
      <c r="M469" s="6">
        <f>H469-IFERROR(L469,0)</f>
        <v/>
      </c>
      <c r="N469" s="4" t="n"/>
    </row>
    <row r="470" ht="22" customHeight="1">
      <c r="B470" s="7" t="n"/>
      <c r="C470" s="8" t="n"/>
      <c r="D470" s="8" t="n"/>
      <c r="E470" s="8" t="n"/>
      <c r="F470" s="9" t="n"/>
      <c r="G470" s="10" t="n"/>
      <c r="H470" s="10">
        <f>IFERROR(F470*G470,0)</f>
        <v/>
      </c>
      <c r="I470" s="8" t="n"/>
      <c r="J470" s="8" t="n"/>
      <c r="K470" s="8" t="n"/>
      <c r="L470" s="10" t="n"/>
      <c r="M470" s="10">
        <f>H470-IFERROR(L470,0)</f>
        <v/>
      </c>
      <c r="N470" s="8" t="n"/>
    </row>
    <row r="471" ht="22" customHeight="1">
      <c r="B471" s="3" t="n"/>
      <c r="C471" s="4" t="n"/>
      <c r="D471" s="4" t="n"/>
      <c r="E471" s="4" t="n"/>
      <c r="F471" s="5" t="n"/>
      <c r="G471" s="6" t="n"/>
      <c r="H471" s="6">
        <f>IFERROR(F471*G471,0)</f>
        <v/>
      </c>
      <c r="I471" s="4" t="n"/>
      <c r="J471" s="4" t="n"/>
      <c r="K471" s="4" t="n"/>
      <c r="L471" s="6" t="n"/>
      <c r="M471" s="6">
        <f>H471-IFERROR(L471,0)</f>
        <v/>
      </c>
      <c r="N471" s="4" t="n"/>
    </row>
    <row r="472" ht="22" customHeight="1">
      <c r="B472" s="7" t="n"/>
      <c r="C472" s="8" t="n"/>
      <c r="D472" s="8" t="n"/>
      <c r="E472" s="8" t="n"/>
      <c r="F472" s="9" t="n"/>
      <c r="G472" s="10" t="n"/>
      <c r="H472" s="10">
        <f>IFERROR(F472*G472,0)</f>
        <v/>
      </c>
      <c r="I472" s="8" t="n"/>
      <c r="J472" s="8" t="n"/>
      <c r="K472" s="8" t="n"/>
      <c r="L472" s="10" t="n"/>
      <c r="M472" s="10">
        <f>H472-IFERROR(L472,0)</f>
        <v/>
      </c>
      <c r="N472" s="8" t="n"/>
    </row>
    <row r="473" ht="22" customHeight="1">
      <c r="B473" s="3" t="n"/>
      <c r="C473" s="4" t="n"/>
      <c r="D473" s="4" t="n"/>
      <c r="E473" s="4" t="n"/>
      <c r="F473" s="5" t="n"/>
      <c r="G473" s="6" t="n"/>
      <c r="H473" s="6">
        <f>IFERROR(F473*G473,0)</f>
        <v/>
      </c>
      <c r="I473" s="4" t="n"/>
      <c r="J473" s="4" t="n"/>
      <c r="K473" s="4" t="n"/>
      <c r="L473" s="6" t="n"/>
      <c r="M473" s="6">
        <f>H473-IFERROR(L473,0)</f>
        <v/>
      </c>
      <c r="N473" s="4" t="n"/>
    </row>
    <row r="474" ht="22" customHeight="1">
      <c r="B474" s="7" t="n"/>
      <c r="C474" s="8" t="n"/>
      <c r="D474" s="8" t="n"/>
      <c r="E474" s="8" t="n"/>
      <c r="F474" s="9" t="n"/>
      <c r="G474" s="10" t="n"/>
      <c r="H474" s="10">
        <f>IFERROR(F474*G474,0)</f>
        <v/>
      </c>
      <c r="I474" s="8" t="n"/>
      <c r="J474" s="8" t="n"/>
      <c r="K474" s="8" t="n"/>
      <c r="L474" s="10" t="n"/>
      <c r="M474" s="10">
        <f>H474-IFERROR(L474,0)</f>
        <v/>
      </c>
      <c r="N474" s="8" t="n"/>
    </row>
    <row r="475" ht="22" customHeight="1">
      <c r="B475" s="3" t="n"/>
      <c r="C475" s="4" t="n"/>
      <c r="D475" s="4" t="n"/>
      <c r="E475" s="4" t="n"/>
      <c r="F475" s="5" t="n"/>
      <c r="G475" s="6" t="n"/>
      <c r="H475" s="6">
        <f>IFERROR(F475*G475,0)</f>
        <v/>
      </c>
      <c r="I475" s="4" t="n"/>
      <c r="J475" s="4" t="n"/>
      <c r="K475" s="4" t="n"/>
      <c r="L475" s="6" t="n"/>
      <c r="M475" s="6">
        <f>H475-IFERROR(L475,0)</f>
        <v/>
      </c>
      <c r="N475" s="4" t="n"/>
    </row>
    <row r="476" ht="22" customHeight="1">
      <c r="B476" s="7" t="n"/>
      <c r="C476" s="8" t="n"/>
      <c r="D476" s="8" t="n"/>
      <c r="E476" s="8" t="n"/>
      <c r="F476" s="9" t="n"/>
      <c r="G476" s="10" t="n"/>
      <c r="H476" s="10">
        <f>IFERROR(F476*G476,0)</f>
        <v/>
      </c>
      <c r="I476" s="8" t="n"/>
      <c r="J476" s="8" t="n"/>
      <c r="K476" s="8" t="n"/>
      <c r="L476" s="10" t="n"/>
      <c r="M476" s="10">
        <f>H476-IFERROR(L476,0)</f>
        <v/>
      </c>
      <c r="N476" s="8" t="n"/>
    </row>
    <row r="477" ht="22" customHeight="1">
      <c r="B477" s="3" t="n"/>
      <c r="C477" s="4" t="n"/>
      <c r="D477" s="4" t="n"/>
      <c r="E477" s="4" t="n"/>
      <c r="F477" s="5" t="n"/>
      <c r="G477" s="6" t="n"/>
      <c r="H477" s="6">
        <f>IFERROR(F477*G477,0)</f>
        <v/>
      </c>
      <c r="I477" s="4" t="n"/>
      <c r="J477" s="4" t="n"/>
      <c r="K477" s="4" t="n"/>
      <c r="L477" s="6" t="n"/>
      <c r="M477" s="6">
        <f>H477-IFERROR(L477,0)</f>
        <v/>
      </c>
      <c r="N477" s="4" t="n"/>
    </row>
    <row r="478" ht="22" customHeight="1">
      <c r="B478" s="7" t="n"/>
      <c r="C478" s="8" t="n"/>
      <c r="D478" s="8" t="n"/>
      <c r="E478" s="8" t="n"/>
      <c r="F478" s="9" t="n"/>
      <c r="G478" s="10" t="n"/>
      <c r="H478" s="10">
        <f>IFERROR(F478*G478,0)</f>
        <v/>
      </c>
      <c r="I478" s="8" t="n"/>
      <c r="J478" s="8" t="n"/>
      <c r="K478" s="8" t="n"/>
      <c r="L478" s="10" t="n"/>
      <c r="M478" s="10">
        <f>H478-IFERROR(L478,0)</f>
        <v/>
      </c>
      <c r="N478" s="8" t="n"/>
    </row>
    <row r="479" ht="22" customHeight="1">
      <c r="B479" s="3" t="n"/>
      <c r="C479" s="4" t="n"/>
      <c r="D479" s="4" t="n"/>
      <c r="E479" s="4" t="n"/>
      <c r="F479" s="5" t="n"/>
      <c r="G479" s="6" t="n"/>
      <c r="H479" s="6">
        <f>IFERROR(F479*G479,0)</f>
        <v/>
      </c>
      <c r="I479" s="4" t="n"/>
      <c r="J479" s="4" t="n"/>
      <c r="K479" s="4" t="n"/>
      <c r="L479" s="6" t="n"/>
      <c r="M479" s="6">
        <f>H479-IFERROR(L479,0)</f>
        <v/>
      </c>
      <c r="N479" s="4" t="n"/>
    </row>
    <row r="480" ht="22" customHeight="1">
      <c r="B480" s="7" t="n"/>
      <c r="C480" s="8" t="n"/>
      <c r="D480" s="8" t="n"/>
      <c r="E480" s="8" t="n"/>
      <c r="F480" s="9" t="n"/>
      <c r="G480" s="10" t="n"/>
      <c r="H480" s="10">
        <f>IFERROR(F480*G480,0)</f>
        <v/>
      </c>
      <c r="I480" s="8" t="n"/>
      <c r="J480" s="8" t="n"/>
      <c r="K480" s="8" t="n"/>
      <c r="L480" s="10" t="n"/>
      <c r="M480" s="10">
        <f>H480-IFERROR(L480,0)</f>
        <v/>
      </c>
      <c r="N480" s="8" t="n"/>
    </row>
    <row r="481" ht="22" customHeight="1">
      <c r="B481" s="3" t="n"/>
      <c r="C481" s="4" t="n"/>
      <c r="D481" s="4" t="n"/>
      <c r="E481" s="4" t="n"/>
      <c r="F481" s="5" t="n"/>
      <c r="G481" s="6" t="n"/>
      <c r="H481" s="6">
        <f>IFERROR(F481*G481,0)</f>
        <v/>
      </c>
      <c r="I481" s="4" t="n"/>
      <c r="J481" s="4" t="n"/>
      <c r="K481" s="4" t="n"/>
      <c r="L481" s="6" t="n"/>
      <c r="M481" s="6">
        <f>H481-IFERROR(L481,0)</f>
        <v/>
      </c>
      <c r="N481" s="4" t="n"/>
    </row>
    <row r="482" ht="22" customHeight="1">
      <c r="B482" s="7" t="n"/>
      <c r="C482" s="8" t="n"/>
      <c r="D482" s="8" t="n"/>
      <c r="E482" s="8" t="n"/>
      <c r="F482" s="9" t="n"/>
      <c r="G482" s="10" t="n"/>
      <c r="H482" s="10">
        <f>IFERROR(F482*G482,0)</f>
        <v/>
      </c>
      <c r="I482" s="8" t="n"/>
      <c r="J482" s="8" t="n"/>
      <c r="K482" s="8" t="n"/>
      <c r="L482" s="10" t="n"/>
      <c r="M482" s="10">
        <f>H482-IFERROR(L482,0)</f>
        <v/>
      </c>
      <c r="N482" s="8" t="n"/>
    </row>
    <row r="483" ht="22" customHeight="1">
      <c r="B483" s="3" t="n"/>
      <c r="C483" s="4" t="n"/>
      <c r="D483" s="4" t="n"/>
      <c r="E483" s="4" t="n"/>
      <c r="F483" s="5" t="n"/>
      <c r="G483" s="6" t="n"/>
      <c r="H483" s="6">
        <f>IFERROR(F483*G483,0)</f>
        <v/>
      </c>
      <c r="I483" s="4" t="n"/>
      <c r="J483" s="4" t="n"/>
      <c r="K483" s="4" t="n"/>
      <c r="L483" s="6" t="n"/>
      <c r="M483" s="6">
        <f>H483-IFERROR(L483,0)</f>
        <v/>
      </c>
      <c r="N483" s="4" t="n"/>
    </row>
    <row r="484" ht="22" customHeight="1">
      <c r="B484" s="7" t="n"/>
      <c r="C484" s="8" t="n"/>
      <c r="D484" s="8" t="n"/>
      <c r="E484" s="8" t="n"/>
      <c r="F484" s="9" t="n"/>
      <c r="G484" s="10" t="n"/>
      <c r="H484" s="10">
        <f>IFERROR(F484*G484,0)</f>
        <v/>
      </c>
      <c r="I484" s="8" t="n"/>
      <c r="J484" s="8" t="n"/>
      <c r="K484" s="8" t="n"/>
      <c r="L484" s="10" t="n"/>
      <c r="M484" s="10">
        <f>H484-IFERROR(L484,0)</f>
        <v/>
      </c>
      <c r="N484" s="8" t="n"/>
    </row>
    <row r="485" ht="22" customHeight="1">
      <c r="B485" s="3" t="n"/>
      <c r="C485" s="4" t="n"/>
      <c r="D485" s="4" t="n"/>
      <c r="E485" s="4" t="n"/>
      <c r="F485" s="5" t="n"/>
      <c r="G485" s="6" t="n"/>
      <c r="H485" s="6">
        <f>IFERROR(F485*G485,0)</f>
        <v/>
      </c>
      <c r="I485" s="4" t="n"/>
      <c r="J485" s="4" t="n"/>
      <c r="K485" s="4" t="n"/>
      <c r="L485" s="6" t="n"/>
      <c r="M485" s="6">
        <f>H485-IFERROR(L485,0)</f>
        <v/>
      </c>
      <c r="N485" s="4" t="n"/>
    </row>
    <row r="486" ht="22" customHeight="1">
      <c r="B486" s="7" t="n"/>
      <c r="C486" s="8" t="n"/>
      <c r="D486" s="8" t="n"/>
      <c r="E486" s="8" t="n"/>
      <c r="F486" s="9" t="n"/>
      <c r="G486" s="10" t="n"/>
      <c r="H486" s="10">
        <f>IFERROR(F486*G486,0)</f>
        <v/>
      </c>
      <c r="I486" s="8" t="n"/>
      <c r="J486" s="8" t="n"/>
      <c r="K486" s="8" t="n"/>
      <c r="L486" s="10" t="n"/>
      <c r="M486" s="10">
        <f>H486-IFERROR(L486,0)</f>
        <v/>
      </c>
      <c r="N486" s="8" t="n"/>
    </row>
    <row r="487" ht="22" customHeight="1">
      <c r="B487" s="3" t="n"/>
      <c r="C487" s="4" t="n"/>
      <c r="D487" s="4" t="n"/>
      <c r="E487" s="4" t="n"/>
      <c r="F487" s="5" t="n"/>
      <c r="G487" s="6" t="n"/>
      <c r="H487" s="6">
        <f>IFERROR(F487*G487,0)</f>
        <v/>
      </c>
      <c r="I487" s="4" t="n"/>
      <c r="J487" s="4" t="n"/>
      <c r="K487" s="4" t="n"/>
      <c r="L487" s="6" t="n"/>
      <c r="M487" s="6">
        <f>H487-IFERROR(L487,0)</f>
        <v/>
      </c>
      <c r="N487" s="4" t="n"/>
    </row>
    <row r="488" ht="22" customHeight="1">
      <c r="B488" s="7" t="n"/>
      <c r="C488" s="8" t="n"/>
      <c r="D488" s="8" t="n"/>
      <c r="E488" s="8" t="n"/>
      <c r="F488" s="9" t="n"/>
      <c r="G488" s="10" t="n"/>
      <c r="H488" s="10">
        <f>IFERROR(F488*G488,0)</f>
        <v/>
      </c>
      <c r="I488" s="8" t="n"/>
      <c r="J488" s="8" t="n"/>
      <c r="K488" s="8" t="n"/>
      <c r="L488" s="10" t="n"/>
      <c r="M488" s="10">
        <f>H488-IFERROR(L488,0)</f>
        <v/>
      </c>
      <c r="N488" s="8" t="n"/>
    </row>
    <row r="489" ht="22" customHeight="1">
      <c r="B489" s="3" t="n"/>
      <c r="C489" s="4" t="n"/>
      <c r="D489" s="4" t="n"/>
      <c r="E489" s="4" t="n"/>
      <c r="F489" s="5" t="n"/>
      <c r="G489" s="6" t="n"/>
      <c r="H489" s="6">
        <f>IFERROR(F489*G489,0)</f>
        <v/>
      </c>
      <c r="I489" s="4" t="n"/>
      <c r="J489" s="4" t="n"/>
      <c r="K489" s="4" t="n"/>
      <c r="L489" s="6" t="n"/>
      <c r="M489" s="6">
        <f>H489-IFERROR(L489,0)</f>
        <v/>
      </c>
      <c r="N489" s="4" t="n"/>
    </row>
    <row r="490" ht="22" customHeight="1">
      <c r="B490" s="7" t="n"/>
      <c r="C490" s="8" t="n"/>
      <c r="D490" s="8" t="n"/>
      <c r="E490" s="8" t="n"/>
      <c r="F490" s="9" t="n"/>
      <c r="G490" s="10" t="n"/>
      <c r="H490" s="10">
        <f>IFERROR(F490*G490,0)</f>
        <v/>
      </c>
      <c r="I490" s="8" t="n"/>
      <c r="J490" s="8" t="n"/>
      <c r="K490" s="8" t="n"/>
      <c r="L490" s="10" t="n"/>
      <c r="M490" s="10">
        <f>H490-IFERROR(L490,0)</f>
        <v/>
      </c>
      <c r="N490" s="8" t="n"/>
    </row>
    <row r="491" ht="22" customHeight="1">
      <c r="B491" s="3" t="n"/>
      <c r="C491" s="4" t="n"/>
      <c r="D491" s="4" t="n"/>
      <c r="E491" s="4" t="n"/>
      <c r="F491" s="5" t="n"/>
      <c r="G491" s="6" t="n"/>
      <c r="H491" s="6">
        <f>IFERROR(F491*G491,0)</f>
        <v/>
      </c>
      <c r="I491" s="4" t="n"/>
      <c r="J491" s="4" t="n"/>
      <c r="K491" s="4" t="n"/>
      <c r="L491" s="6" t="n"/>
      <c r="M491" s="6">
        <f>H491-IFERROR(L491,0)</f>
        <v/>
      </c>
      <c r="N491" s="4" t="n"/>
    </row>
    <row r="492" ht="22" customHeight="1">
      <c r="B492" s="7" t="n"/>
      <c r="C492" s="8" t="n"/>
      <c r="D492" s="8" t="n"/>
      <c r="E492" s="8" t="n"/>
      <c r="F492" s="9" t="n"/>
      <c r="G492" s="10" t="n"/>
      <c r="H492" s="10">
        <f>IFERROR(F492*G492,0)</f>
        <v/>
      </c>
      <c r="I492" s="8" t="n"/>
      <c r="J492" s="8" t="n"/>
      <c r="K492" s="8" t="n"/>
      <c r="L492" s="10" t="n"/>
      <c r="M492" s="10">
        <f>H492-IFERROR(L492,0)</f>
        <v/>
      </c>
      <c r="N492" s="8" t="n"/>
    </row>
    <row r="493" ht="22" customHeight="1">
      <c r="B493" s="3" t="n"/>
      <c r="C493" s="4" t="n"/>
      <c r="D493" s="4" t="n"/>
      <c r="E493" s="4" t="n"/>
      <c r="F493" s="5" t="n"/>
      <c r="G493" s="6" t="n"/>
      <c r="H493" s="6">
        <f>IFERROR(F493*G493,0)</f>
        <v/>
      </c>
      <c r="I493" s="4" t="n"/>
      <c r="J493" s="4" t="n"/>
      <c r="K493" s="4" t="n"/>
      <c r="L493" s="6" t="n"/>
      <c r="M493" s="6">
        <f>H493-IFERROR(L493,0)</f>
        <v/>
      </c>
      <c r="N493" s="4" t="n"/>
    </row>
    <row r="494" ht="22" customHeight="1">
      <c r="B494" s="7" t="n"/>
      <c r="C494" s="8" t="n"/>
      <c r="D494" s="8" t="n"/>
      <c r="E494" s="8" t="n"/>
      <c r="F494" s="9" t="n"/>
      <c r="G494" s="10" t="n"/>
      <c r="H494" s="10">
        <f>IFERROR(F494*G494,0)</f>
        <v/>
      </c>
      <c r="I494" s="8" t="n"/>
      <c r="J494" s="8" t="n"/>
      <c r="K494" s="8" t="n"/>
      <c r="L494" s="10" t="n"/>
      <c r="M494" s="10">
        <f>H494-IFERROR(L494,0)</f>
        <v/>
      </c>
      <c r="N494" s="8" t="n"/>
    </row>
    <row r="495" ht="22" customHeight="1">
      <c r="B495" s="3" t="n"/>
      <c r="C495" s="4" t="n"/>
      <c r="D495" s="4" t="n"/>
      <c r="E495" s="4" t="n"/>
      <c r="F495" s="5" t="n"/>
      <c r="G495" s="6" t="n"/>
      <c r="H495" s="6">
        <f>IFERROR(F495*G495,0)</f>
        <v/>
      </c>
      <c r="I495" s="4" t="n"/>
      <c r="J495" s="4" t="n"/>
      <c r="K495" s="4" t="n"/>
      <c r="L495" s="6" t="n"/>
      <c r="M495" s="6">
        <f>H495-IFERROR(L495,0)</f>
        <v/>
      </c>
      <c r="N495" s="4" t="n"/>
    </row>
    <row r="496" ht="22" customHeight="1">
      <c r="B496" s="7" t="n"/>
      <c r="C496" s="8" t="n"/>
      <c r="D496" s="8" t="n"/>
      <c r="E496" s="8" t="n"/>
      <c r="F496" s="9" t="n"/>
      <c r="G496" s="10" t="n"/>
      <c r="H496" s="10">
        <f>IFERROR(F496*G496,0)</f>
        <v/>
      </c>
      <c r="I496" s="8" t="n"/>
      <c r="J496" s="8" t="n"/>
      <c r="K496" s="8" t="n"/>
      <c r="L496" s="10" t="n"/>
      <c r="M496" s="10">
        <f>H496-IFERROR(L496,0)</f>
        <v/>
      </c>
      <c r="N496" s="8" t="n"/>
    </row>
    <row r="497" ht="22" customHeight="1">
      <c r="B497" s="3" t="n"/>
      <c r="C497" s="4" t="n"/>
      <c r="D497" s="4" t="n"/>
      <c r="E497" s="4" t="n"/>
      <c r="F497" s="5" t="n"/>
      <c r="G497" s="6" t="n"/>
      <c r="H497" s="6">
        <f>IFERROR(F497*G497,0)</f>
        <v/>
      </c>
      <c r="I497" s="4" t="n"/>
      <c r="J497" s="4" t="n"/>
      <c r="K497" s="4" t="n"/>
      <c r="L497" s="6" t="n"/>
      <c r="M497" s="6">
        <f>H497-IFERROR(L497,0)</f>
        <v/>
      </c>
      <c r="N497" s="4" t="n"/>
    </row>
    <row r="498" ht="22" customHeight="1">
      <c r="B498" s="7" t="n"/>
      <c r="C498" s="8" t="n"/>
      <c r="D498" s="8" t="n"/>
      <c r="E498" s="8" t="n"/>
      <c r="F498" s="9" t="n"/>
      <c r="G498" s="10" t="n"/>
      <c r="H498" s="10">
        <f>IFERROR(F498*G498,0)</f>
        <v/>
      </c>
      <c r="I498" s="8" t="n"/>
      <c r="J498" s="8" t="n"/>
      <c r="K498" s="8" t="n"/>
      <c r="L498" s="10" t="n"/>
      <c r="M498" s="10">
        <f>H498-IFERROR(L498,0)</f>
        <v/>
      </c>
      <c r="N498" s="8" t="n"/>
    </row>
    <row r="499" ht="22" customHeight="1">
      <c r="B499" s="3" t="n"/>
      <c r="C499" s="4" t="n"/>
      <c r="D499" s="4" t="n"/>
      <c r="E499" s="4" t="n"/>
      <c r="F499" s="5" t="n"/>
      <c r="G499" s="6" t="n"/>
      <c r="H499" s="6">
        <f>IFERROR(F499*G499,0)</f>
        <v/>
      </c>
      <c r="I499" s="4" t="n"/>
      <c r="J499" s="4" t="n"/>
      <c r="K499" s="4" t="n"/>
      <c r="L499" s="6" t="n"/>
      <c r="M499" s="6">
        <f>H499-IFERROR(L499,0)</f>
        <v/>
      </c>
      <c r="N499" s="4" t="n"/>
    </row>
    <row r="500" ht="22" customHeight="1">
      <c r="B500" s="7" t="n"/>
      <c r="C500" s="8" t="n"/>
      <c r="D500" s="8" t="n"/>
      <c r="E500" s="8" t="n"/>
      <c r="F500" s="9" t="n"/>
      <c r="G500" s="10" t="n"/>
      <c r="H500" s="10">
        <f>IFERROR(F500*G500,0)</f>
        <v/>
      </c>
      <c r="I500" s="8" t="n"/>
      <c r="J500" s="8" t="n"/>
      <c r="K500" s="8" t="n"/>
      <c r="L500" s="10" t="n"/>
      <c r="M500" s="10">
        <f>H500-IFERROR(L500,0)</f>
        <v/>
      </c>
      <c r="N500" s="8" t="n"/>
    </row>
    <row r="501" ht="22" customHeight="1">
      <c r="B501" s="3" t="n"/>
      <c r="C501" s="4" t="n"/>
      <c r="D501" s="4" t="n"/>
      <c r="E501" s="4" t="n"/>
      <c r="F501" s="5" t="n"/>
      <c r="G501" s="6" t="n"/>
      <c r="H501" s="6">
        <f>IFERROR(F501*G501,0)</f>
        <v/>
      </c>
      <c r="I501" s="4" t="n"/>
      <c r="J501" s="4" t="n"/>
      <c r="K501" s="4" t="n"/>
      <c r="L501" s="6" t="n"/>
      <c r="M501" s="6">
        <f>H501-IFERROR(L501,0)</f>
        <v/>
      </c>
      <c r="N501" s="4" t="n"/>
    </row>
    <row r="502" ht="22" customHeight="1">
      <c r="B502" s="7" t="n"/>
      <c r="C502" s="8" t="n"/>
      <c r="D502" s="8" t="n"/>
      <c r="E502" s="8" t="n"/>
      <c r="F502" s="9" t="n"/>
      <c r="G502" s="10" t="n"/>
      <c r="H502" s="10">
        <f>IFERROR(F502*G502,0)</f>
        <v/>
      </c>
      <c r="I502" s="8" t="n"/>
      <c r="J502" s="8" t="n"/>
      <c r="K502" s="8" t="n"/>
      <c r="L502" s="10" t="n"/>
      <c r="M502" s="10">
        <f>H502-IFERROR(L502,0)</f>
        <v/>
      </c>
      <c r="N502" s="8" t="n"/>
    </row>
    <row r="503" ht="22" customHeight="1">
      <c r="B503" s="3" t="n"/>
      <c r="C503" s="4" t="n"/>
      <c r="D503" s="4" t="n"/>
      <c r="E503" s="4" t="n"/>
      <c r="F503" s="5" t="n"/>
      <c r="G503" s="6" t="n"/>
      <c r="H503" s="6">
        <f>IFERROR(F503*G503,0)</f>
        <v/>
      </c>
      <c r="I503" s="4" t="n"/>
      <c r="J503" s="4" t="n"/>
      <c r="K503" s="4" t="n"/>
      <c r="L503" s="6" t="n"/>
      <c r="M503" s="6">
        <f>H503-IFERROR(L503,0)</f>
        <v/>
      </c>
      <c r="N503" s="4" t="n"/>
    </row>
    <row r="504" ht="22" customHeight="1">
      <c r="B504" s="7" t="n"/>
      <c r="C504" s="8" t="n"/>
      <c r="D504" s="8" t="n"/>
      <c r="E504" s="8" t="n"/>
      <c r="F504" s="9" t="n"/>
      <c r="G504" s="10" t="n"/>
      <c r="H504" s="10">
        <f>IFERROR(F504*G504,0)</f>
        <v/>
      </c>
      <c r="I504" s="8" t="n"/>
      <c r="J504" s="8" t="n"/>
      <c r="K504" s="8" t="n"/>
      <c r="L504" s="10" t="n"/>
      <c r="M504" s="10">
        <f>H504-IFERROR(L504,0)</f>
        <v/>
      </c>
      <c r="N504" s="8" t="n"/>
    </row>
    <row r="505" ht="26" customHeight="1">
      <c r="B505" s="11" t="inlineStr">
        <is>
          <t>TOTAL</t>
        </is>
      </c>
      <c r="C505" s="12" t="n"/>
      <c r="D505" s="12" t="n"/>
      <c r="E505" s="12" t="n"/>
      <c r="F505" s="13">
        <f>SUM(F5:F504)</f>
        <v/>
      </c>
      <c r="G505" s="12" t="n"/>
      <c r="H505" s="14">
        <f>SUM(H5:H504)</f>
        <v/>
      </c>
      <c r="I505" s="12" t="n"/>
      <c r="J505" s="12" t="n"/>
      <c r="K505" s="12" t="n"/>
      <c r="L505" s="14">
        <f>SUM(L5:L504)</f>
        <v/>
      </c>
      <c r="M505" s="14">
        <f>SUM(M5:M504)</f>
        <v/>
      </c>
      <c r="N505" s="12" t="n"/>
    </row>
  </sheetData>
  <mergeCells count="1">
    <mergeCell ref="B2:N2"/>
  </mergeCells>
  <dataValidations count="1">
    <dataValidation sqref="I5:I504" showDropDown="0" showInputMessage="0" showErrorMessage="0" allowBlank="1" errorTitle="Invalid Payment Method" error="Please select a valid payment method" promptTitle="Payment Method" prompt="Select payment method" type="list">
      <formula1>"Cash,Card,Online,Cheque,Bank Transfer"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1B2A"/>
    <outlinePr summaryBelow="1" summaryRight="1"/>
    <pageSetUpPr/>
  </sheetPr>
  <dimension ref="B2:K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8" customWidth="1" min="11" max="11"/>
  </cols>
  <sheetData>
    <row r="1" ht="15" customHeight="1"/>
    <row r="2" ht="32" customHeight="1">
      <c r="B2" s="1" t="inlineStr">
        <is>
          <t>Daily Summary — Auto-Calculated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Cash</t>
        </is>
      </c>
      <c r="G4" s="2" t="inlineStr">
        <is>
          <t>Card</t>
        </is>
      </c>
      <c r="H4" s="2" t="inlineStr">
        <is>
          <t>Online</t>
        </is>
      </c>
      <c r="I4" s="2" t="inlineStr">
        <is>
          <t>Bank Transfer</t>
        </is>
      </c>
      <c r="J4" s="2" t="inlineStr">
        <is>
          <t># Items Sold</t>
        </is>
      </c>
      <c r="K4" s="2" t="inlineStr">
        <is>
          <t>Total Discount Given</t>
        </is>
      </c>
    </row>
    <row r="5" ht="22" customHeight="1">
      <c r="B5" s="3" t="n"/>
      <c r="C5" s="6">
        <f>SUMPRODUCT(('Sales Entry'!B5:B504=B5)*('Sales Entry'!M5:M504))</f>
        <v/>
      </c>
      <c r="D5" s="5">
        <f>SUMPRODUCT(('Sales Entry'!B5:B504=B5)*1)</f>
        <v/>
      </c>
      <c r="E5" s="6">
        <f>IFERROR(C5/D5,0)</f>
        <v/>
      </c>
      <c r="F5" s="6">
        <f>SUMPRODUCT(('Sales Entry'!B5:B504=B5)*('Sales Entry'!I5:I504="Cash")*('Sales Entry'!M5:M504))</f>
        <v/>
      </c>
      <c r="G5" s="6">
        <f>SUMPRODUCT(('Sales Entry'!B5:B504=B5)*('Sales Entry'!I5:I504="Card")*('Sales Entry'!M5:M504))</f>
        <v/>
      </c>
      <c r="H5" s="6">
        <f>SUMPRODUCT(('Sales Entry'!B5:B504=B5)*('Sales Entry'!I5:I504="Online")*('Sales Entry'!M5:M504))</f>
        <v/>
      </c>
      <c r="I5" s="6">
        <f>SUMPRODUCT(('Sales Entry'!B5:B504=B5)*('Sales Entry'!I5:I504="Bank Transfer")*('Sales Entry'!M5:M504))</f>
        <v/>
      </c>
      <c r="J5" s="5">
        <f>SUMPRODUCT(('Sales Entry'!B5:B504=B5)*('Sales Entry'!F5:F504))</f>
        <v/>
      </c>
      <c r="K5" s="6">
        <f>SUMPRODUCT(('Sales Entry'!B5:B504=B5)*('Sales Entry'!L5:L504))</f>
        <v/>
      </c>
    </row>
    <row r="6" ht="22" customHeight="1">
      <c r="B6" s="7" t="n"/>
      <c r="C6" s="10">
        <f>SUMPRODUCT(('Sales Entry'!B5:B504=B6)*('Sales Entry'!M5:M504))</f>
        <v/>
      </c>
      <c r="D6" s="9">
        <f>SUMPRODUCT(('Sales Entry'!B5:B504=B6)*1)</f>
        <v/>
      </c>
      <c r="E6" s="10">
        <f>IFERROR(C6/D6,0)</f>
        <v/>
      </c>
      <c r="F6" s="10">
        <f>SUMPRODUCT(('Sales Entry'!B5:B504=B6)*('Sales Entry'!I5:I504="Cash")*('Sales Entry'!M5:M504))</f>
        <v/>
      </c>
      <c r="G6" s="10">
        <f>SUMPRODUCT(('Sales Entry'!B5:B504=B6)*('Sales Entry'!I5:I504="Card")*('Sales Entry'!M5:M504))</f>
        <v/>
      </c>
      <c r="H6" s="10">
        <f>SUMPRODUCT(('Sales Entry'!B5:B504=B6)*('Sales Entry'!I5:I504="Online")*('Sales Entry'!M5:M504))</f>
        <v/>
      </c>
      <c r="I6" s="10">
        <f>SUMPRODUCT(('Sales Entry'!B5:B504=B6)*('Sales Entry'!I5:I504="Bank Transfer")*('Sales Entry'!M5:M504))</f>
        <v/>
      </c>
      <c r="J6" s="9">
        <f>SUMPRODUCT(('Sales Entry'!B5:B504=B6)*('Sales Entry'!F5:F504))</f>
        <v/>
      </c>
      <c r="K6" s="10">
        <f>SUMPRODUCT(('Sales Entry'!B5:B504=B6)*('Sales Entry'!L5:L504))</f>
        <v/>
      </c>
    </row>
    <row r="7" ht="22" customHeight="1">
      <c r="B7" s="3" t="n"/>
      <c r="C7" s="6">
        <f>SUMPRODUCT(('Sales Entry'!B5:B504=B7)*('Sales Entry'!M5:M504))</f>
        <v/>
      </c>
      <c r="D7" s="5">
        <f>SUMPRODUCT(('Sales Entry'!B5:B504=B7)*1)</f>
        <v/>
      </c>
      <c r="E7" s="6">
        <f>IFERROR(C7/D7,0)</f>
        <v/>
      </c>
      <c r="F7" s="6">
        <f>SUMPRODUCT(('Sales Entry'!B5:B504=B7)*('Sales Entry'!I5:I504="Cash")*('Sales Entry'!M5:M504))</f>
        <v/>
      </c>
      <c r="G7" s="6">
        <f>SUMPRODUCT(('Sales Entry'!B5:B504=B7)*('Sales Entry'!I5:I504="Card")*('Sales Entry'!M5:M504))</f>
        <v/>
      </c>
      <c r="H7" s="6">
        <f>SUMPRODUCT(('Sales Entry'!B5:B504=B7)*('Sales Entry'!I5:I504="Online")*('Sales Entry'!M5:M504))</f>
        <v/>
      </c>
      <c r="I7" s="6">
        <f>SUMPRODUCT(('Sales Entry'!B5:B504=B7)*('Sales Entry'!I5:I504="Bank Transfer")*('Sales Entry'!M5:M504))</f>
        <v/>
      </c>
      <c r="J7" s="5">
        <f>SUMPRODUCT(('Sales Entry'!B5:B504=B7)*('Sales Entry'!F5:F504))</f>
        <v/>
      </c>
      <c r="K7" s="6">
        <f>SUMPRODUCT(('Sales Entry'!B5:B504=B7)*('Sales Entry'!L5:L504))</f>
        <v/>
      </c>
    </row>
    <row r="8" ht="22" customHeight="1">
      <c r="B8" s="7" t="n"/>
      <c r="C8" s="10">
        <f>SUMPRODUCT(('Sales Entry'!B5:B504=B8)*('Sales Entry'!M5:M504))</f>
        <v/>
      </c>
      <c r="D8" s="9">
        <f>SUMPRODUCT(('Sales Entry'!B5:B504=B8)*1)</f>
        <v/>
      </c>
      <c r="E8" s="10">
        <f>IFERROR(C8/D8,0)</f>
        <v/>
      </c>
      <c r="F8" s="10">
        <f>SUMPRODUCT(('Sales Entry'!B5:B504=B8)*('Sales Entry'!I5:I504="Cash")*('Sales Entry'!M5:M504))</f>
        <v/>
      </c>
      <c r="G8" s="10">
        <f>SUMPRODUCT(('Sales Entry'!B5:B504=B8)*('Sales Entry'!I5:I504="Card")*('Sales Entry'!M5:M504))</f>
        <v/>
      </c>
      <c r="H8" s="10">
        <f>SUMPRODUCT(('Sales Entry'!B5:B504=B8)*('Sales Entry'!I5:I504="Online")*('Sales Entry'!M5:M504))</f>
        <v/>
      </c>
      <c r="I8" s="10">
        <f>SUMPRODUCT(('Sales Entry'!B5:B504=B8)*('Sales Entry'!I5:I504="Bank Transfer")*('Sales Entry'!M5:M504))</f>
        <v/>
      </c>
      <c r="J8" s="9">
        <f>SUMPRODUCT(('Sales Entry'!B5:B504=B8)*('Sales Entry'!F5:F504))</f>
        <v/>
      </c>
      <c r="K8" s="10">
        <f>SUMPRODUCT(('Sales Entry'!B5:B504=B8)*('Sales Entry'!L5:L504))</f>
        <v/>
      </c>
    </row>
    <row r="9" ht="22" customHeight="1">
      <c r="B9" s="3" t="n"/>
      <c r="C9" s="6">
        <f>SUMPRODUCT(('Sales Entry'!B5:B504=B9)*('Sales Entry'!M5:M504))</f>
        <v/>
      </c>
      <c r="D9" s="5">
        <f>SUMPRODUCT(('Sales Entry'!B5:B504=B9)*1)</f>
        <v/>
      </c>
      <c r="E9" s="6">
        <f>IFERROR(C9/D9,0)</f>
        <v/>
      </c>
      <c r="F9" s="6">
        <f>SUMPRODUCT(('Sales Entry'!B5:B504=B9)*('Sales Entry'!I5:I504="Cash")*('Sales Entry'!M5:M504))</f>
        <v/>
      </c>
      <c r="G9" s="6">
        <f>SUMPRODUCT(('Sales Entry'!B5:B504=B9)*('Sales Entry'!I5:I504="Card")*('Sales Entry'!M5:M504))</f>
        <v/>
      </c>
      <c r="H9" s="6">
        <f>SUMPRODUCT(('Sales Entry'!B5:B504=B9)*('Sales Entry'!I5:I504="Online")*('Sales Entry'!M5:M504))</f>
        <v/>
      </c>
      <c r="I9" s="6">
        <f>SUMPRODUCT(('Sales Entry'!B5:B504=B9)*('Sales Entry'!I5:I504="Bank Transfer")*('Sales Entry'!M5:M504))</f>
        <v/>
      </c>
      <c r="J9" s="5">
        <f>SUMPRODUCT(('Sales Entry'!B5:B504=B9)*('Sales Entry'!F5:F504))</f>
        <v/>
      </c>
      <c r="K9" s="6">
        <f>SUMPRODUCT(('Sales Entry'!B5:B504=B9)*('Sales Entry'!L5:L504))</f>
        <v/>
      </c>
    </row>
    <row r="10" ht="22" customHeight="1">
      <c r="B10" s="7" t="n"/>
      <c r="C10" s="10">
        <f>SUMPRODUCT(('Sales Entry'!B5:B504=B10)*('Sales Entry'!M5:M504))</f>
        <v/>
      </c>
      <c r="D10" s="9">
        <f>SUMPRODUCT(('Sales Entry'!B5:B504=B10)*1)</f>
        <v/>
      </c>
      <c r="E10" s="10">
        <f>IFERROR(C10/D10,0)</f>
        <v/>
      </c>
      <c r="F10" s="10">
        <f>SUMPRODUCT(('Sales Entry'!B5:B504=B10)*('Sales Entry'!I5:I504="Cash")*('Sales Entry'!M5:M504))</f>
        <v/>
      </c>
      <c r="G10" s="10">
        <f>SUMPRODUCT(('Sales Entry'!B5:B504=B10)*('Sales Entry'!I5:I504="Card")*('Sales Entry'!M5:M504))</f>
        <v/>
      </c>
      <c r="H10" s="10">
        <f>SUMPRODUCT(('Sales Entry'!B5:B504=B10)*('Sales Entry'!I5:I504="Online")*('Sales Entry'!M5:M504))</f>
        <v/>
      </c>
      <c r="I10" s="10">
        <f>SUMPRODUCT(('Sales Entry'!B5:B504=B10)*('Sales Entry'!I5:I504="Bank Transfer")*('Sales Entry'!M5:M504))</f>
        <v/>
      </c>
      <c r="J10" s="9">
        <f>SUMPRODUCT(('Sales Entry'!B5:B504=B10)*('Sales Entry'!F5:F504))</f>
        <v/>
      </c>
      <c r="K10" s="10">
        <f>SUMPRODUCT(('Sales Entry'!B5:B504=B10)*('Sales Entry'!L5:L504))</f>
        <v/>
      </c>
    </row>
    <row r="11" ht="22" customHeight="1">
      <c r="B11" s="3" t="n"/>
      <c r="C11" s="6">
        <f>SUMPRODUCT(('Sales Entry'!B5:B504=B11)*('Sales Entry'!M5:M504))</f>
        <v/>
      </c>
      <c r="D11" s="5">
        <f>SUMPRODUCT(('Sales Entry'!B5:B504=B11)*1)</f>
        <v/>
      </c>
      <c r="E11" s="6">
        <f>IFERROR(C11/D11,0)</f>
        <v/>
      </c>
      <c r="F11" s="6">
        <f>SUMPRODUCT(('Sales Entry'!B5:B504=B11)*('Sales Entry'!I5:I504="Cash")*('Sales Entry'!M5:M504))</f>
        <v/>
      </c>
      <c r="G11" s="6">
        <f>SUMPRODUCT(('Sales Entry'!B5:B504=B11)*('Sales Entry'!I5:I504="Card")*('Sales Entry'!M5:M504))</f>
        <v/>
      </c>
      <c r="H11" s="6">
        <f>SUMPRODUCT(('Sales Entry'!B5:B504=B11)*('Sales Entry'!I5:I504="Online")*('Sales Entry'!M5:M504))</f>
        <v/>
      </c>
      <c r="I11" s="6">
        <f>SUMPRODUCT(('Sales Entry'!B5:B504=B11)*('Sales Entry'!I5:I504="Bank Transfer")*('Sales Entry'!M5:M504))</f>
        <v/>
      </c>
      <c r="J11" s="5">
        <f>SUMPRODUCT(('Sales Entry'!B5:B504=B11)*('Sales Entry'!F5:F504))</f>
        <v/>
      </c>
      <c r="K11" s="6">
        <f>SUMPRODUCT(('Sales Entry'!B5:B504=B11)*('Sales Entry'!L5:L504))</f>
        <v/>
      </c>
    </row>
    <row r="12" ht="22" customHeight="1">
      <c r="B12" s="7" t="n"/>
      <c r="C12" s="10">
        <f>SUMPRODUCT(('Sales Entry'!B5:B504=B12)*('Sales Entry'!M5:M504))</f>
        <v/>
      </c>
      <c r="D12" s="9">
        <f>SUMPRODUCT(('Sales Entry'!B5:B504=B12)*1)</f>
        <v/>
      </c>
      <c r="E12" s="10">
        <f>IFERROR(C12/D12,0)</f>
        <v/>
      </c>
      <c r="F12" s="10">
        <f>SUMPRODUCT(('Sales Entry'!B5:B504=B12)*('Sales Entry'!I5:I504="Cash")*('Sales Entry'!M5:M504))</f>
        <v/>
      </c>
      <c r="G12" s="10">
        <f>SUMPRODUCT(('Sales Entry'!B5:B504=B12)*('Sales Entry'!I5:I504="Card")*('Sales Entry'!M5:M504))</f>
        <v/>
      </c>
      <c r="H12" s="10">
        <f>SUMPRODUCT(('Sales Entry'!B5:B504=B12)*('Sales Entry'!I5:I504="Online")*('Sales Entry'!M5:M504))</f>
        <v/>
      </c>
      <c r="I12" s="10">
        <f>SUMPRODUCT(('Sales Entry'!B5:B504=B12)*('Sales Entry'!I5:I504="Bank Transfer")*('Sales Entry'!M5:M504))</f>
        <v/>
      </c>
      <c r="J12" s="9">
        <f>SUMPRODUCT(('Sales Entry'!B5:B504=B12)*('Sales Entry'!F5:F504))</f>
        <v/>
      </c>
      <c r="K12" s="10">
        <f>SUMPRODUCT(('Sales Entry'!B5:B504=B12)*('Sales Entry'!L5:L504))</f>
        <v/>
      </c>
    </row>
    <row r="13" ht="22" customHeight="1">
      <c r="B13" s="3" t="n"/>
      <c r="C13" s="6">
        <f>SUMPRODUCT(('Sales Entry'!B5:B504=B13)*('Sales Entry'!M5:M504))</f>
        <v/>
      </c>
      <c r="D13" s="5">
        <f>SUMPRODUCT(('Sales Entry'!B5:B504=B13)*1)</f>
        <v/>
      </c>
      <c r="E13" s="6">
        <f>IFERROR(C13/D13,0)</f>
        <v/>
      </c>
      <c r="F13" s="6">
        <f>SUMPRODUCT(('Sales Entry'!B5:B504=B13)*('Sales Entry'!I5:I504="Cash")*('Sales Entry'!M5:M504))</f>
        <v/>
      </c>
      <c r="G13" s="6">
        <f>SUMPRODUCT(('Sales Entry'!B5:B504=B13)*('Sales Entry'!I5:I504="Card")*('Sales Entry'!M5:M504))</f>
        <v/>
      </c>
      <c r="H13" s="6">
        <f>SUMPRODUCT(('Sales Entry'!B5:B504=B13)*('Sales Entry'!I5:I504="Online")*('Sales Entry'!M5:M504))</f>
        <v/>
      </c>
      <c r="I13" s="6">
        <f>SUMPRODUCT(('Sales Entry'!B5:B504=B13)*('Sales Entry'!I5:I504="Bank Transfer")*('Sales Entry'!M5:M504))</f>
        <v/>
      </c>
      <c r="J13" s="5">
        <f>SUMPRODUCT(('Sales Entry'!B5:B504=B13)*('Sales Entry'!F5:F504))</f>
        <v/>
      </c>
      <c r="K13" s="6">
        <f>SUMPRODUCT(('Sales Entry'!B5:B504=B13)*('Sales Entry'!L5:L504))</f>
        <v/>
      </c>
    </row>
    <row r="14" ht="22" customHeight="1">
      <c r="B14" s="7" t="n"/>
      <c r="C14" s="10">
        <f>SUMPRODUCT(('Sales Entry'!B5:B504=B14)*('Sales Entry'!M5:M504))</f>
        <v/>
      </c>
      <c r="D14" s="9">
        <f>SUMPRODUCT(('Sales Entry'!B5:B504=B14)*1)</f>
        <v/>
      </c>
      <c r="E14" s="10">
        <f>IFERROR(C14/D14,0)</f>
        <v/>
      </c>
      <c r="F14" s="10">
        <f>SUMPRODUCT(('Sales Entry'!B5:B504=B14)*('Sales Entry'!I5:I504="Cash")*('Sales Entry'!M5:M504))</f>
        <v/>
      </c>
      <c r="G14" s="10">
        <f>SUMPRODUCT(('Sales Entry'!B5:B504=B14)*('Sales Entry'!I5:I504="Card")*('Sales Entry'!M5:M504))</f>
        <v/>
      </c>
      <c r="H14" s="10">
        <f>SUMPRODUCT(('Sales Entry'!B5:B504=B14)*('Sales Entry'!I5:I504="Online")*('Sales Entry'!M5:M504))</f>
        <v/>
      </c>
      <c r="I14" s="10">
        <f>SUMPRODUCT(('Sales Entry'!B5:B504=B14)*('Sales Entry'!I5:I504="Bank Transfer")*('Sales Entry'!M5:M504))</f>
        <v/>
      </c>
      <c r="J14" s="9">
        <f>SUMPRODUCT(('Sales Entry'!B5:B504=B14)*('Sales Entry'!F5:F504))</f>
        <v/>
      </c>
      <c r="K14" s="10">
        <f>SUMPRODUCT(('Sales Entry'!B5:B504=B14)*('Sales Entry'!L5:L504))</f>
        <v/>
      </c>
    </row>
    <row r="15" ht="22" customHeight="1">
      <c r="B15" s="3" t="n"/>
      <c r="C15" s="6">
        <f>SUMPRODUCT(('Sales Entry'!B5:B504=B15)*('Sales Entry'!M5:M504))</f>
        <v/>
      </c>
      <c r="D15" s="5">
        <f>SUMPRODUCT(('Sales Entry'!B5:B504=B15)*1)</f>
        <v/>
      </c>
      <c r="E15" s="6">
        <f>IFERROR(C15/D15,0)</f>
        <v/>
      </c>
      <c r="F15" s="6">
        <f>SUMPRODUCT(('Sales Entry'!B5:B504=B15)*('Sales Entry'!I5:I504="Cash")*('Sales Entry'!M5:M504))</f>
        <v/>
      </c>
      <c r="G15" s="6">
        <f>SUMPRODUCT(('Sales Entry'!B5:B504=B15)*('Sales Entry'!I5:I504="Card")*('Sales Entry'!M5:M504))</f>
        <v/>
      </c>
      <c r="H15" s="6">
        <f>SUMPRODUCT(('Sales Entry'!B5:B504=B15)*('Sales Entry'!I5:I504="Online")*('Sales Entry'!M5:M504))</f>
        <v/>
      </c>
      <c r="I15" s="6">
        <f>SUMPRODUCT(('Sales Entry'!B5:B504=B15)*('Sales Entry'!I5:I504="Bank Transfer")*('Sales Entry'!M5:M504))</f>
        <v/>
      </c>
      <c r="J15" s="5">
        <f>SUMPRODUCT(('Sales Entry'!B5:B504=B15)*('Sales Entry'!F5:F504))</f>
        <v/>
      </c>
      <c r="K15" s="6">
        <f>SUMPRODUCT(('Sales Entry'!B5:B504=B15)*('Sales Entry'!L5:L504))</f>
        <v/>
      </c>
    </row>
    <row r="16" ht="22" customHeight="1">
      <c r="B16" s="7" t="n"/>
      <c r="C16" s="10">
        <f>SUMPRODUCT(('Sales Entry'!B5:B504=B16)*('Sales Entry'!M5:M504))</f>
        <v/>
      </c>
      <c r="D16" s="9">
        <f>SUMPRODUCT(('Sales Entry'!B5:B504=B16)*1)</f>
        <v/>
      </c>
      <c r="E16" s="10">
        <f>IFERROR(C16/D16,0)</f>
        <v/>
      </c>
      <c r="F16" s="10">
        <f>SUMPRODUCT(('Sales Entry'!B5:B504=B16)*('Sales Entry'!I5:I504="Cash")*('Sales Entry'!M5:M504))</f>
        <v/>
      </c>
      <c r="G16" s="10">
        <f>SUMPRODUCT(('Sales Entry'!B5:B504=B16)*('Sales Entry'!I5:I504="Card")*('Sales Entry'!M5:M504))</f>
        <v/>
      </c>
      <c r="H16" s="10">
        <f>SUMPRODUCT(('Sales Entry'!B5:B504=B16)*('Sales Entry'!I5:I504="Online")*('Sales Entry'!M5:M504))</f>
        <v/>
      </c>
      <c r="I16" s="10">
        <f>SUMPRODUCT(('Sales Entry'!B5:B504=B16)*('Sales Entry'!I5:I504="Bank Transfer")*('Sales Entry'!M5:M504))</f>
        <v/>
      </c>
      <c r="J16" s="9">
        <f>SUMPRODUCT(('Sales Entry'!B5:B504=B16)*('Sales Entry'!F5:F504))</f>
        <v/>
      </c>
      <c r="K16" s="10">
        <f>SUMPRODUCT(('Sales Entry'!B5:B504=B16)*('Sales Entry'!L5:L504))</f>
        <v/>
      </c>
    </row>
    <row r="17" ht="22" customHeight="1">
      <c r="B17" s="3" t="n"/>
      <c r="C17" s="6">
        <f>SUMPRODUCT(('Sales Entry'!B5:B504=B17)*('Sales Entry'!M5:M504))</f>
        <v/>
      </c>
      <c r="D17" s="5">
        <f>SUMPRODUCT(('Sales Entry'!B5:B504=B17)*1)</f>
        <v/>
      </c>
      <c r="E17" s="6">
        <f>IFERROR(C17/D17,0)</f>
        <v/>
      </c>
      <c r="F17" s="6">
        <f>SUMPRODUCT(('Sales Entry'!B5:B504=B17)*('Sales Entry'!I5:I504="Cash")*('Sales Entry'!M5:M504))</f>
        <v/>
      </c>
      <c r="G17" s="6">
        <f>SUMPRODUCT(('Sales Entry'!B5:B504=B17)*('Sales Entry'!I5:I504="Card")*('Sales Entry'!M5:M504))</f>
        <v/>
      </c>
      <c r="H17" s="6">
        <f>SUMPRODUCT(('Sales Entry'!B5:B504=B17)*('Sales Entry'!I5:I504="Online")*('Sales Entry'!M5:M504))</f>
        <v/>
      </c>
      <c r="I17" s="6">
        <f>SUMPRODUCT(('Sales Entry'!B5:B504=B17)*('Sales Entry'!I5:I504="Bank Transfer")*('Sales Entry'!M5:M504))</f>
        <v/>
      </c>
      <c r="J17" s="5">
        <f>SUMPRODUCT(('Sales Entry'!B5:B504=B17)*('Sales Entry'!F5:F504))</f>
        <v/>
      </c>
      <c r="K17" s="6">
        <f>SUMPRODUCT(('Sales Entry'!B5:B504=B17)*('Sales Entry'!L5:L504))</f>
        <v/>
      </c>
    </row>
    <row r="18" ht="22" customHeight="1">
      <c r="B18" s="7" t="n"/>
      <c r="C18" s="10">
        <f>SUMPRODUCT(('Sales Entry'!B5:B504=B18)*('Sales Entry'!M5:M504))</f>
        <v/>
      </c>
      <c r="D18" s="9">
        <f>SUMPRODUCT(('Sales Entry'!B5:B504=B18)*1)</f>
        <v/>
      </c>
      <c r="E18" s="10">
        <f>IFERROR(C18/D18,0)</f>
        <v/>
      </c>
      <c r="F18" s="10">
        <f>SUMPRODUCT(('Sales Entry'!B5:B504=B18)*('Sales Entry'!I5:I504="Cash")*('Sales Entry'!M5:M504))</f>
        <v/>
      </c>
      <c r="G18" s="10">
        <f>SUMPRODUCT(('Sales Entry'!B5:B504=B18)*('Sales Entry'!I5:I504="Card")*('Sales Entry'!M5:M504))</f>
        <v/>
      </c>
      <c r="H18" s="10">
        <f>SUMPRODUCT(('Sales Entry'!B5:B504=B18)*('Sales Entry'!I5:I504="Online")*('Sales Entry'!M5:M504))</f>
        <v/>
      </c>
      <c r="I18" s="10">
        <f>SUMPRODUCT(('Sales Entry'!B5:B504=B18)*('Sales Entry'!I5:I504="Bank Transfer")*('Sales Entry'!M5:M504))</f>
        <v/>
      </c>
      <c r="J18" s="9">
        <f>SUMPRODUCT(('Sales Entry'!B5:B504=B18)*('Sales Entry'!F5:F504))</f>
        <v/>
      </c>
      <c r="K18" s="10">
        <f>SUMPRODUCT(('Sales Entry'!B5:B504=B18)*('Sales Entry'!L5:L504))</f>
        <v/>
      </c>
    </row>
    <row r="19" ht="22" customHeight="1">
      <c r="B19" s="3" t="n"/>
      <c r="C19" s="6">
        <f>SUMPRODUCT(('Sales Entry'!B5:B504=B19)*('Sales Entry'!M5:M504))</f>
        <v/>
      </c>
      <c r="D19" s="5">
        <f>SUMPRODUCT(('Sales Entry'!B5:B504=B19)*1)</f>
        <v/>
      </c>
      <c r="E19" s="6">
        <f>IFERROR(C19/D19,0)</f>
        <v/>
      </c>
      <c r="F19" s="6">
        <f>SUMPRODUCT(('Sales Entry'!B5:B504=B19)*('Sales Entry'!I5:I504="Cash")*('Sales Entry'!M5:M504))</f>
        <v/>
      </c>
      <c r="G19" s="6">
        <f>SUMPRODUCT(('Sales Entry'!B5:B504=B19)*('Sales Entry'!I5:I504="Card")*('Sales Entry'!M5:M504))</f>
        <v/>
      </c>
      <c r="H19" s="6">
        <f>SUMPRODUCT(('Sales Entry'!B5:B504=B19)*('Sales Entry'!I5:I504="Online")*('Sales Entry'!M5:M504))</f>
        <v/>
      </c>
      <c r="I19" s="6">
        <f>SUMPRODUCT(('Sales Entry'!B5:B504=B19)*('Sales Entry'!I5:I504="Bank Transfer")*('Sales Entry'!M5:M504))</f>
        <v/>
      </c>
      <c r="J19" s="5">
        <f>SUMPRODUCT(('Sales Entry'!B5:B504=B19)*('Sales Entry'!F5:F504))</f>
        <v/>
      </c>
      <c r="K19" s="6">
        <f>SUMPRODUCT(('Sales Entry'!B5:B504=B19)*('Sales Entry'!L5:L504))</f>
        <v/>
      </c>
    </row>
    <row r="20" ht="22" customHeight="1">
      <c r="B20" s="7" t="n"/>
      <c r="C20" s="10">
        <f>SUMPRODUCT(('Sales Entry'!B5:B504=B20)*('Sales Entry'!M5:M504))</f>
        <v/>
      </c>
      <c r="D20" s="9">
        <f>SUMPRODUCT(('Sales Entry'!B5:B504=B20)*1)</f>
        <v/>
      </c>
      <c r="E20" s="10">
        <f>IFERROR(C20/D20,0)</f>
        <v/>
      </c>
      <c r="F20" s="10">
        <f>SUMPRODUCT(('Sales Entry'!B5:B504=B20)*('Sales Entry'!I5:I504="Cash")*('Sales Entry'!M5:M504))</f>
        <v/>
      </c>
      <c r="G20" s="10">
        <f>SUMPRODUCT(('Sales Entry'!B5:B504=B20)*('Sales Entry'!I5:I504="Card")*('Sales Entry'!M5:M504))</f>
        <v/>
      </c>
      <c r="H20" s="10">
        <f>SUMPRODUCT(('Sales Entry'!B5:B504=B20)*('Sales Entry'!I5:I504="Online")*('Sales Entry'!M5:M504))</f>
        <v/>
      </c>
      <c r="I20" s="10">
        <f>SUMPRODUCT(('Sales Entry'!B5:B504=B20)*('Sales Entry'!I5:I504="Bank Transfer")*('Sales Entry'!M5:M504))</f>
        <v/>
      </c>
      <c r="J20" s="9">
        <f>SUMPRODUCT(('Sales Entry'!B5:B504=B20)*('Sales Entry'!F5:F504))</f>
        <v/>
      </c>
      <c r="K20" s="10">
        <f>SUMPRODUCT(('Sales Entry'!B5:B504=B20)*('Sales Entry'!L5:L504))</f>
        <v/>
      </c>
    </row>
    <row r="21" ht="22" customHeight="1">
      <c r="B21" s="3" t="n"/>
      <c r="C21" s="6">
        <f>SUMPRODUCT(('Sales Entry'!B5:B504=B21)*('Sales Entry'!M5:M504))</f>
        <v/>
      </c>
      <c r="D21" s="5">
        <f>SUMPRODUCT(('Sales Entry'!B5:B504=B21)*1)</f>
        <v/>
      </c>
      <c r="E21" s="6">
        <f>IFERROR(C21/D21,0)</f>
        <v/>
      </c>
      <c r="F21" s="6">
        <f>SUMPRODUCT(('Sales Entry'!B5:B504=B21)*('Sales Entry'!I5:I504="Cash")*('Sales Entry'!M5:M504))</f>
        <v/>
      </c>
      <c r="G21" s="6">
        <f>SUMPRODUCT(('Sales Entry'!B5:B504=B21)*('Sales Entry'!I5:I504="Card")*('Sales Entry'!M5:M504))</f>
        <v/>
      </c>
      <c r="H21" s="6">
        <f>SUMPRODUCT(('Sales Entry'!B5:B504=B21)*('Sales Entry'!I5:I504="Online")*('Sales Entry'!M5:M504))</f>
        <v/>
      </c>
      <c r="I21" s="6">
        <f>SUMPRODUCT(('Sales Entry'!B5:B504=B21)*('Sales Entry'!I5:I504="Bank Transfer")*('Sales Entry'!M5:M504))</f>
        <v/>
      </c>
      <c r="J21" s="5">
        <f>SUMPRODUCT(('Sales Entry'!B5:B504=B21)*('Sales Entry'!F5:F504))</f>
        <v/>
      </c>
      <c r="K21" s="6">
        <f>SUMPRODUCT(('Sales Entry'!B5:B504=B21)*('Sales Entry'!L5:L504))</f>
        <v/>
      </c>
    </row>
    <row r="22" ht="22" customHeight="1">
      <c r="B22" s="7" t="n"/>
      <c r="C22" s="10">
        <f>SUMPRODUCT(('Sales Entry'!B5:B504=B22)*('Sales Entry'!M5:M504))</f>
        <v/>
      </c>
      <c r="D22" s="9">
        <f>SUMPRODUCT(('Sales Entry'!B5:B504=B22)*1)</f>
        <v/>
      </c>
      <c r="E22" s="10">
        <f>IFERROR(C22/D22,0)</f>
        <v/>
      </c>
      <c r="F22" s="10">
        <f>SUMPRODUCT(('Sales Entry'!B5:B504=B22)*('Sales Entry'!I5:I504="Cash")*('Sales Entry'!M5:M504))</f>
        <v/>
      </c>
      <c r="G22" s="10">
        <f>SUMPRODUCT(('Sales Entry'!B5:B504=B22)*('Sales Entry'!I5:I504="Card")*('Sales Entry'!M5:M504))</f>
        <v/>
      </c>
      <c r="H22" s="10">
        <f>SUMPRODUCT(('Sales Entry'!B5:B504=B22)*('Sales Entry'!I5:I504="Online")*('Sales Entry'!M5:M504))</f>
        <v/>
      </c>
      <c r="I22" s="10">
        <f>SUMPRODUCT(('Sales Entry'!B5:B504=B22)*('Sales Entry'!I5:I504="Bank Transfer")*('Sales Entry'!M5:M504))</f>
        <v/>
      </c>
      <c r="J22" s="9">
        <f>SUMPRODUCT(('Sales Entry'!B5:B504=B22)*('Sales Entry'!F5:F504))</f>
        <v/>
      </c>
      <c r="K22" s="10">
        <f>SUMPRODUCT(('Sales Entry'!B5:B504=B22)*('Sales Entry'!L5:L504))</f>
        <v/>
      </c>
    </row>
    <row r="23" ht="22" customHeight="1">
      <c r="B23" s="3" t="n"/>
      <c r="C23" s="6">
        <f>SUMPRODUCT(('Sales Entry'!B5:B504=B23)*('Sales Entry'!M5:M504))</f>
        <v/>
      </c>
      <c r="D23" s="5">
        <f>SUMPRODUCT(('Sales Entry'!B5:B504=B23)*1)</f>
        <v/>
      </c>
      <c r="E23" s="6">
        <f>IFERROR(C23/D23,0)</f>
        <v/>
      </c>
      <c r="F23" s="6">
        <f>SUMPRODUCT(('Sales Entry'!B5:B504=B23)*('Sales Entry'!I5:I504="Cash")*('Sales Entry'!M5:M504))</f>
        <v/>
      </c>
      <c r="G23" s="6">
        <f>SUMPRODUCT(('Sales Entry'!B5:B504=B23)*('Sales Entry'!I5:I504="Card")*('Sales Entry'!M5:M504))</f>
        <v/>
      </c>
      <c r="H23" s="6">
        <f>SUMPRODUCT(('Sales Entry'!B5:B504=B23)*('Sales Entry'!I5:I504="Online")*('Sales Entry'!M5:M504))</f>
        <v/>
      </c>
      <c r="I23" s="6">
        <f>SUMPRODUCT(('Sales Entry'!B5:B504=B23)*('Sales Entry'!I5:I504="Bank Transfer")*('Sales Entry'!M5:M504))</f>
        <v/>
      </c>
      <c r="J23" s="5">
        <f>SUMPRODUCT(('Sales Entry'!B5:B504=B23)*('Sales Entry'!F5:F504))</f>
        <v/>
      </c>
      <c r="K23" s="6">
        <f>SUMPRODUCT(('Sales Entry'!B5:B504=B23)*('Sales Entry'!L5:L504))</f>
        <v/>
      </c>
    </row>
    <row r="24" ht="22" customHeight="1">
      <c r="B24" s="7" t="n"/>
      <c r="C24" s="10">
        <f>SUMPRODUCT(('Sales Entry'!B5:B504=B24)*('Sales Entry'!M5:M504))</f>
        <v/>
      </c>
      <c r="D24" s="9">
        <f>SUMPRODUCT(('Sales Entry'!B5:B504=B24)*1)</f>
        <v/>
      </c>
      <c r="E24" s="10">
        <f>IFERROR(C24/D24,0)</f>
        <v/>
      </c>
      <c r="F24" s="10">
        <f>SUMPRODUCT(('Sales Entry'!B5:B504=B24)*('Sales Entry'!I5:I504="Cash")*('Sales Entry'!M5:M504))</f>
        <v/>
      </c>
      <c r="G24" s="10">
        <f>SUMPRODUCT(('Sales Entry'!B5:B504=B24)*('Sales Entry'!I5:I504="Card")*('Sales Entry'!M5:M504))</f>
        <v/>
      </c>
      <c r="H24" s="10">
        <f>SUMPRODUCT(('Sales Entry'!B5:B504=B24)*('Sales Entry'!I5:I504="Online")*('Sales Entry'!M5:M504))</f>
        <v/>
      </c>
      <c r="I24" s="10">
        <f>SUMPRODUCT(('Sales Entry'!B5:B504=B24)*('Sales Entry'!I5:I504="Bank Transfer")*('Sales Entry'!M5:M504))</f>
        <v/>
      </c>
      <c r="J24" s="9">
        <f>SUMPRODUCT(('Sales Entry'!B5:B504=B24)*('Sales Entry'!F5:F504))</f>
        <v/>
      </c>
      <c r="K24" s="10">
        <f>SUMPRODUCT(('Sales Entry'!B5:B504=B24)*('Sales Entry'!L5:L504))</f>
        <v/>
      </c>
    </row>
    <row r="25" ht="22" customHeight="1">
      <c r="B25" s="3" t="n"/>
      <c r="C25" s="6">
        <f>SUMPRODUCT(('Sales Entry'!B5:B504=B25)*('Sales Entry'!M5:M504))</f>
        <v/>
      </c>
      <c r="D25" s="5">
        <f>SUMPRODUCT(('Sales Entry'!B5:B504=B25)*1)</f>
        <v/>
      </c>
      <c r="E25" s="6">
        <f>IFERROR(C25/D25,0)</f>
        <v/>
      </c>
      <c r="F25" s="6">
        <f>SUMPRODUCT(('Sales Entry'!B5:B504=B25)*('Sales Entry'!I5:I504="Cash")*('Sales Entry'!M5:M504))</f>
        <v/>
      </c>
      <c r="G25" s="6">
        <f>SUMPRODUCT(('Sales Entry'!B5:B504=B25)*('Sales Entry'!I5:I504="Card")*('Sales Entry'!M5:M504))</f>
        <v/>
      </c>
      <c r="H25" s="6">
        <f>SUMPRODUCT(('Sales Entry'!B5:B504=B25)*('Sales Entry'!I5:I504="Online")*('Sales Entry'!M5:M504))</f>
        <v/>
      </c>
      <c r="I25" s="6">
        <f>SUMPRODUCT(('Sales Entry'!B5:B504=B25)*('Sales Entry'!I5:I504="Bank Transfer")*('Sales Entry'!M5:M504))</f>
        <v/>
      </c>
      <c r="J25" s="5">
        <f>SUMPRODUCT(('Sales Entry'!B5:B504=B25)*('Sales Entry'!F5:F504))</f>
        <v/>
      </c>
      <c r="K25" s="6">
        <f>SUMPRODUCT(('Sales Entry'!B5:B504=B25)*('Sales Entry'!L5:L504))</f>
        <v/>
      </c>
    </row>
    <row r="26" ht="22" customHeight="1">
      <c r="B26" s="7" t="n"/>
      <c r="C26" s="10">
        <f>SUMPRODUCT(('Sales Entry'!B5:B504=B26)*('Sales Entry'!M5:M504))</f>
        <v/>
      </c>
      <c r="D26" s="9">
        <f>SUMPRODUCT(('Sales Entry'!B5:B504=B26)*1)</f>
        <v/>
      </c>
      <c r="E26" s="10">
        <f>IFERROR(C26/D26,0)</f>
        <v/>
      </c>
      <c r="F26" s="10">
        <f>SUMPRODUCT(('Sales Entry'!B5:B504=B26)*('Sales Entry'!I5:I504="Cash")*('Sales Entry'!M5:M504))</f>
        <v/>
      </c>
      <c r="G26" s="10">
        <f>SUMPRODUCT(('Sales Entry'!B5:B504=B26)*('Sales Entry'!I5:I504="Card")*('Sales Entry'!M5:M504))</f>
        <v/>
      </c>
      <c r="H26" s="10">
        <f>SUMPRODUCT(('Sales Entry'!B5:B504=B26)*('Sales Entry'!I5:I504="Online")*('Sales Entry'!M5:M504))</f>
        <v/>
      </c>
      <c r="I26" s="10">
        <f>SUMPRODUCT(('Sales Entry'!B5:B504=B26)*('Sales Entry'!I5:I504="Bank Transfer")*('Sales Entry'!M5:M504))</f>
        <v/>
      </c>
      <c r="J26" s="9">
        <f>SUMPRODUCT(('Sales Entry'!B5:B504=B26)*('Sales Entry'!F5:F504))</f>
        <v/>
      </c>
      <c r="K26" s="10">
        <f>SUMPRODUCT(('Sales Entry'!B5:B504=B26)*('Sales Entry'!L5:L504))</f>
        <v/>
      </c>
    </row>
    <row r="27" ht="22" customHeight="1">
      <c r="B27" s="3" t="n"/>
      <c r="C27" s="6">
        <f>SUMPRODUCT(('Sales Entry'!B5:B504=B27)*('Sales Entry'!M5:M504))</f>
        <v/>
      </c>
      <c r="D27" s="5">
        <f>SUMPRODUCT(('Sales Entry'!B5:B504=B27)*1)</f>
        <v/>
      </c>
      <c r="E27" s="6">
        <f>IFERROR(C27/D27,0)</f>
        <v/>
      </c>
      <c r="F27" s="6">
        <f>SUMPRODUCT(('Sales Entry'!B5:B504=B27)*('Sales Entry'!I5:I504="Cash")*('Sales Entry'!M5:M504))</f>
        <v/>
      </c>
      <c r="G27" s="6">
        <f>SUMPRODUCT(('Sales Entry'!B5:B504=B27)*('Sales Entry'!I5:I504="Card")*('Sales Entry'!M5:M504))</f>
        <v/>
      </c>
      <c r="H27" s="6">
        <f>SUMPRODUCT(('Sales Entry'!B5:B504=B27)*('Sales Entry'!I5:I504="Online")*('Sales Entry'!M5:M504))</f>
        <v/>
      </c>
      <c r="I27" s="6">
        <f>SUMPRODUCT(('Sales Entry'!B5:B504=B27)*('Sales Entry'!I5:I504="Bank Transfer")*('Sales Entry'!M5:M504))</f>
        <v/>
      </c>
      <c r="J27" s="5">
        <f>SUMPRODUCT(('Sales Entry'!B5:B504=B27)*('Sales Entry'!F5:F504))</f>
        <v/>
      </c>
      <c r="K27" s="6">
        <f>SUMPRODUCT(('Sales Entry'!B5:B504=B27)*('Sales Entry'!L5:L504))</f>
        <v/>
      </c>
    </row>
    <row r="28" ht="22" customHeight="1">
      <c r="B28" s="7" t="n"/>
      <c r="C28" s="10">
        <f>SUMPRODUCT(('Sales Entry'!B5:B504=B28)*('Sales Entry'!M5:M504))</f>
        <v/>
      </c>
      <c r="D28" s="9">
        <f>SUMPRODUCT(('Sales Entry'!B5:B504=B28)*1)</f>
        <v/>
      </c>
      <c r="E28" s="10">
        <f>IFERROR(C28/D28,0)</f>
        <v/>
      </c>
      <c r="F28" s="10">
        <f>SUMPRODUCT(('Sales Entry'!B5:B504=B28)*('Sales Entry'!I5:I504="Cash")*('Sales Entry'!M5:M504))</f>
        <v/>
      </c>
      <c r="G28" s="10">
        <f>SUMPRODUCT(('Sales Entry'!B5:B504=B28)*('Sales Entry'!I5:I504="Card")*('Sales Entry'!M5:M504))</f>
        <v/>
      </c>
      <c r="H28" s="10">
        <f>SUMPRODUCT(('Sales Entry'!B5:B504=B28)*('Sales Entry'!I5:I504="Online")*('Sales Entry'!M5:M504))</f>
        <v/>
      </c>
      <c r="I28" s="10">
        <f>SUMPRODUCT(('Sales Entry'!B5:B504=B28)*('Sales Entry'!I5:I504="Bank Transfer")*('Sales Entry'!M5:M504))</f>
        <v/>
      </c>
      <c r="J28" s="9">
        <f>SUMPRODUCT(('Sales Entry'!B5:B504=B28)*('Sales Entry'!F5:F504))</f>
        <v/>
      </c>
      <c r="K28" s="10">
        <f>SUMPRODUCT(('Sales Entry'!B5:B504=B28)*('Sales Entry'!L5:L504))</f>
        <v/>
      </c>
    </row>
    <row r="29" ht="22" customHeight="1">
      <c r="B29" s="3" t="n"/>
      <c r="C29" s="6">
        <f>SUMPRODUCT(('Sales Entry'!B5:B504=B29)*('Sales Entry'!M5:M504))</f>
        <v/>
      </c>
      <c r="D29" s="5">
        <f>SUMPRODUCT(('Sales Entry'!B5:B504=B29)*1)</f>
        <v/>
      </c>
      <c r="E29" s="6">
        <f>IFERROR(C29/D29,0)</f>
        <v/>
      </c>
      <c r="F29" s="6">
        <f>SUMPRODUCT(('Sales Entry'!B5:B504=B29)*('Sales Entry'!I5:I504="Cash")*('Sales Entry'!M5:M504))</f>
        <v/>
      </c>
      <c r="G29" s="6">
        <f>SUMPRODUCT(('Sales Entry'!B5:B504=B29)*('Sales Entry'!I5:I504="Card")*('Sales Entry'!M5:M504))</f>
        <v/>
      </c>
      <c r="H29" s="6">
        <f>SUMPRODUCT(('Sales Entry'!B5:B504=B29)*('Sales Entry'!I5:I504="Online")*('Sales Entry'!M5:M504))</f>
        <v/>
      </c>
      <c r="I29" s="6">
        <f>SUMPRODUCT(('Sales Entry'!B5:B504=B29)*('Sales Entry'!I5:I504="Bank Transfer")*('Sales Entry'!M5:M504))</f>
        <v/>
      </c>
      <c r="J29" s="5">
        <f>SUMPRODUCT(('Sales Entry'!B5:B504=B29)*('Sales Entry'!F5:F504))</f>
        <v/>
      </c>
      <c r="K29" s="6">
        <f>SUMPRODUCT(('Sales Entry'!B5:B504=B29)*('Sales Entry'!L5:L504))</f>
        <v/>
      </c>
    </row>
    <row r="30" ht="22" customHeight="1">
      <c r="B30" s="7" t="n"/>
      <c r="C30" s="10">
        <f>SUMPRODUCT(('Sales Entry'!B5:B504=B30)*('Sales Entry'!M5:M504))</f>
        <v/>
      </c>
      <c r="D30" s="9">
        <f>SUMPRODUCT(('Sales Entry'!B5:B504=B30)*1)</f>
        <v/>
      </c>
      <c r="E30" s="10">
        <f>IFERROR(C30/D30,0)</f>
        <v/>
      </c>
      <c r="F30" s="10">
        <f>SUMPRODUCT(('Sales Entry'!B5:B504=B30)*('Sales Entry'!I5:I504="Cash")*('Sales Entry'!M5:M504))</f>
        <v/>
      </c>
      <c r="G30" s="10">
        <f>SUMPRODUCT(('Sales Entry'!B5:B504=B30)*('Sales Entry'!I5:I504="Card")*('Sales Entry'!M5:M504))</f>
        <v/>
      </c>
      <c r="H30" s="10">
        <f>SUMPRODUCT(('Sales Entry'!B5:B504=B30)*('Sales Entry'!I5:I504="Online")*('Sales Entry'!M5:M504))</f>
        <v/>
      </c>
      <c r="I30" s="10">
        <f>SUMPRODUCT(('Sales Entry'!B5:B504=B30)*('Sales Entry'!I5:I504="Bank Transfer")*('Sales Entry'!M5:M504))</f>
        <v/>
      </c>
      <c r="J30" s="9">
        <f>SUMPRODUCT(('Sales Entry'!B5:B504=B30)*('Sales Entry'!F5:F504))</f>
        <v/>
      </c>
      <c r="K30" s="10">
        <f>SUMPRODUCT(('Sales Entry'!B5:B504=B30)*('Sales Entry'!L5:L504))</f>
        <v/>
      </c>
    </row>
    <row r="31" ht="22" customHeight="1">
      <c r="B31" s="3" t="n"/>
      <c r="C31" s="6">
        <f>SUMPRODUCT(('Sales Entry'!B5:B504=B31)*('Sales Entry'!M5:M504))</f>
        <v/>
      </c>
      <c r="D31" s="5">
        <f>SUMPRODUCT(('Sales Entry'!B5:B504=B31)*1)</f>
        <v/>
      </c>
      <c r="E31" s="6">
        <f>IFERROR(C31/D31,0)</f>
        <v/>
      </c>
      <c r="F31" s="6">
        <f>SUMPRODUCT(('Sales Entry'!B5:B504=B31)*('Sales Entry'!I5:I504="Cash")*('Sales Entry'!M5:M504))</f>
        <v/>
      </c>
      <c r="G31" s="6">
        <f>SUMPRODUCT(('Sales Entry'!B5:B504=B31)*('Sales Entry'!I5:I504="Card")*('Sales Entry'!M5:M504))</f>
        <v/>
      </c>
      <c r="H31" s="6">
        <f>SUMPRODUCT(('Sales Entry'!B5:B504=B31)*('Sales Entry'!I5:I504="Online")*('Sales Entry'!M5:M504))</f>
        <v/>
      </c>
      <c r="I31" s="6">
        <f>SUMPRODUCT(('Sales Entry'!B5:B504=B31)*('Sales Entry'!I5:I504="Bank Transfer")*('Sales Entry'!M5:M504))</f>
        <v/>
      </c>
      <c r="J31" s="5">
        <f>SUMPRODUCT(('Sales Entry'!B5:B504=B31)*('Sales Entry'!F5:F504))</f>
        <v/>
      </c>
      <c r="K31" s="6">
        <f>SUMPRODUCT(('Sales Entry'!B5:B504=B31)*('Sales Entry'!L5:L504))</f>
        <v/>
      </c>
    </row>
    <row r="32" ht="22" customHeight="1">
      <c r="B32" s="7" t="n"/>
      <c r="C32" s="10">
        <f>SUMPRODUCT(('Sales Entry'!B5:B504=B32)*('Sales Entry'!M5:M504))</f>
        <v/>
      </c>
      <c r="D32" s="9">
        <f>SUMPRODUCT(('Sales Entry'!B5:B504=B32)*1)</f>
        <v/>
      </c>
      <c r="E32" s="10">
        <f>IFERROR(C32/D32,0)</f>
        <v/>
      </c>
      <c r="F32" s="10">
        <f>SUMPRODUCT(('Sales Entry'!B5:B504=B32)*('Sales Entry'!I5:I504="Cash")*('Sales Entry'!M5:M504))</f>
        <v/>
      </c>
      <c r="G32" s="10">
        <f>SUMPRODUCT(('Sales Entry'!B5:B504=B32)*('Sales Entry'!I5:I504="Card")*('Sales Entry'!M5:M504))</f>
        <v/>
      </c>
      <c r="H32" s="10">
        <f>SUMPRODUCT(('Sales Entry'!B5:B504=B32)*('Sales Entry'!I5:I504="Online")*('Sales Entry'!M5:M504))</f>
        <v/>
      </c>
      <c r="I32" s="10">
        <f>SUMPRODUCT(('Sales Entry'!B5:B504=B32)*('Sales Entry'!I5:I504="Bank Transfer")*('Sales Entry'!M5:M504))</f>
        <v/>
      </c>
      <c r="J32" s="9">
        <f>SUMPRODUCT(('Sales Entry'!B5:B504=B32)*('Sales Entry'!F5:F504))</f>
        <v/>
      </c>
      <c r="K32" s="10">
        <f>SUMPRODUCT(('Sales Entry'!B5:B504=B32)*('Sales Entry'!L5:L504))</f>
        <v/>
      </c>
    </row>
    <row r="33" ht="22" customHeight="1">
      <c r="B33" s="3" t="n"/>
      <c r="C33" s="6">
        <f>SUMPRODUCT(('Sales Entry'!B5:B504=B33)*('Sales Entry'!M5:M504))</f>
        <v/>
      </c>
      <c r="D33" s="5">
        <f>SUMPRODUCT(('Sales Entry'!B5:B504=B33)*1)</f>
        <v/>
      </c>
      <c r="E33" s="6">
        <f>IFERROR(C33/D33,0)</f>
        <v/>
      </c>
      <c r="F33" s="6">
        <f>SUMPRODUCT(('Sales Entry'!B5:B504=B33)*('Sales Entry'!I5:I504="Cash")*('Sales Entry'!M5:M504))</f>
        <v/>
      </c>
      <c r="G33" s="6">
        <f>SUMPRODUCT(('Sales Entry'!B5:B504=B33)*('Sales Entry'!I5:I504="Card")*('Sales Entry'!M5:M504))</f>
        <v/>
      </c>
      <c r="H33" s="6">
        <f>SUMPRODUCT(('Sales Entry'!B5:B504=B33)*('Sales Entry'!I5:I504="Online")*('Sales Entry'!M5:M504))</f>
        <v/>
      </c>
      <c r="I33" s="6">
        <f>SUMPRODUCT(('Sales Entry'!B5:B504=B33)*('Sales Entry'!I5:I504="Bank Transfer")*('Sales Entry'!M5:M504))</f>
        <v/>
      </c>
      <c r="J33" s="5">
        <f>SUMPRODUCT(('Sales Entry'!B5:B504=B33)*('Sales Entry'!F5:F504))</f>
        <v/>
      </c>
      <c r="K33" s="6">
        <f>SUMPRODUCT(('Sales Entry'!B5:B504=B33)*('Sales Entry'!L5:L504))</f>
        <v/>
      </c>
    </row>
    <row r="34" ht="22" customHeight="1">
      <c r="B34" s="7" t="n"/>
      <c r="C34" s="10">
        <f>SUMPRODUCT(('Sales Entry'!B5:B504=B34)*('Sales Entry'!M5:M504))</f>
        <v/>
      </c>
      <c r="D34" s="9">
        <f>SUMPRODUCT(('Sales Entry'!B5:B504=B34)*1)</f>
        <v/>
      </c>
      <c r="E34" s="10">
        <f>IFERROR(C34/D34,0)</f>
        <v/>
      </c>
      <c r="F34" s="10">
        <f>SUMPRODUCT(('Sales Entry'!B5:B504=B34)*('Sales Entry'!I5:I504="Cash")*('Sales Entry'!M5:M504))</f>
        <v/>
      </c>
      <c r="G34" s="10">
        <f>SUMPRODUCT(('Sales Entry'!B5:B504=B34)*('Sales Entry'!I5:I504="Card")*('Sales Entry'!M5:M504))</f>
        <v/>
      </c>
      <c r="H34" s="10">
        <f>SUMPRODUCT(('Sales Entry'!B5:B504=B34)*('Sales Entry'!I5:I504="Online")*('Sales Entry'!M5:M504))</f>
        <v/>
      </c>
      <c r="I34" s="10">
        <f>SUMPRODUCT(('Sales Entry'!B5:B504=B34)*('Sales Entry'!I5:I504="Bank Transfer")*('Sales Entry'!M5:M504))</f>
        <v/>
      </c>
      <c r="J34" s="9">
        <f>SUMPRODUCT(('Sales Entry'!B5:B504=B34)*('Sales Entry'!F5:F504))</f>
        <v/>
      </c>
      <c r="K34" s="10">
        <f>SUMPRODUCT(('Sales Entry'!B5:B504=B34)*('Sales Entry'!L5:L504))</f>
        <v/>
      </c>
    </row>
    <row r="35" ht="22" customHeight="1">
      <c r="B35" s="3" t="n"/>
      <c r="C35" s="6">
        <f>SUMPRODUCT(('Sales Entry'!B5:B504=B35)*('Sales Entry'!M5:M504))</f>
        <v/>
      </c>
      <c r="D35" s="5">
        <f>SUMPRODUCT(('Sales Entry'!B5:B504=B35)*1)</f>
        <v/>
      </c>
      <c r="E35" s="6">
        <f>IFERROR(C35/D35,0)</f>
        <v/>
      </c>
      <c r="F35" s="6">
        <f>SUMPRODUCT(('Sales Entry'!B5:B504=B35)*('Sales Entry'!I5:I504="Cash")*('Sales Entry'!M5:M504))</f>
        <v/>
      </c>
      <c r="G35" s="6">
        <f>SUMPRODUCT(('Sales Entry'!B5:B504=B35)*('Sales Entry'!I5:I504="Card")*('Sales Entry'!M5:M504))</f>
        <v/>
      </c>
      <c r="H35" s="6">
        <f>SUMPRODUCT(('Sales Entry'!B5:B504=B35)*('Sales Entry'!I5:I504="Online")*('Sales Entry'!M5:M504))</f>
        <v/>
      </c>
      <c r="I35" s="6">
        <f>SUMPRODUCT(('Sales Entry'!B5:B504=B35)*('Sales Entry'!I5:I504="Bank Transfer")*('Sales Entry'!M5:M504))</f>
        <v/>
      </c>
      <c r="J35" s="5">
        <f>SUMPRODUCT(('Sales Entry'!B5:B504=B35)*('Sales Entry'!F5:F504))</f>
        <v/>
      </c>
      <c r="K35" s="6">
        <f>SUMPRODUCT(('Sales Entry'!B5:B504=B35)*('Sales Entry'!L5:L504))</f>
        <v/>
      </c>
    </row>
    <row r="36" ht="26" customHeight="1">
      <c r="B36" s="11" t="inlineStr">
        <is>
          <t>TOTAL</t>
        </is>
      </c>
      <c r="C36" s="14">
        <f>SUM(C5:C35)</f>
        <v/>
      </c>
      <c r="D36" s="13">
        <f>SUM(D5:D35)</f>
        <v/>
      </c>
      <c r="E36" s="14">
        <f>IFERROR(C36/D36,0)</f>
        <v/>
      </c>
      <c r="F36" s="14">
        <f>SUM(F5:F35)</f>
        <v/>
      </c>
      <c r="G36" s="14">
        <f>SUM(G5:G35)</f>
        <v/>
      </c>
      <c r="H36" s="14">
        <f>SUM(H5:H35)</f>
        <v/>
      </c>
      <c r="I36" s="14">
        <f>SUM(I5:I35)</f>
        <v/>
      </c>
      <c r="J36" s="13">
        <f>SUM(J5:J35)</f>
        <v/>
      </c>
      <c r="K36" s="14">
        <f>SUM(K5:K35)</f>
        <v/>
      </c>
    </row>
  </sheetData>
  <mergeCells count="1">
    <mergeCell ref="B2:K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B2A"/>
    <outlinePr summaryBelow="1" summaryRight="1"/>
    <pageSetUpPr/>
  </sheetPr>
  <dimension ref="B2:I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4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15" customHeight="1"/>
    <row r="2" ht="32" customHeight="1">
      <c r="B2" s="1" t="inlineStr">
        <is>
          <t>Weekly Summary — 52 Weeks</t>
        </is>
      </c>
    </row>
    <row r="3" ht="8" customHeight="1"/>
    <row r="4" ht="28" customHeight="1">
      <c r="B4" s="2" t="inlineStr">
        <is>
          <t>Week #</t>
        </is>
      </c>
      <c r="C4" s="2" t="inlineStr">
        <is>
          <t>Week Start</t>
        </is>
      </c>
      <c r="D4" s="2" t="inlineStr">
        <is>
          <t>Week End</t>
        </is>
      </c>
      <c r="E4" s="2" t="inlineStr">
        <is>
          <t>Total Sales</t>
        </is>
      </c>
      <c r="F4" s="2" t="inlineStr">
        <is>
          <t># Transactions</t>
        </is>
      </c>
      <c r="G4" s="2" t="inlineStr">
        <is>
          <t>Avg Transaction</t>
        </is>
      </c>
      <c r="H4" s="2" t="inlineStr">
        <is>
          <t>Top Staff</t>
        </is>
      </c>
      <c r="I4" s="2" t="inlineStr">
        <is>
          <t>Profit Estimate</t>
        </is>
      </c>
    </row>
    <row r="5" ht="22" customHeight="1">
      <c r="B5" s="15" t="n">
        <v>1</v>
      </c>
      <c r="C5" s="3" t="n"/>
      <c r="D5" s="3" t="n"/>
      <c r="E5" s="6">
        <f>SUMPRODUCT(('Daily Summary'!B5:B35&gt;=C5)*('Daily Summary'!B5:B35&lt;=D5)*('Daily Summary'!C5:C35))</f>
        <v/>
      </c>
      <c r="F5" s="5">
        <f>SUMPRODUCT(('Daily Summary'!B5:B35&gt;=C5)*('Daily Summary'!B5:B35&lt;=D5)*('Daily Summary'!D5:D35))</f>
        <v/>
      </c>
      <c r="G5" s="6">
        <f>IFERROR(E5/F5,0)</f>
        <v/>
      </c>
      <c r="H5" s="4" t="n"/>
      <c r="I5" s="6">
        <f>E5*0.3</f>
        <v/>
      </c>
    </row>
    <row r="6" ht="22" customHeight="1">
      <c r="B6" s="16" t="n">
        <v>2</v>
      </c>
      <c r="C6" s="7" t="n"/>
      <c r="D6" s="7" t="n"/>
      <c r="E6" s="10">
        <f>SUMPRODUCT(('Daily Summary'!B5:B35&gt;=C6)*('Daily Summary'!B5:B35&lt;=D6)*('Daily Summary'!C5:C35))</f>
        <v/>
      </c>
      <c r="F6" s="9">
        <f>SUMPRODUCT(('Daily Summary'!B5:B35&gt;=C6)*('Daily Summary'!B5:B35&lt;=D6)*('Daily Summary'!D5:D35))</f>
        <v/>
      </c>
      <c r="G6" s="10">
        <f>IFERROR(E6/F6,0)</f>
        <v/>
      </c>
      <c r="H6" s="8" t="n"/>
      <c r="I6" s="10">
        <f>E6*0.3</f>
        <v/>
      </c>
    </row>
    <row r="7" ht="22" customHeight="1">
      <c r="B7" s="15" t="n">
        <v>3</v>
      </c>
      <c r="C7" s="3" t="n"/>
      <c r="D7" s="3" t="n"/>
      <c r="E7" s="6">
        <f>SUMPRODUCT(('Daily Summary'!B5:B35&gt;=C7)*('Daily Summary'!B5:B35&lt;=D7)*('Daily Summary'!C5:C35))</f>
        <v/>
      </c>
      <c r="F7" s="5">
        <f>SUMPRODUCT(('Daily Summary'!B5:B35&gt;=C7)*('Daily Summary'!B5:B35&lt;=D7)*('Daily Summary'!D5:D35))</f>
        <v/>
      </c>
      <c r="G7" s="6">
        <f>IFERROR(E7/F7,0)</f>
        <v/>
      </c>
      <c r="H7" s="4" t="n"/>
      <c r="I7" s="6">
        <f>E7*0.3</f>
        <v/>
      </c>
    </row>
    <row r="8" ht="22" customHeight="1">
      <c r="B8" s="16" t="n">
        <v>4</v>
      </c>
      <c r="C8" s="7" t="n"/>
      <c r="D8" s="7" t="n"/>
      <c r="E8" s="10">
        <f>SUMPRODUCT(('Daily Summary'!B5:B35&gt;=C8)*('Daily Summary'!B5:B35&lt;=D8)*('Daily Summary'!C5:C35))</f>
        <v/>
      </c>
      <c r="F8" s="9">
        <f>SUMPRODUCT(('Daily Summary'!B5:B35&gt;=C8)*('Daily Summary'!B5:B35&lt;=D8)*('Daily Summary'!D5:D35))</f>
        <v/>
      </c>
      <c r="G8" s="10">
        <f>IFERROR(E8/F8,0)</f>
        <v/>
      </c>
      <c r="H8" s="8" t="n"/>
      <c r="I8" s="10">
        <f>E8*0.3</f>
        <v/>
      </c>
    </row>
    <row r="9" ht="22" customHeight="1">
      <c r="B9" s="15" t="n">
        <v>5</v>
      </c>
      <c r="C9" s="3" t="n"/>
      <c r="D9" s="3" t="n"/>
      <c r="E9" s="6">
        <f>SUMPRODUCT(('Daily Summary'!B5:B35&gt;=C9)*('Daily Summary'!B5:B35&lt;=D9)*('Daily Summary'!C5:C35))</f>
        <v/>
      </c>
      <c r="F9" s="5">
        <f>SUMPRODUCT(('Daily Summary'!B5:B35&gt;=C9)*('Daily Summary'!B5:B35&lt;=D9)*('Daily Summary'!D5:D35))</f>
        <v/>
      </c>
      <c r="G9" s="6">
        <f>IFERROR(E9/F9,0)</f>
        <v/>
      </c>
      <c r="H9" s="4" t="n"/>
      <c r="I9" s="6">
        <f>E9*0.3</f>
        <v/>
      </c>
    </row>
    <row r="10" ht="22" customHeight="1">
      <c r="B10" s="16" t="n">
        <v>6</v>
      </c>
      <c r="C10" s="7" t="n"/>
      <c r="D10" s="7" t="n"/>
      <c r="E10" s="10">
        <f>SUMPRODUCT(('Daily Summary'!B5:B35&gt;=C10)*('Daily Summary'!B5:B35&lt;=D10)*('Daily Summary'!C5:C35))</f>
        <v/>
      </c>
      <c r="F10" s="9">
        <f>SUMPRODUCT(('Daily Summary'!B5:B35&gt;=C10)*('Daily Summary'!B5:B35&lt;=D10)*('Daily Summary'!D5:D35))</f>
        <v/>
      </c>
      <c r="G10" s="10">
        <f>IFERROR(E10/F10,0)</f>
        <v/>
      </c>
      <c r="H10" s="8" t="n"/>
      <c r="I10" s="10">
        <f>E10*0.3</f>
        <v/>
      </c>
    </row>
    <row r="11" ht="22" customHeight="1">
      <c r="B11" s="15" t="n">
        <v>7</v>
      </c>
      <c r="C11" s="3" t="n"/>
      <c r="D11" s="3" t="n"/>
      <c r="E11" s="6">
        <f>SUMPRODUCT(('Daily Summary'!B5:B35&gt;=C11)*('Daily Summary'!B5:B35&lt;=D11)*('Daily Summary'!C5:C35))</f>
        <v/>
      </c>
      <c r="F11" s="5">
        <f>SUMPRODUCT(('Daily Summary'!B5:B35&gt;=C11)*('Daily Summary'!B5:B35&lt;=D11)*('Daily Summary'!D5:D35))</f>
        <v/>
      </c>
      <c r="G11" s="6">
        <f>IFERROR(E11/F11,0)</f>
        <v/>
      </c>
      <c r="H11" s="4" t="n"/>
      <c r="I11" s="6">
        <f>E11*0.3</f>
        <v/>
      </c>
    </row>
    <row r="12" ht="22" customHeight="1">
      <c r="B12" s="16" t="n">
        <v>8</v>
      </c>
      <c r="C12" s="7" t="n"/>
      <c r="D12" s="7" t="n"/>
      <c r="E12" s="10">
        <f>SUMPRODUCT(('Daily Summary'!B5:B35&gt;=C12)*('Daily Summary'!B5:B35&lt;=D12)*('Daily Summary'!C5:C35))</f>
        <v/>
      </c>
      <c r="F12" s="9">
        <f>SUMPRODUCT(('Daily Summary'!B5:B35&gt;=C12)*('Daily Summary'!B5:B35&lt;=D12)*('Daily Summary'!D5:D35))</f>
        <v/>
      </c>
      <c r="G12" s="10">
        <f>IFERROR(E12/F12,0)</f>
        <v/>
      </c>
      <c r="H12" s="8" t="n"/>
      <c r="I12" s="10">
        <f>E12*0.3</f>
        <v/>
      </c>
    </row>
    <row r="13" ht="22" customHeight="1">
      <c r="B13" s="15" t="n">
        <v>9</v>
      </c>
      <c r="C13" s="3" t="n"/>
      <c r="D13" s="3" t="n"/>
      <c r="E13" s="6">
        <f>SUMPRODUCT(('Daily Summary'!B5:B35&gt;=C13)*('Daily Summary'!B5:B35&lt;=D13)*('Daily Summary'!C5:C35))</f>
        <v/>
      </c>
      <c r="F13" s="5">
        <f>SUMPRODUCT(('Daily Summary'!B5:B35&gt;=C13)*('Daily Summary'!B5:B35&lt;=D13)*('Daily Summary'!D5:D35))</f>
        <v/>
      </c>
      <c r="G13" s="6">
        <f>IFERROR(E13/F13,0)</f>
        <v/>
      </c>
      <c r="H13" s="4" t="n"/>
      <c r="I13" s="6">
        <f>E13*0.3</f>
        <v/>
      </c>
    </row>
    <row r="14" ht="22" customHeight="1">
      <c r="B14" s="16" t="n">
        <v>10</v>
      </c>
      <c r="C14" s="7" t="n"/>
      <c r="D14" s="7" t="n"/>
      <c r="E14" s="10">
        <f>SUMPRODUCT(('Daily Summary'!B5:B35&gt;=C14)*('Daily Summary'!B5:B35&lt;=D14)*('Daily Summary'!C5:C35))</f>
        <v/>
      </c>
      <c r="F14" s="9">
        <f>SUMPRODUCT(('Daily Summary'!B5:B35&gt;=C14)*('Daily Summary'!B5:B35&lt;=D14)*('Daily Summary'!D5:D35))</f>
        <v/>
      </c>
      <c r="G14" s="10">
        <f>IFERROR(E14/F14,0)</f>
        <v/>
      </c>
      <c r="H14" s="8" t="n"/>
      <c r="I14" s="10">
        <f>E14*0.3</f>
        <v/>
      </c>
    </row>
    <row r="15" ht="22" customHeight="1">
      <c r="B15" s="15" t="n">
        <v>11</v>
      </c>
      <c r="C15" s="3" t="n"/>
      <c r="D15" s="3" t="n"/>
      <c r="E15" s="6">
        <f>SUMPRODUCT(('Daily Summary'!B5:B35&gt;=C15)*('Daily Summary'!B5:B35&lt;=D15)*('Daily Summary'!C5:C35))</f>
        <v/>
      </c>
      <c r="F15" s="5">
        <f>SUMPRODUCT(('Daily Summary'!B5:B35&gt;=C15)*('Daily Summary'!B5:B35&lt;=D15)*('Daily Summary'!D5:D35))</f>
        <v/>
      </c>
      <c r="G15" s="6">
        <f>IFERROR(E15/F15,0)</f>
        <v/>
      </c>
      <c r="H15" s="4" t="n"/>
      <c r="I15" s="6">
        <f>E15*0.3</f>
        <v/>
      </c>
    </row>
    <row r="16" ht="22" customHeight="1">
      <c r="B16" s="16" t="n">
        <v>12</v>
      </c>
      <c r="C16" s="7" t="n"/>
      <c r="D16" s="7" t="n"/>
      <c r="E16" s="10">
        <f>SUMPRODUCT(('Daily Summary'!B5:B35&gt;=C16)*('Daily Summary'!B5:B35&lt;=D16)*('Daily Summary'!C5:C35))</f>
        <v/>
      </c>
      <c r="F16" s="9">
        <f>SUMPRODUCT(('Daily Summary'!B5:B35&gt;=C16)*('Daily Summary'!B5:B35&lt;=D16)*('Daily Summary'!D5:D35))</f>
        <v/>
      </c>
      <c r="G16" s="10">
        <f>IFERROR(E16/F16,0)</f>
        <v/>
      </c>
      <c r="H16" s="8" t="n"/>
      <c r="I16" s="10">
        <f>E16*0.3</f>
        <v/>
      </c>
    </row>
    <row r="17" ht="22" customHeight="1">
      <c r="B17" s="15" t="n">
        <v>13</v>
      </c>
      <c r="C17" s="3" t="n"/>
      <c r="D17" s="3" t="n"/>
      <c r="E17" s="6">
        <f>SUMPRODUCT(('Daily Summary'!B5:B35&gt;=C17)*('Daily Summary'!B5:B35&lt;=D17)*('Daily Summary'!C5:C35))</f>
        <v/>
      </c>
      <c r="F17" s="5">
        <f>SUMPRODUCT(('Daily Summary'!B5:B35&gt;=C17)*('Daily Summary'!B5:B35&lt;=D17)*('Daily Summary'!D5:D35))</f>
        <v/>
      </c>
      <c r="G17" s="6">
        <f>IFERROR(E17/F17,0)</f>
        <v/>
      </c>
      <c r="H17" s="4" t="n"/>
      <c r="I17" s="6">
        <f>E17*0.3</f>
        <v/>
      </c>
    </row>
    <row r="18" ht="22" customHeight="1">
      <c r="B18" s="16" t="n">
        <v>14</v>
      </c>
      <c r="C18" s="7" t="n"/>
      <c r="D18" s="7" t="n"/>
      <c r="E18" s="10">
        <f>SUMPRODUCT(('Daily Summary'!B5:B35&gt;=C18)*('Daily Summary'!B5:B35&lt;=D18)*('Daily Summary'!C5:C35))</f>
        <v/>
      </c>
      <c r="F18" s="9">
        <f>SUMPRODUCT(('Daily Summary'!B5:B35&gt;=C18)*('Daily Summary'!B5:B35&lt;=D18)*('Daily Summary'!D5:D35))</f>
        <v/>
      </c>
      <c r="G18" s="10">
        <f>IFERROR(E18/F18,0)</f>
        <v/>
      </c>
      <c r="H18" s="8" t="n"/>
      <c r="I18" s="10">
        <f>E18*0.3</f>
        <v/>
      </c>
    </row>
    <row r="19" ht="22" customHeight="1">
      <c r="B19" s="15" t="n">
        <v>15</v>
      </c>
      <c r="C19" s="3" t="n"/>
      <c r="D19" s="3" t="n"/>
      <c r="E19" s="6">
        <f>SUMPRODUCT(('Daily Summary'!B5:B35&gt;=C19)*('Daily Summary'!B5:B35&lt;=D19)*('Daily Summary'!C5:C35))</f>
        <v/>
      </c>
      <c r="F19" s="5">
        <f>SUMPRODUCT(('Daily Summary'!B5:B35&gt;=C19)*('Daily Summary'!B5:B35&lt;=D19)*('Daily Summary'!D5:D35))</f>
        <v/>
      </c>
      <c r="G19" s="6">
        <f>IFERROR(E19/F19,0)</f>
        <v/>
      </c>
      <c r="H19" s="4" t="n"/>
      <c r="I19" s="6">
        <f>E19*0.3</f>
        <v/>
      </c>
    </row>
    <row r="20" ht="22" customHeight="1">
      <c r="B20" s="16" t="n">
        <v>16</v>
      </c>
      <c r="C20" s="7" t="n"/>
      <c r="D20" s="7" t="n"/>
      <c r="E20" s="10">
        <f>SUMPRODUCT(('Daily Summary'!B5:B35&gt;=C20)*('Daily Summary'!B5:B35&lt;=D20)*('Daily Summary'!C5:C35))</f>
        <v/>
      </c>
      <c r="F20" s="9">
        <f>SUMPRODUCT(('Daily Summary'!B5:B35&gt;=C20)*('Daily Summary'!B5:B35&lt;=D20)*('Daily Summary'!D5:D35))</f>
        <v/>
      </c>
      <c r="G20" s="10">
        <f>IFERROR(E20/F20,0)</f>
        <v/>
      </c>
      <c r="H20" s="8" t="n"/>
      <c r="I20" s="10">
        <f>E20*0.3</f>
        <v/>
      </c>
    </row>
    <row r="21" ht="22" customHeight="1">
      <c r="B21" s="15" t="n">
        <v>17</v>
      </c>
      <c r="C21" s="3" t="n"/>
      <c r="D21" s="3" t="n"/>
      <c r="E21" s="6">
        <f>SUMPRODUCT(('Daily Summary'!B5:B35&gt;=C21)*('Daily Summary'!B5:B35&lt;=D21)*('Daily Summary'!C5:C35))</f>
        <v/>
      </c>
      <c r="F21" s="5">
        <f>SUMPRODUCT(('Daily Summary'!B5:B35&gt;=C21)*('Daily Summary'!B5:B35&lt;=D21)*('Daily Summary'!D5:D35))</f>
        <v/>
      </c>
      <c r="G21" s="6">
        <f>IFERROR(E21/F21,0)</f>
        <v/>
      </c>
      <c r="H21" s="4" t="n"/>
      <c r="I21" s="6">
        <f>E21*0.3</f>
        <v/>
      </c>
    </row>
    <row r="22" ht="22" customHeight="1">
      <c r="B22" s="16" t="n">
        <v>18</v>
      </c>
      <c r="C22" s="7" t="n"/>
      <c r="D22" s="7" t="n"/>
      <c r="E22" s="10">
        <f>SUMPRODUCT(('Daily Summary'!B5:B35&gt;=C22)*('Daily Summary'!B5:B35&lt;=D22)*('Daily Summary'!C5:C35))</f>
        <v/>
      </c>
      <c r="F22" s="9">
        <f>SUMPRODUCT(('Daily Summary'!B5:B35&gt;=C22)*('Daily Summary'!B5:B35&lt;=D22)*('Daily Summary'!D5:D35))</f>
        <v/>
      </c>
      <c r="G22" s="10">
        <f>IFERROR(E22/F22,0)</f>
        <v/>
      </c>
      <c r="H22" s="8" t="n"/>
      <c r="I22" s="10">
        <f>E22*0.3</f>
        <v/>
      </c>
    </row>
    <row r="23" ht="22" customHeight="1">
      <c r="B23" s="15" t="n">
        <v>19</v>
      </c>
      <c r="C23" s="3" t="n"/>
      <c r="D23" s="3" t="n"/>
      <c r="E23" s="6">
        <f>SUMPRODUCT(('Daily Summary'!B5:B35&gt;=C23)*('Daily Summary'!B5:B35&lt;=D23)*('Daily Summary'!C5:C35))</f>
        <v/>
      </c>
      <c r="F23" s="5">
        <f>SUMPRODUCT(('Daily Summary'!B5:B35&gt;=C23)*('Daily Summary'!B5:B35&lt;=D23)*('Daily Summary'!D5:D35))</f>
        <v/>
      </c>
      <c r="G23" s="6">
        <f>IFERROR(E23/F23,0)</f>
        <v/>
      </c>
      <c r="H23" s="4" t="n"/>
      <c r="I23" s="6">
        <f>E23*0.3</f>
        <v/>
      </c>
    </row>
    <row r="24" ht="22" customHeight="1">
      <c r="B24" s="16" t="n">
        <v>20</v>
      </c>
      <c r="C24" s="7" t="n"/>
      <c r="D24" s="7" t="n"/>
      <c r="E24" s="10">
        <f>SUMPRODUCT(('Daily Summary'!B5:B35&gt;=C24)*('Daily Summary'!B5:B35&lt;=D24)*('Daily Summary'!C5:C35))</f>
        <v/>
      </c>
      <c r="F24" s="9">
        <f>SUMPRODUCT(('Daily Summary'!B5:B35&gt;=C24)*('Daily Summary'!B5:B35&lt;=D24)*('Daily Summary'!D5:D35))</f>
        <v/>
      </c>
      <c r="G24" s="10">
        <f>IFERROR(E24/F24,0)</f>
        <v/>
      </c>
      <c r="H24" s="8" t="n"/>
      <c r="I24" s="10">
        <f>E24*0.3</f>
        <v/>
      </c>
    </row>
    <row r="25" ht="22" customHeight="1">
      <c r="B25" s="15" t="n">
        <v>21</v>
      </c>
      <c r="C25" s="3" t="n"/>
      <c r="D25" s="3" t="n"/>
      <c r="E25" s="6">
        <f>SUMPRODUCT(('Daily Summary'!B5:B35&gt;=C25)*('Daily Summary'!B5:B35&lt;=D25)*('Daily Summary'!C5:C35))</f>
        <v/>
      </c>
      <c r="F25" s="5">
        <f>SUMPRODUCT(('Daily Summary'!B5:B35&gt;=C25)*('Daily Summary'!B5:B35&lt;=D25)*('Daily Summary'!D5:D35))</f>
        <v/>
      </c>
      <c r="G25" s="6">
        <f>IFERROR(E25/F25,0)</f>
        <v/>
      </c>
      <c r="H25" s="4" t="n"/>
      <c r="I25" s="6">
        <f>E25*0.3</f>
        <v/>
      </c>
    </row>
    <row r="26" ht="22" customHeight="1">
      <c r="B26" s="16" t="n">
        <v>22</v>
      </c>
      <c r="C26" s="7" t="n"/>
      <c r="D26" s="7" t="n"/>
      <c r="E26" s="10">
        <f>SUMPRODUCT(('Daily Summary'!B5:B35&gt;=C26)*('Daily Summary'!B5:B35&lt;=D26)*('Daily Summary'!C5:C35))</f>
        <v/>
      </c>
      <c r="F26" s="9">
        <f>SUMPRODUCT(('Daily Summary'!B5:B35&gt;=C26)*('Daily Summary'!B5:B35&lt;=D26)*('Daily Summary'!D5:D35))</f>
        <v/>
      </c>
      <c r="G26" s="10">
        <f>IFERROR(E26/F26,0)</f>
        <v/>
      </c>
      <c r="H26" s="8" t="n"/>
      <c r="I26" s="10">
        <f>E26*0.3</f>
        <v/>
      </c>
    </row>
    <row r="27" ht="22" customHeight="1">
      <c r="B27" s="15" t="n">
        <v>23</v>
      </c>
      <c r="C27" s="3" t="n"/>
      <c r="D27" s="3" t="n"/>
      <c r="E27" s="6">
        <f>SUMPRODUCT(('Daily Summary'!B5:B35&gt;=C27)*('Daily Summary'!B5:B35&lt;=D27)*('Daily Summary'!C5:C35))</f>
        <v/>
      </c>
      <c r="F27" s="5">
        <f>SUMPRODUCT(('Daily Summary'!B5:B35&gt;=C27)*('Daily Summary'!B5:B35&lt;=D27)*('Daily Summary'!D5:D35))</f>
        <v/>
      </c>
      <c r="G27" s="6">
        <f>IFERROR(E27/F27,0)</f>
        <v/>
      </c>
      <c r="H27" s="4" t="n"/>
      <c r="I27" s="6">
        <f>E27*0.3</f>
        <v/>
      </c>
    </row>
    <row r="28" ht="22" customHeight="1">
      <c r="B28" s="16" t="n">
        <v>24</v>
      </c>
      <c r="C28" s="7" t="n"/>
      <c r="D28" s="7" t="n"/>
      <c r="E28" s="10">
        <f>SUMPRODUCT(('Daily Summary'!B5:B35&gt;=C28)*('Daily Summary'!B5:B35&lt;=D28)*('Daily Summary'!C5:C35))</f>
        <v/>
      </c>
      <c r="F28" s="9">
        <f>SUMPRODUCT(('Daily Summary'!B5:B35&gt;=C28)*('Daily Summary'!B5:B35&lt;=D28)*('Daily Summary'!D5:D35))</f>
        <v/>
      </c>
      <c r="G28" s="10">
        <f>IFERROR(E28/F28,0)</f>
        <v/>
      </c>
      <c r="H28" s="8" t="n"/>
      <c r="I28" s="10">
        <f>E28*0.3</f>
        <v/>
      </c>
    </row>
    <row r="29" ht="22" customHeight="1">
      <c r="B29" s="15" t="n">
        <v>25</v>
      </c>
      <c r="C29" s="3" t="n"/>
      <c r="D29" s="3" t="n"/>
      <c r="E29" s="6">
        <f>SUMPRODUCT(('Daily Summary'!B5:B35&gt;=C29)*('Daily Summary'!B5:B35&lt;=D29)*('Daily Summary'!C5:C35))</f>
        <v/>
      </c>
      <c r="F29" s="5">
        <f>SUMPRODUCT(('Daily Summary'!B5:B35&gt;=C29)*('Daily Summary'!B5:B35&lt;=D29)*('Daily Summary'!D5:D35))</f>
        <v/>
      </c>
      <c r="G29" s="6">
        <f>IFERROR(E29/F29,0)</f>
        <v/>
      </c>
      <c r="H29" s="4" t="n"/>
      <c r="I29" s="6">
        <f>E29*0.3</f>
        <v/>
      </c>
    </row>
    <row r="30" ht="22" customHeight="1">
      <c r="B30" s="16" t="n">
        <v>26</v>
      </c>
      <c r="C30" s="7" t="n"/>
      <c r="D30" s="7" t="n"/>
      <c r="E30" s="10">
        <f>SUMPRODUCT(('Daily Summary'!B5:B35&gt;=C30)*('Daily Summary'!B5:B35&lt;=D30)*('Daily Summary'!C5:C35))</f>
        <v/>
      </c>
      <c r="F30" s="9">
        <f>SUMPRODUCT(('Daily Summary'!B5:B35&gt;=C30)*('Daily Summary'!B5:B35&lt;=D30)*('Daily Summary'!D5:D35))</f>
        <v/>
      </c>
      <c r="G30" s="10">
        <f>IFERROR(E30/F30,0)</f>
        <v/>
      </c>
      <c r="H30" s="8" t="n"/>
      <c r="I30" s="10">
        <f>E30*0.3</f>
        <v/>
      </c>
    </row>
    <row r="31" ht="22" customHeight="1">
      <c r="B31" s="15" t="n">
        <v>27</v>
      </c>
      <c r="C31" s="3" t="n"/>
      <c r="D31" s="3" t="n"/>
      <c r="E31" s="6">
        <f>SUMPRODUCT(('Daily Summary'!B5:B35&gt;=C31)*('Daily Summary'!B5:B35&lt;=D31)*('Daily Summary'!C5:C35))</f>
        <v/>
      </c>
      <c r="F31" s="5">
        <f>SUMPRODUCT(('Daily Summary'!B5:B35&gt;=C31)*('Daily Summary'!B5:B35&lt;=D31)*('Daily Summary'!D5:D35))</f>
        <v/>
      </c>
      <c r="G31" s="6">
        <f>IFERROR(E31/F31,0)</f>
        <v/>
      </c>
      <c r="H31" s="4" t="n"/>
      <c r="I31" s="6">
        <f>E31*0.3</f>
        <v/>
      </c>
    </row>
    <row r="32" ht="22" customHeight="1">
      <c r="B32" s="16" t="n">
        <v>28</v>
      </c>
      <c r="C32" s="7" t="n"/>
      <c r="D32" s="7" t="n"/>
      <c r="E32" s="10">
        <f>SUMPRODUCT(('Daily Summary'!B5:B35&gt;=C32)*('Daily Summary'!B5:B35&lt;=D32)*('Daily Summary'!C5:C35))</f>
        <v/>
      </c>
      <c r="F32" s="9">
        <f>SUMPRODUCT(('Daily Summary'!B5:B35&gt;=C32)*('Daily Summary'!B5:B35&lt;=D32)*('Daily Summary'!D5:D35))</f>
        <v/>
      </c>
      <c r="G32" s="10">
        <f>IFERROR(E32/F32,0)</f>
        <v/>
      </c>
      <c r="H32" s="8" t="n"/>
      <c r="I32" s="10">
        <f>E32*0.3</f>
        <v/>
      </c>
    </row>
    <row r="33" ht="22" customHeight="1">
      <c r="B33" s="15" t="n">
        <v>29</v>
      </c>
      <c r="C33" s="3" t="n"/>
      <c r="D33" s="3" t="n"/>
      <c r="E33" s="6">
        <f>SUMPRODUCT(('Daily Summary'!B5:B35&gt;=C33)*('Daily Summary'!B5:B35&lt;=D33)*('Daily Summary'!C5:C35))</f>
        <v/>
      </c>
      <c r="F33" s="5">
        <f>SUMPRODUCT(('Daily Summary'!B5:B35&gt;=C33)*('Daily Summary'!B5:B35&lt;=D33)*('Daily Summary'!D5:D35))</f>
        <v/>
      </c>
      <c r="G33" s="6">
        <f>IFERROR(E33/F33,0)</f>
        <v/>
      </c>
      <c r="H33" s="4" t="n"/>
      <c r="I33" s="6">
        <f>E33*0.3</f>
        <v/>
      </c>
    </row>
    <row r="34" ht="22" customHeight="1">
      <c r="B34" s="16" t="n">
        <v>30</v>
      </c>
      <c r="C34" s="7" t="n"/>
      <c r="D34" s="7" t="n"/>
      <c r="E34" s="10">
        <f>SUMPRODUCT(('Daily Summary'!B5:B35&gt;=C34)*('Daily Summary'!B5:B35&lt;=D34)*('Daily Summary'!C5:C35))</f>
        <v/>
      </c>
      <c r="F34" s="9">
        <f>SUMPRODUCT(('Daily Summary'!B5:B35&gt;=C34)*('Daily Summary'!B5:B35&lt;=D34)*('Daily Summary'!D5:D35))</f>
        <v/>
      </c>
      <c r="G34" s="10">
        <f>IFERROR(E34/F34,0)</f>
        <v/>
      </c>
      <c r="H34" s="8" t="n"/>
      <c r="I34" s="10">
        <f>E34*0.3</f>
        <v/>
      </c>
    </row>
    <row r="35" ht="22" customHeight="1">
      <c r="B35" s="15" t="n">
        <v>31</v>
      </c>
      <c r="C35" s="3" t="n"/>
      <c r="D35" s="3" t="n"/>
      <c r="E35" s="6">
        <f>SUMPRODUCT(('Daily Summary'!B5:B35&gt;=C35)*('Daily Summary'!B5:B35&lt;=D35)*('Daily Summary'!C5:C35))</f>
        <v/>
      </c>
      <c r="F35" s="5">
        <f>SUMPRODUCT(('Daily Summary'!B5:B35&gt;=C35)*('Daily Summary'!B5:B35&lt;=D35)*('Daily Summary'!D5:D35))</f>
        <v/>
      </c>
      <c r="G35" s="6">
        <f>IFERROR(E35/F35,0)</f>
        <v/>
      </c>
      <c r="H35" s="4" t="n"/>
      <c r="I35" s="6">
        <f>E35*0.3</f>
        <v/>
      </c>
    </row>
    <row r="36" ht="22" customHeight="1">
      <c r="B36" s="16" t="n">
        <v>32</v>
      </c>
      <c r="C36" s="7" t="n"/>
      <c r="D36" s="7" t="n"/>
      <c r="E36" s="10">
        <f>SUMPRODUCT(('Daily Summary'!B5:B35&gt;=C36)*('Daily Summary'!B5:B35&lt;=D36)*('Daily Summary'!C5:C35))</f>
        <v/>
      </c>
      <c r="F36" s="9">
        <f>SUMPRODUCT(('Daily Summary'!B5:B35&gt;=C36)*('Daily Summary'!B5:B35&lt;=D36)*('Daily Summary'!D5:D35))</f>
        <v/>
      </c>
      <c r="G36" s="10">
        <f>IFERROR(E36/F36,0)</f>
        <v/>
      </c>
      <c r="H36" s="8" t="n"/>
      <c r="I36" s="10">
        <f>E36*0.3</f>
        <v/>
      </c>
    </row>
    <row r="37" ht="22" customHeight="1">
      <c r="B37" s="15" t="n">
        <v>33</v>
      </c>
      <c r="C37" s="3" t="n"/>
      <c r="D37" s="3" t="n"/>
      <c r="E37" s="6">
        <f>SUMPRODUCT(('Daily Summary'!B5:B35&gt;=C37)*('Daily Summary'!B5:B35&lt;=D37)*('Daily Summary'!C5:C35))</f>
        <v/>
      </c>
      <c r="F37" s="5">
        <f>SUMPRODUCT(('Daily Summary'!B5:B35&gt;=C37)*('Daily Summary'!B5:B35&lt;=D37)*('Daily Summary'!D5:D35))</f>
        <v/>
      </c>
      <c r="G37" s="6">
        <f>IFERROR(E37/F37,0)</f>
        <v/>
      </c>
      <c r="H37" s="4" t="n"/>
      <c r="I37" s="6">
        <f>E37*0.3</f>
        <v/>
      </c>
    </row>
    <row r="38" ht="22" customHeight="1">
      <c r="B38" s="16" t="n">
        <v>34</v>
      </c>
      <c r="C38" s="7" t="n"/>
      <c r="D38" s="7" t="n"/>
      <c r="E38" s="10">
        <f>SUMPRODUCT(('Daily Summary'!B5:B35&gt;=C38)*('Daily Summary'!B5:B35&lt;=D38)*('Daily Summary'!C5:C35))</f>
        <v/>
      </c>
      <c r="F38" s="9">
        <f>SUMPRODUCT(('Daily Summary'!B5:B35&gt;=C38)*('Daily Summary'!B5:B35&lt;=D38)*('Daily Summary'!D5:D35))</f>
        <v/>
      </c>
      <c r="G38" s="10">
        <f>IFERROR(E38/F38,0)</f>
        <v/>
      </c>
      <c r="H38" s="8" t="n"/>
      <c r="I38" s="10">
        <f>E38*0.3</f>
        <v/>
      </c>
    </row>
    <row r="39" ht="22" customHeight="1">
      <c r="B39" s="15" t="n">
        <v>35</v>
      </c>
      <c r="C39" s="3" t="n"/>
      <c r="D39" s="3" t="n"/>
      <c r="E39" s="6">
        <f>SUMPRODUCT(('Daily Summary'!B5:B35&gt;=C39)*('Daily Summary'!B5:B35&lt;=D39)*('Daily Summary'!C5:C35))</f>
        <v/>
      </c>
      <c r="F39" s="5">
        <f>SUMPRODUCT(('Daily Summary'!B5:B35&gt;=C39)*('Daily Summary'!B5:B35&lt;=D39)*('Daily Summary'!D5:D35))</f>
        <v/>
      </c>
      <c r="G39" s="6">
        <f>IFERROR(E39/F39,0)</f>
        <v/>
      </c>
      <c r="H39" s="4" t="n"/>
      <c r="I39" s="6">
        <f>E39*0.3</f>
        <v/>
      </c>
    </row>
    <row r="40" ht="22" customHeight="1">
      <c r="B40" s="16" t="n">
        <v>36</v>
      </c>
      <c r="C40" s="7" t="n"/>
      <c r="D40" s="7" t="n"/>
      <c r="E40" s="10">
        <f>SUMPRODUCT(('Daily Summary'!B5:B35&gt;=C40)*('Daily Summary'!B5:B35&lt;=D40)*('Daily Summary'!C5:C35))</f>
        <v/>
      </c>
      <c r="F40" s="9">
        <f>SUMPRODUCT(('Daily Summary'!B5:B35&gt;=C40)*('Daily Summary'!B5:B35&lt;=D40)*('Daily Summary'!D5:D35))</f>
        <v/>
      </c>
      <c r="G40" s="10">
        <f>IFERROR(E40/F40,0)</f>
        <v/>
      </c>
      <c r="H40" s="8" t="n"/>
      <c r="I40" s="10">
        <f>E40*0.3</f>
        <v/>
      </c>
    </row>
    <row r="41" ht="22" customHeight="1">
      <c r="B41" s="15" t="n">
        <v>37</v>
      </c>
      <c r="C41" s="3" t="n"/>
      <c r="D41" s="3" t="n"/>
      <c r="E41" s="6">
        <f>SUMPRODUCT(('Daily Summary'!B5:B35&gt;=C41)*('Daily Summary'!B5:B35&lt;=D41)*('Daily Summary'!C5:C35))</f>
        <v/>
      </c>
      <c r="F41" s="5">
        <f>SUMPRODUCT(('Daily Summary'!B5:B35&gt;=C41)*('Daily Summary'!B5:B35&lt;=D41)*('Daily Summary'!D5:D35))</f>
        <v/>
      </c>
      <c r="G41" s="6">
        <f>IFERROR(E41/F41,0)</f>
        <v/>
      </c>
      <c r="H41" s="4" t="n"/>
      <c r="I41" s="6">
        <f>E41*0.3</f>
        <v/>
      </c>
    </row>
    <row r="42" ht="22" customHeight="1">
      <c r="B42" s="16" t="n">
        <v>38</v>
      </c>
      <c r="C42" s="7" t="n"/>
      <c r="D42" s="7" t="n"/>
      <c r="E42" s="10">
        <f>SUMPRODUCT(('Daily Summary'!B5:B35&gt;=C42)*('Daily Summary'!B5:B35&lt;=D42)*('Daily Summary'!C5:C35))</f>
        <v/>
      </c>
      <c r="F42" s="9">
        <f>SUMPRODUCT(('Daily Summary'!B5:B35&gt;=C42)*('Daily Summary'!B5:B35&lt;=D42)*('Daily Summary'!D5:D35))</f>
        <v/>
      </c>
      <c r="G42" s="10">
        <f>IFERROR(E42/F42,0)</f>
        <v/>
      </c>
      <c r="H42" s="8" t="n"/>
      <c r="I42" s="10">
        <f>E42*0.3</f>
        <v/>
      </c>
    </row>
    <row r="43" ht="22" customHeight="1">
      <c r="B43" s="15" t="n">
        <v>39</v>
      </c>
      <c r="C43" s="3" t="n"/>
      <c r="D43" s="3" t="n"/>
      <c r="E43" s="6">
        <f>SUMPRODUCT(('Daily Summary'!B5:B35&gt;=C43)*('Daily Summary'!B5:B35&lt;=D43)*('Daily Summary'!C5:C35))</f>
        <v/>
      </c>
      <c r="F43" s="5">
        <f>SUMPRODUCT(('Daily Summary'!B5:B35&gt;=C43)*('Daily Summary'!B5:B35&lt;=D43)*('Daily Summary'!D5:D35))</f>
        <v/>
      </c>
      <c r="G43" s="6">
        <f>IFERROR(E43/F43,0)</f>
        <v/>
      </c>
      <c r="H43" s="4" t="n"/>
      <c r="I43" s="6">
        <f>E43*0.3</f>
        <v/>
      </c>
    </row>
    <row r="44" ht="22" customHeight="1">
      <c r="B44" s="16" t="n">
        <v>40</v>
      </c>
      <c r="C44" s="7" t="n"/>
      <c r="D44" s="7" t="n"/>
      <c r="E44" s="10">
        <f>SUMPRODUCT(('Daily Summary'!B5:B35&gt;=C44)*('Daily Summary'!B5:B35&lt;=D44)*('Daily Summary'!C5:C35))</f>
        <v/>
      </c>
      <c r="F44" s="9">
        <f>SUMPRODUCT(('Daily Summary'!B5:B35&gt;=C44)*('Daily Summary'!B5:B35&lt;=D44)*('Daily Summary'!D5:D35))</f>
        <v/>
      </c>
      <c r="G44" s="10">
        <f>IFERROR(E44/F44,0)</f>
        <v/>
      </c>
      <c r="H44" s="8" t="n"/>
      <c r="I44" s="10">
        <f>E44*0.3</f>
        <v/>
      </c>
    </row>
    <row r="45" ht="22" customHeight="1">
      <c r="B45" s="15" t="n">
        <v>41</v>
      </c>
      <c r="C45" s="3" t="n"/>
      <c r="D45" s="3" t="n"/>
      <c r="E45" s="6">
        <f>SUMPRODUCT(('Daily Summary'!B5:B35&gt;=C45)*('Daily Summary'!B5:B35&lt;=D45)*('Daily Summary'!C5:C35))</f>
        <v/>
      </c>
      <c r="F45" s="5">
        <f>SUMPRODUCT(('Daily Summary'!B5:B35&gt;=C45)*('Daily Summary'!B5:B35&lt;=D45)*('Daily Summary'!D5:D35))</f>
        <v/>
      </c>
      <c r="G45" s="6">
        <f>IFERROR(E45/F45,0)</f>
        <v/>
      </c>
      <c r="H45" s="4" t="n"/>
      <c r="I45" s="6">
        <f>E45*0.3</f>
        <v/>
      </c>
    </row>
    <row r="46" ht="22" customHeight="1">
      <c r="B46" s="16" t="n">
        <v>42</v>
      </c>
      <c r="C46" s="7" t="n"/>
      <c r="D46" s="7" t="n"/>
      <c r="E46" s="10">
        <f>SUMPRODUCT(('Daily Summary'!B5:B35&gt;=C46)*('Daily Summary'!B5:B35&lt;=D46)*('Daily Summary'!C5:C35))</f>
        <v/>
      </c>
      <c r="F46" s="9">
        <f>SUMPRODUCT(('Daily Summary'!B5:B35&gt;=C46)*('Daily Summary'!B5:B35&lt;=D46)*('Daily Summary'!D5:D35))</f>
        <v/>
      </c>
      <c r="G46" s="10">
        <f>IFERROR(E46/F46,0)</f>
        <v/>
      </c>
      <c r="H46" s="8" t="n"/>
      <c r="I46" s="10">
        <f>E46*0.3</f>
        <v/>
      </c>
    </row>
    <row r="47" ht="22" customHeight="1">
      <c r="B47" s="15" t="n">
        <v>43</v>
      </c>
      <c r="C47" s="3" t="n"/>
      <c r="D47" s="3" t="n"/>
      <c r="E47" s="6">
        <f>SUMPRODUCT(('Daily Summary'!B5:B35&gt;=C47)*('Daily Summary'!B5:B35&lt;=D47)*('Daily Summary'!C5:C35))</f>
        <v/>
      </c>
      <c r="F47" s="5">
        <f>SUMPRODUCT(('Daily Summary'!B5:B35&gt;=C47)*('Daily Summary'!B5:B35&lt;=D47)*('Daily Summary'!D5:D35))</f>
        <v/>
      </c>
      <c r="G47" s="6">
        <f>IFERROR(E47/F47,0)</f>
        <v/>
      </c>
      <c r="H47" s="4" t="n"/>
      <c r="I47" s="6">
        <f>E47*0.3</f>
        <v/>
      </c>
    </row>
    <row r="48" ht="22" customHeight="1">
      <c r="B48" s="16" t="n">
        <v>44</v>
      </c>
      <c r="C48" s="7" t="n"/>
      <c r="D48" s="7" t="n"/>
      <c r="E48" s="10">
        <f>SUMPRODUCT(('Daily Summary'!B5:B35&gt;=C48)*('Daily Summary'!B5:B35&lt;=D48)*('Daily Summary'!C5:C35))</f>
        <v/>
      </c>
      <c r="F48" s="9">
        <f>SUMPRODUCT(('Daily Summary'!B5:B35&gt;=C48)*('Daily Summary'!B5:B35&lt;=D48)*('Daily Summary'!D5:D35))</f>
        <v/>
      </c>
      <c r="G48" s="10">
        <f>IFERROR(E48/F48,0)</f>
        <v/>
      </c>
      <c r="H48" s="8" t="n"/>
      <c r="I48" s="10">
        <f>E48*0.3</f>
        <v/>
      </c>
    </row>
    <row r="49" ht="22" customHeight="1">
      <c r="B49" s="15" t="n">
        <v>45</v>
      </c>
      <c r="C49" s="3" t="n"/>
      <c r="D49" s="3" t="n"/>
      <c r="E49" s="6">
        <f>SUMPRODUCT(('Daily Summary'!B5:B35&gt;=C49)*('Daily Summary'!B5:B35&lt;=D49)*('Daily Summary'!C5:C35))</f>
        <v/>
      </c>
      <c r="F49" s="5">
        <f>SUMPRODUCT(('Daily Summary'!B5:B35&gt;=C49)*('Daily Summary'!B5:B35&lt;=D49)*('Daily Summary'!D5:D35))</f>
        <v/>
      </c>
      <c r="G49" s="6">
        <f>IFERROR(E49/F49,0)</f>
        <v/>
      </c>
      <c r="H49" s="4" t="n"/>
      <c r="I49" s="6">
        <f>E49*0.3</f>
        <v/>
      </c>
    </row>
    <row r="50" ht="22" customHeight="1">
      <c r="B50" s="16" t="n">
        <v>46</v>
      </c>
      <c r="C50" s="7" t="n"/>
      <c r="D50" s="7" t="n"/>
      <c r="E50" s="10">
        <f>SUMPRODUCT(('Daily Summary'!B5:B35&gt;=C50)*('Daily Summary'!B5:B35&lt;=D50)*('Daily Summary'!C5:C35))</f>
        <v/>
      </c>
      <c r="F50" s="9">
        <f>SUMPRODUCT(('Daily Summary'!B5:B35&gt;=C50)*('Daily Summary'!B5:B35&lt;=D50)*('Daily Summary'!D5:D35))</f>
        <v/>
      </c>
      <c r="G50" s="10">
        <f>IFERROR(E50/F50,0)</f>
        <v/>
      </c>
      <c r="H50" s="8" t="n"/>
      <c r="I50" s="10">
        <f>E50*0.3</f>
        <v/>
      </c>
    </row>
    <row r="51" ht="22" customHeight="1">
      <c r="B51" s="15" t="n">
        <v>47</v>
      </c>
      <c r="C51" s="3" t="n"/>
      <c r="D51" s="3" t="n"/>
      <c r="E51" s="6">
        <f>SUMPRODUCT(('Daily Summary'!B5:B35&gt;=C51)*('Daily Summary'!B5:B35&lt;=D51)*('Daily Summary'!C5:C35))</f>
        <v/>
      </c>
      <c r="F51" s="5">
        <f>SUMPRODUCT(('Daily Summary'!B5:B35&gt;=C51)*('Daily Summary'!B5:B35&lt;=D51)*('Daily Summary'!D5:D35))</f>
        <v/>
      </c>
      <c r="G51" s="6">
        <f>IFERROR(E51/F51,0)</f>
        <v/>
      </c>
      <c r="H51" s="4" t="n"/>
      <c r="I51" s="6">
        <f>E51*0.3</f>
        <v/>
      </c>
    </row>
    <row r="52" ht="22" customHeight="1">
      <c r="B52" s="16" t="n">
        <v>48</v>
      </c>
      <c r="C52" s="7" t="n"/>
      <c r="D52" s="7" t="n"/>
      <c r="E52" s="10">
        <f>SUMPRODUCT(('Daily Summary'!B5:B35&gt;=C52)*('Daily Summary'!B5:B35&lt;=D52)*('Daily Summary'!C5:C35))</f>
        <v/>
      </c>
      <c r="F52" s="9">
        <f>SUMPRODUCT(('Daily Summary'!B5:B35&gt;=C52)*('Daily Summary'!B5:B35&lt;=D52)*('Daily Summary'!D5:D35))</f>
        <v/>
      </c>
      <c r="G52" s="10">
        <f>IFERROR(E52/F52,0)</f>
        <v/>
      </c>
      <c r="H52" s="8" t="n"/>
      <c r="I52" s="10">
        <f>E52*0.3</f>
        <v/>
      </c>
    </row>
    <row r="53" ht="22" customHeight="1">
      <c r="B53" s="15" t="n">
        <v>49</v>
      </c>
      <c r="C53" s="3" t="n"/>
      <c r="D53" s="3" t="n"/>
      <c r="E53" s="6">
        <f>SUMPRODUCT(('Daily Summary'!B5:B35&gt;=C53)*('Daily Summary'!B5:B35&lt;=D53)*('Daily Summary'!C5:C35))</f>
        <v/>
      </c>
      <c r="F53" s="5">
        <f>SUMPRODUCT(('Daily Summary'!B5:B35&gt;=C53)*('Daily Summary'!B5:B35&lt;=D53)*('Daily Summary'!D5:D35))</f>
        <v/>
      </c>
      <c r="G53" s="6">
        <f>IFERROR(E53/F53,0)</f>
        <v/>
      </c>
      <c r="H53" s="4" t="n"/>
      <c r="I53" s="6">
        <f>E53*0.3</f>
        <v/>
      </c>
    </row>
    <row r="54" ht="22" customHeight="1">
      <c r="B54" s="16" t="n">
        <v>50</v>
      </c>
      <c r="C54" s="7" t="n"/>
      <c r="D54" s="7" t="n"/>
      <c r="E54" s="10">
        <f>SUMPRODUCT(('Daily Summary'!B5:B35&gt;=C54)*('Daily Summary'!B5:B35&lt;=D54)*('Daily Summary'!C5:C35))</f>
        <v/>
      </c>
      <c r="F54" s="9">
        <f>SUMPRODUCT(('Daily Summary'!B5:B35&gt;=C54)*('Daily Summary'!B5:B35&lt;=D54)*('Daily Summary'!D5:D35))</f>
        <v/>
      </c>
      <c r="G54" s="10">
        <f>IFERROR(E54/F54,0)</f>
        <v/>
      </c>
      <c r="H54" s="8" t="n"/>
      <c r="I54" s="10">
        <f>E54*0.3</f>
        <v/>
      </c>
    </row>
    <row r="55" ht="22" customHeight="1">
      <c r="B55" s="15" t="n">
        <v>51</v>
      </c>
      <c r="C55" s="3" t="n"/>
      <c r="D55" s="3" t="n"/>
      <c r="E55" s="6">
        <f>SUMPRODUCT(('Daily Summary'!B5:B35&gt;=C55)*('Daily Summary'!B5:B35&lt;=D55)*('Daily Summary'!C5:C35))</f>
        <v/>
      </c>
      <c r="F55" s="5">
        <f>SUMPRODUCT(('Daily Summary'!B5:B35&gt;=C55)*('Daily Summary'!B5:B35&lt;=D55)*('Daily Summary'!D5:D35))</f>
        <v/>
      </c>
      <c r="G55" s="6">
        <f>IFERROR(E55/F55,0)</f>
        <v/>
      </c>
      <c r="H55" s="4" t="n"/>
      <c r="I55" s="6">
        <f>E55*0.3</f>
        <v/>
      </c>
    </row>
    <row r="56" ht="22" customHeight="1">
      <c r="B56" s="16" t="n">
        <v>52</v>
      </c>
      <c r="C56" s="7" t="n"/>
      <c r="D56" s="7" t="n"/>
      <c r="E56" s="10">
        <f>SUMPRODUCT(('Daily Summary'!B5:B35&gt;=C56)*('Daily Summary'!B5:B35&lt;=D56)*('Daily Summary'!C5:C35))</f>
        <v/>
      </c>
      <c r="F56" s="9">
        <f>SUMPRODUCT(('Daily Summary'!B5:B35&gt;=C56)*('Daily Summary'!B5:B35&lt;=D56)*('Daily Summary'!D5:D35))</f>
        <v/>
      </c>
      <c r="G56" s="10">
        <f>IFERROR(E56/F56,0)</f>
        <v/>
      </c>
      <c r="H56" s="8" t="n"/>
      <c r="I56" s="10">
        <f>E56*0.3</f>
        <v/>
      </c>
    </row>
    <row r="57" ht="26" customHeight="1">
      <c r="B57" s="11" t="inlineStr">
        <is>
          <t>TOTAL</t>
        </is>
      </c>
      <c r="C57" s="12" t="n"/>
      <c r="D57" s="12" t="n"/>
      <c r="E57" s="14">
        <f>SUM(E5:E56)</f>
        <v/>
      </c>
      <c r="F57" s="13">
        <f>SUM(F5:F56)</f>
        <v/>
      </c>
      <c r="G57" s="14">
        <f>IFERROR(E57/F57,0)</f>
        <v/>
      </c>
      <c r="H57" s="12" t="n"/>
      <c r="I57" s="14">
        <f>SUM(I5:I56)</f>
        <v/>
      </c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D1B2A"/>
    <outlinePr summaryBelow="1" summaryRight="1"/>
    <pageSetUpPr/>
  </sheetPr>
  <dimension ref="B2:I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15" customHeight="1"/>
    <row r="2" ht="32" customHeight="1">
      <c r="B2" s="1" t="inlineStr">
        <is>
          <t>Monthly Summary — 12 Months</t>
        </is>
      </c>
    </row>
    <row r="3" ht="8" customHeight="1"/>
    <row r="4" ht="28" customHeight="1">
      <c r="B4" s="2" t="inlineStr">
        <is>
          <t>Month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Best Day Sales</t>
        </is>
      </c>
      <c r="G4" s="2" t="inlineStr">
        <is>
          <t>Best Day Date</t>
        </is>
      </c>
      <c r="H4" s="2" t="inlineStr">
        <is>
          <t>Total Expenses</t>
        </is>
      </c>
      <c r="I4" s="2" t="inlineStr">
        <is>
          <t>Net Profit</t>
        </is>
      </c>
    </row>
    <row r="5" ht="22" customHeight="1">
      <c r="B5" s="4" t="inlineStr">
        <is>
          <t>January</t>
        </is>
      </c>
      <c r="C5" s="6">
        <f>SUMPRODUCT((MONTH('Daily Summary'!B5:B35)=1)*('Daily Summary'!C5:C35))</f>
        <v/>
      </c>
      <c r="D5" s="5">
        <f>SUMPRODUCT((MONTH('Daily Summary'!B5:B35)=1)*('Daily Summary'!D5:D35))</f>
        <v/>
      </c>
      <c r="E5" s="6">
        <f>IFERROR(C5/D5,0)</f>
        <v/>
      </c>
      <c r="F5" s="6">
        <f>IFERROR(MAX(IF(MONTH('Daily Summary'!B5:B35)=1,'Daily Summary'!C5:C35)),0)</f>
        <v/>
      </c>
      <c r="G5" s="3">
        <f>IFERROR(INDEX('Daily Summary'!B5:B35,MATCH(F5,IF(MONTH('Daily Summary'!B5:B35)=1,'Daily Summary'!C5:C35),0)),"")</f>
        <v/>
      </c>
      <c r="H5" s="6">
        <f>SUMPRODUCT((MONTH('Expenses'!B5:B304)=1)*('Expenses'!E5:E304))</f>
        <v/>
      </c>
      <c r="I5" s="6">
        <f>C5-H5</f>
        <v/>
      </c>
    </row>
    <row r="6" ht="22" customHeight="1">
      <c r="B6" s="8" t="inlineStr">
        <is>
          <t>February</t>
        </is>
      </c>
      <c r="C6" s="10">
        <f>SUMPRODUCT((MONTH('Daily Summary'!B5:B35)=2)*('Daily Summary'!C5:C35))</f>
        <v/>
      </c>
      <c r="D6" s="9">
        <f>SUMPRODUCT((MONTH('Daily Summary'!B5:B35)=2)*('Daily Summary'!D5:D35))</f>
        <v/>
      </c>
      <c r="E6" s="10">
        <f>IFERROR(C6/D6,0)</f>
        <v/>
      </c>
      <c r="F6" s="10">
        <f>IFERROR(MAX(IF(MONTH('Daily Summary'!B5:B35)=2,'Daily Summary'!C5:C35)),0)</f>
        <v/>
      </c>
      <c r="G6" s="7">
        <f>IFERROR(INDEX('Daily Summary'!B5:B35,MATCH(F6,IF(MONTH('Daily Summary'!B5:B35)=2,'Daily Summary'!C5:C35),0)),"")</f>
        <v/>
      </c>
      <c r="H6" s="10">
        <f>SUMPRODUCT((MONTH('Expenses'!B5:B304)=2)*('Expenses'!E5:E304))</f>
        <v/>
      </c>
      <c r="I6" s="10">
        <f>C6-H6</f>
        <v/>
      </c>
    </row>
    <row r="7" ht="22" customHeight="1">
      <c r="B7" s="4" t="inlineStr">
        <is>
          <t>March</t>
        </is>
      </c>
      <c r="C7" s="6">
        <f>SUMPRODUCT((MONTH('Daily Summary'!B5:B35)=3)*('Daily Summary'!C5:C35))</f>
        <v/>
      </c>
      <c r="D7" s="5">
        <f>SUMPRODUCT((MONTH('Daily Summary'!B5:B35)=3)*('Daily Summary'!D5:D35))</f>
        <v/>
      </c>
      <c r="E7" s="6">
        <f>IFERROR(C7/D7,0)</f>
        <v/>
      </c>
      <c r="F7" s="6">
        <f>IFERROR(MAX(IF(MONTH('Daily Summary'!B5:B35)=3,'Daily Summary'!C5:C35)),0)</f>
        <v/>
      </c>
      <c r="G7" s="3">
        <f>IFERROR(INDEX('Daily Summary'!B5:B35,MATCH(F7,IF(MONTH('Daily Summary'!B5:B35)=3,'Daily Summary'!C5:C35),0)),"")</f>
        <v/>
      </c>
      <c r="H7" s="6">
        <f>SUMPRODUCT((MONTH('Expenses'!B5:B304)=3)*('Expenses'!E5:E304))</f>
        <v/>
      </c>
      <c r="I7" s="6">
        <f>C7-H7</f>
        <v/>
      </c>
    </row>
    <row r="8" ht="22" customHeight="1">
      <c r="B8" s="8" t="inlineStr">
        <is>
          <t>April</t>
        </is>
      </c>
      <c r="C8" s="10">
        <f>SUMPRODUCT((MONTH('Daily Summary'!B5:B35)=4)*('Daily Summary'!C5:C35))</f>
        <v/>
      </c>
      <c r="D8" s="9">
        <f>SUMPRODUCT((MONTH('Daily Summary'!B5:B35)=4)*('Daily Summary'!D5:D35))</f>
        <v/>
      </c>
      <c r="E8" s="10">
        <f>IFERROR(C8/D8,0)</f>
        <v/>
      </c>
      <c r="F8" s="10">
        <f>IFERROR(MAX(IF(MONTH('Daily Summary'!B5:B35)=4,'Daily Summary'!C5:C35)),0)</f>
        <v/>
      </c>
      <c r="G8" s="7">
        <f>IFERROR(INDEX('Daily Summary'!B5:B35,MATCH(F8,IF(MONTH('Daily Summary'!B5:B35)=4,'Daily Summary'!C5:C35),0)),"")</f>
        <v/>
      </c>
      <c r="H8" s="10">
        <f>SUMPRODUCT((MONTH('Expenses'!B5:B304)=4)*('Expenses'!E5:E304))</f>
        <v/>
      </c>
      <c r="I8" s="10">
        <f>C8-H8</f>
        <v/>
      </c>
    </row>
    <row r="9" ht="22" customHeight="1">
      <c r="B9" s="4" t="inlineStr">
        <is>
          <t>May</t>
        </is>
      </c>
      <c r="C9" s="6">
        <f>SUMPRODUCT((MONTH('Daily Summary'!B5:B35)=5)*('Daily Summary'!C5:C35))</f>
        <v/>
      </c>
      <c r="D9" s="5">
        <f>SUMPRODUCT((MONTH('Daily Summary'!B5:B35)=5)*('Daily Summary'!D5:D35))</f>
        <v/>
      </c>
      <c r="E9" s="6">
        <f>IFERROR(C9/D9,0)</f>
        <v/>
      </c>
      <c r="F9" s="6">
        <f>IFERROR(MAX(IF(MONTH('Daily Summary'!B5:B35)=5,'Daily Summary'!C5:C35)),0)</f>
        <v/>
      </c>
      <c r="G9" s="3">
        <f>IFERROR(INDEX('Daily Summary'!B5:B35,MATCH(F9,IF(MONTH('Daily Summary'!B5:B35)=5,'Daily Summary'!C5:C35),0)),"")</f>
        <v/>
      </c>
      <c r="H9" s="6">
        <f>SUMPRODUCT((MONTH('Expenses'!B5:B304)=5)*('Expenses'!E5:E304))</f>
        <v/>
      </c>
      <c r="I9" s="6">
        <f>C9-H9</f>
        <v/>
      </c>
    </row>
    <row r="10" ht="22" customHeight="1">
      <c r="B10" s="8" t="inlineStr">
        <is>
          <t>June</t>
        </is>
      </c>
      <c r="C10" s="10">
        <f>SUMPRODUCT((MONTH('Daily Summary'!B5:B35)=6)*('Daily Summary'!C5:C35))</f>
        <v/>
      </c>
      <c r="D10" s="9">
        <f>SUMPRODUCT((MONTH('Daily Summary'!B5:B35)=6)*('Daily Summary'!D5:D35))</f>
        <v/>
      </c>
      <c r="E10" s="10">
        <f>IFERROR(C10/D10,0)</f>
        <v/>
      </c>
      <c r="F10" s="10">
        <f>IFERROR(MAX(IF(MONTH('Daily Summary'!B5:B35)=6,'Daily Summary'!C5:C35)),0)</f>
        <v/>
      </c>
      <c r="G10" s="7">
        <f>IFERROR(INDEX('Daily Summary'!B5:B35,MATCH(F10,IF(MONTH('Daily Summary'!B5:B35)=6,'Daily Summary'!C5:C35),0)),"")</f>
        <v/>
      </c>
      <c r="H10" s="10">
        <f>SUMPRODUCT((MONTH('Expenses'!B5:B304)=6)*('Expenses'!E5:E304))</f>
        <v/>
      </c>
      <c r="I10" s="10">
        <f>C10-H10</f>
        <v/>
      </c>
    </row>
    <row r="11" ht="22" customHeight="1">
      <c r="B11" s="4" t="inlineStr">
        <is>
          <t>July</t>
        </is>
      </c>
      <c r="C11" s="6">
        <f>SUMPRODUCT((MONTH('Daily Summary'!B5:B35)=7)*('Daily Summary'!C5:C35))</f>
        <v/>
      </c>
      <c r="D11" s="5">
        <f>SUMPRODUCT((MONTH('Daily Summary'!B5:B35)=7)*('Daily Summary'!D5:D35))</f>
        <v/>
      </c>
      <c r="E11" s="6">
        <f>IFERROR(C11/D11,0)</f>
        <v/>
      </c>
      <c r="F11" s="6">
        <f>IFERROR(MAX(IF(MONTH('Daily Summary'!B5:B35)=7,'Daily Summary'!C5:C35)),0)</f>
        <v/>
      </c>
      <c r="G11" s="3">
        <f>IFERROR(INDEX('Daily Summary'!B5:B35,MATCH(F11,IF(MONTH('Daily Summary'!B5:B35)=7,'Daily Summary'!C5:C35),0)),"")</f>
        <v/>
      </c>
      <c r="H11" s="6">
        <f>SUMPRODUCT((MONTH('Expenses'!B5:B304)=7)*('Expenses'!E5:E304))</f>
        <v/>
      </c>
      <c r="I11" s="6">
        <f>C11-H11</f>
        <v/>
      </c>
    </row>
    <row r="12" ht="22" customHeight="1">
      <c r="B12" s="8" t="inlineStr">
        <is>
          <t>August</t>
        </is>
      </c>
      <c r="C12" s="10">
        <f>SUMPRODUCT((MONTH('Daily Summary'!B5:B35)=8)*('Daily Summary'!C5:C35))</f>
        <v/>
      </c>
      <c r="D12" s="9">
        <f>SUMPRODUCT((MONTH('Daily Summary'!B5:B35)=8)*('Daily Summary'!D5:D35))</f>
        <v/>
      </c>
      <c r="E12" s="10">
        <f>IFERROR(C12/D12,0)</f>
        <v/>
      </c>
      <c r="F12" s="10">
        <f>IFERROR(MAX(IF(MONTH('Daily Summary'!B5:B35)=8,'Daily Summary'!C5:C35)),0)</f>
        <v/>
      </c>
      <c r="G12" s="7">
        <f>IFERROR(INDEX('Daily Summary'!B5:B35,MATCH(F12,IF(MONTH('Daily Summary'!B5:B35)=8,'Daily Summary'!C5:C35),0)),"")</f>
        <v/>
      </c>
      <c r="H12" s="10">
        <f>SUMPRODUCT((MONTH('Expenses'!B5:B304)=8)*('Expenses'!E5:E304))</f>
        <v/>
      </c>
      <c r="I12" s="10">
        <f>C12-H12</f>
        <v/>
      </c>
    </row>
    <row r="13" ht="22" customHeight="1">
      <c r="B13" s="4" t="inlineStr">
        <is>
          <t>September</t>
        </is>
      </c>
      <c r="C13" s="6">
        <f>SUMPRODUCT((MONTH('Daily Summary'!B5:B35)=9)*('Daily Summary'!C5:C35))</f>
        <v/>
      </c>
      <c r="D13" s="5">
        <f>SUMPRODUCT((MONTH('Daily Summary'!B5:B35)=9)*('Daily Summary'!D5:D35))</f>
        <v/>
      </c>
      <c r="E13" s="6">
        <f>IFERROR(C13/D13,0)</f>
        <v/>
      </c>
      <c r="F13" s="6">
        <f>IFERROR(MAX(IF(MONTH('Daily Summary'!B5:B35)=9,'Daily Summary'!C5:C35)),0)</f>
        <v/>
      </c>
      <c r="G13" s="3">
        <f>IFERROR(INDEX('Daily Summary'!B5:B35,MATCH(F13,IF(MONTH('Daily Summary'!B5:B35)=9,'Daily Summary'!C5:C35),0)),"")</f>
        <v/>
      </c>
      <c r="H13" s="6">
        <f>SUMPRODUCT((MONTH('Expenses'!B5:B304)=9)*('Expenses'!E5:E304))</f>
        <v/>
      </c>
      <c r="I13" s="6">
        <f>C13-H13</f>
        <v/>
      </c>
    </row>
    <row r="14" ht="22" customHeight="1">
      <c r="B14" s="8" t="inlineStr">
        <is>
          <t>October</t>
        </is>
      </c>
      <c r="C14" s="10">
        <f>SUMPRODUCT((MONTH('Daily Summary'!B5:B35)=10)*('Daily Summary'!C5:C35))</f>
        <v/>
      </c>
      <c r="D14" s="9">
        <f>SUMPRODUCT((MONTH('Daily Summary'!B5:B35)=10)*('Daily Summary'!D5:D35))</f>
        <v/>
      </c>
      <c r="E14" s="10">
        <f>IFERROR(C14/D14,0)</f>
        <v/>
      </c>
      <c r="F14" s="10">
        <f>IFERROR(MAX(IF(MONTH('Daily Summary'!B5:B35)=10,'Daily Summary'!C5:C35)),0)</f>
        <v/>
      </c>
      <c r="G14" s="7">
        <f>IFERROR(INDEX('Daily Summary'!B5:B35,MATCH(F14,IF(MONTH('Daily Summary'!B5:B35)=10,'Daily Summary'!C5:C35),0)),"")</f>
        <v/>
      </c>
      <c r="H14" s="10">
        <f>SUMPRODUCT((MONTH('Expenses'!B5:B304)=10)*('Expenses'!E5:E304))</f>
        <v/>
      </c>
      <c r="I14" s="10">
        <f>C14-H14</f>
        <v/>
      </c>
    </row>
    <row r="15" ht="22" customHeight="1">
      <c r="B15" s="4" t="inlineStr">
        <is>
          <t>November</t>
        </is>
      </c>
      <c r="C15" s="6">
        <f>SUMPRODUCT((MONTH('Daily Summary'!B5:B35)=11)*('Daily Summary'!C5:C35))</f>
        <v/>
      </c>
      <c r="D15" s="5">
        <f>SUMPRODUCT((MONTH('Daily Summary'!B5:B35)=11)*('Daily Summary'!D5:D35))</f>
        <v/>
      </c>
      <c r="E15" s="6">
        <f>IFERROR(C15/D15,0)</f>
        <v/>
      </c>
      <c r="F15" s="6">
        <f>IFERROR(MAX(IF(MONTH('Daily Summary'!B5:B35)=11,'Daily Summary'!C5:C35)),0)</f>
        <v/>
      </c>
      <c r="G15" s="3">
        <f>IFERROR(INDEX('Daily Summary'!B5:B35,MATCH(F15,IF(MONTH('Daily Summary'!B5:B35)=11,'Daily Summary'!C5:C35),0)),"")</f>
        <v/>
      </c>
      <c r="H15" s="6">
        <f>SUMPRODUCT((MONTH('Expenses'!B5:B304)=11)*('Expenses'!E5:E304))</f>
        <v/>
      </c>
      <c r="I15" s="6">
        <f>C15-H15</f>
        <v/>
      </c>
    </row>
    <row r="16" ht="22" customHeight="1">
      <c r="B16" s="8" t="inlineStr">
        <is>
          <t>December</t>
        </is>
      </c>
      <c r="C16" s="10">
        <f>SUMPRODUCT((MONTH('Daily Summary'!B5:B35)=12)*('Daily Summary'!C5:C35))</f>
        <v/>
      </c>
      <c r="D16" s="9">
        <f>SUMPRODUCT((MONTH('Daily Summary'!B5:B35)=12)*('Daily Summary'!D5:D35))</f>
        <v/>
      </c>
      <c r="E16" s="10">
        <f>IFERROR(C16/D16,0)</f>
        <v/>
      </c>
      <c r="F16" s="10">
        <f>IFERROR(MAX(IF(MONTH('Daily Summary'!B5:B35)=12,'Daily Summary'!C5:C35)),0)</f>
        <v/>
      </c>
      <c r="G16" s="7">
        <f>IFERROR(INDEX('Daily Summary'!B5:B35,MATCH(F16,IF(MONTH('Daily Summary'!B5:B35)=12,'Daily Summary'!C5:C35),0)),"")</f>
        <v/>
      </c>
      <c r="H16" s="10">
        <f>SUMPRODUCT((MONTH('Expenses'!B5:B304)=12)*('Expenses'!E5:E304))</f>
        <v/>
      </c>
      <c r="I16" s="10">
        <f>C16-H16</f>
        <v/>
      </c>
    </row>
    <row r="17" ht="26" customHeight="1">
      <c r="B17" s="11" t="inlineStr">
        <is>
          <t>TOTAL</t>
        </is>
      </c>
      <c r="C17" s="14">
        <f>SUM(C5:C16)</f>
        <v/>
      </c>
      <c r="D17" s="13">
        <f>SUM(D5:D16)</f>
        <v/>
      </c>
      <c r="E17" s="14">
        <f>IFERROR(C17/D17,0)</f>
        <v/>
      </c>
      <c r="F17" s="12" t="n"/>
      <c r="G17" s="12" t="n"/>
      <c r="H17" s="14">
        <f>SUM(H5:H16)</f>
        <v/>
      </c>
      <c r="I17" s="14">
        <f>SUM(I5:I16)</f>
        <v/>
      </c>
    </row>
  </sheetData>
  <mergeCells count="1">
    <mergeCell ref="B2:I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D1B2A"/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8" customWidth="1" min="3" max="3"/>
    <col width="14" customWidth="1" min="4" max="4"/>
    <col width="14" customWidth="1" min="5" max="5"/>
    <col width="14" customWidth="1" min="6" max="6"/>
  </cols>
  <sheetData>
    <row r="1" ht="15" customHeight="1"/>
    <row r="2" ht="40" customHeight="1">
      <c r="B2" s="17" t="inlineStr">
        <is>
          <t>[Your Company Name]</t>
        </is>
      </c>
    </row>
    <row r="3" ht="20" customHeight="1">
      <c r="B3" s="18" t="inlineStr">
        <is>
          <t>[Address Line 1 | City, Country]</t>
        </is>
      </c>
    </row>
    <row r="4" ht="18" customHeight="1">
      <c r="B4" s="19" t="inlineStr">
        <is>
          <t>Tel: [Phone]  |  VAT: [VAT Number]</t>
        </is>
      </c>
    </row>
    <row r="5" ht="6" customHeight="1">
      <c r="B5" s="20" t="n"/>
      <c r="C5" s="20" t="n"/>
      <c r="D5" s="20" t="n"/>
      <c r="E5" s="20" t="n"/>
      <c r="F5" s="20" t="n"/>
      <c r="G5" s="20" t="n"/>
      <c r="H5" s="20" t="n"/>
    </row>
    <row r="7">
      <c r="B7" s="21" t="inlineStr">
        <is>
          <t>Invoice #:</t>
        </is>
      </c>
      <c r="F7" s="21" t="inlineStr">
        <is>
          <t>Date:</t>
        </is>
      </c>
    </row>
    <row r="8">
      <c r="B8" s="21" t="inlineStr">
        <is>
          <t>Customer:</t>
        </is>
      </c>
      <c r="F8" s="21" t="inlineStr">
        <is>
          <t>Staff:</t>
        </is>
      </c>
    </row>
    <row r="10" ht="28" customHeight="1">
      <c r="B10" s="2" t="inlineStr">
        <is>
          <t>Item</t>
        </is>
      </c>
      <c r="C10" s="2" t="inlineStr">
        <is>
          <t>Qty</t>
        </is>
      </c>
      <c r="D10" s="2" t="inlineStr">
        <is>
          <t>Price</t>
        </is>
      </c>
      <c r="E10" s="2" t="inlineStr">
        <is>
          <t>Discount</t>
        </is>
      </c>
      <c r="F10" s="2" t="inlineStr">
        <is>
          <t>Total</t>
        </is>
      </c>
    </row>
    <row r="11" ht="22" customHeight="1">
      <c r="B11" s="4" t="n"/>
      <c r="C11" s="5" t="n"/>
      <c r="D11" s="6" t="n"/>
      <c r="E11" s="6" t="n"/>
      <c r="F11" s="6">
        <f>IFERROR(C11*D11-IFERROR(E11,0),0)</f>
        <v/>
      </c>
    </row>
    <row r="12" ht="22" customHeight="1">
      <c r="B12" s="8" t="n"/>
      <c r="C12" s="9" t="n"/>
      <c r="D12" s="10" t="n"/>
      <c r="E12" s="10" t="n"/>
      <c r="F12" s="10">
        <f>IFERROR(C12*D12-IFERROR(E12,0),0)</f>
        <v/>
      </c>
    </row>
    <row r="13" ht="22" customHeight="1">
      <c r="B13" s="4" t="n"/>
      <c r="C13" s="5" t="n"/>
      <c r="D13" s="6" t="n"/>
      <c r="E13" s="6" t="n"/>
      <c r="F13" s="6">
        <f>IFERROR(C13*D13-IFERROR(E13,0),0)</f>
        <v/>
      </c>
    </row>
    <row r="14" ht="22" customHeight="1">
      <c r="B14" s="8" t="n"/>
      <c r="C14" s="9" t="n"/>
      <c r="D14" s="10" t="n"/>
      <c r="E14" s="10" t="n"/>
      <c r="F14" s="10">
        <f>IFERROR(C14*D14-IFERROR(E14,0),0)</f>
        <v/>
      </c>
    </row>
    <row r="15" ht="22" customHeight="1">
      <c r="B15" s="4" t="n"/>
      <c r="C15" s="5" t="n"/>
      <c r="D15" s="6" t="n"/>
      <c r="E15" s="6" t="n"/>
      <c r="F15" s="6">
        <f>IFERROR(C15*D15-IFERROR(E15,0),0)</f>
        <v/>
      </c>
    </row>
    <row r="16" ht="22" customHeight="1">
      <c r="B16" s="8" t="n"/>
      <c r="C16" s="9" t="n"/>
      <c r="D16" s="10" t="n"/>
      <c r="E16" s="10" t="n"/>
      <c r="F16" s="10">
        <f>IFERROR(C16*D16-IFERROR(E16,0),0)</f>
        <v/>
      </c>
    </row>
    <row r="17" ht="22" customHeight="1">
      <c r="B17" s="4" t="n"/>
      <c r="C17" s="5" t="n"/>
      <c r="D17" s="6" t="n"/>
      <c r="E17" s="6" t="n"/>
      <c r="F17" s="6">
        <f>IFERROR(C17*D17-IFERROR(E17,0),0)</f>
        <v/>
      </c>
    </row>
    <row r="18" ht="22" customHeight="1">
      <c r="B18" s="8" t="n"/>
      <c r="C18" s="9" t="n"/>
      <c r="D18" s="10" t="n"/>
      <c r="E18" s="10" t="n"/>
      <c r="F18" s="10">
        <f>IFERROR(C18*D18-IFERROR(E18,0),0)</f>
        <v/>
      </c>
    </row>
    <row r="19" ht="22" customHeight="1">
      <c r="B19" s="4" t="n"/>
      <c r="C19" s="5" t="n"/>
      <c r="D19" s="6" t="n"/>
      <c r="E19" s="6" t="n"/>
      <c r="F19" s="6">
        <f>IFERROR(C19*D19-IFERROR(E19,0),0)</f>
        <v/>
      </c>
    </row>
    <row r="20" ht="22" customHeight="1">
      <c r="B20" s="8" t="n"/>
      <c r="C20" s="9" t="n"/>
      <c r="D20" s="10" t="n"/>
      <c r="E20" s="10" t="n"/>
      <c r="F20" s="10">
        <f>IFERROR(C20*D20-IFERROR(E20,0),0)</f>
        <v/>
      </c>
    </row>
    <row r="21" ht="22" customHeight="1">
      <c r="B21" s="4" t="n"/>
      <c r="C21" s="5" t="n"/>
      <c r="D21" s="6" t="n"/>
      <c r="E21" s="6" t="n"/>
      <c r="F21" s="6">
        <f>IFERROR(C21*D21-IFERROR(E21,0),0)</f>
        <v/>
      </c>
    </row>
    <row r="22" ht="22" customHeight="1">
      <c r="B22" s="8" t="n"/>
      <c r="C22" s="9" t="n"/>
      <c r="D22" s="10" t="n"/>
      <c r="E22" s="10" t="n"/>
      <c r="F22" s="10">
        <f>IFERROR(C22*D22-IFERROR(E22,0),0)</f>
        <v/>
      </c>
    </row>
    <row r="23" ht="22" customHeight="1">
      <c r="B23" s="4" t="n"/>
      <c r="C23" s="5" t="n"/>
      <c r="D23" s="6" t="n"/>
      <c r="E23" s="6" t="n"/>
      <c r="F23" s="6">
        <f>IFERROR(C23*D23-IFERROR(E23,0),0)</f>
        <v/>
      </c>
    </row>
    <row r="24" ht="22" customHeight="1">
      <c r="B24" s="8" t="n"/>
      <c r="C24" s="9" t="n"/>
      <c r="D24" s="10" t="n"/>
      <c r="E24" s="10" t="n"/>
      <c r="F24" s="10">
        <f>IFERROR(C24*D24-IFERROR(E24,0),0)</f>
        <v/>
      </c>
    </row>
    <row r="25" ht="22" customHeight="1">
      <c r="B25" s="4" t="n"/>
      <c r="C25" s="5" t="n"/>
      <c r="D25" s="6" t="n"/>
      <c r="E25" s="6" t="n"/>
      <c r="F25" s="6">
        <f>IFERROR(C25*D25-IFERROR(E25,0),0)</f>
        <v/>
      </c>
    </row>
    <row r="26" ht="8" customHeight="1"/>
    <row r="27">
      <c r="D27" s="22" t="inlineStr">
        <is>
          <t>Subtotal:</t>
        </is>
      </c>
      <c r="F27" s="23">
        <f>SUM(F11:F25)</f>
        <v/>
      </c>
    </row>
    <row r="28">
      <c r="D28" s="22" t="inlineStr">
        <is>
          <t>Discount:</t>
        </is>
      </c>
      <c r="F28" s="23" t="n"/>
    </row>
    <row r="29">
      <c r="D29" s="22" t="inlineStr">
        <is>
          <t>VAT (5%):</t>
        </is>
      </c>
      <c r="F29" s="23">
        <f>IFERROR((F27-IFERROR(F28,0))*0.05,0)</f>
        <v/>
      </c>
    </row>
    <row r="30" ht="30" customHeight="1">
      <c r="D30" s="24" t="inlineStr">
        <is>
          <t>Grand Total:</t>
        </is>
      </c>
      <c r="E30" s="25" t="n"/>
      <c r="F30" s="26">
        <f>F27-IFERROR(F28,0)+F29</f>
        <v/>
      </c>
    </row>
    <row r="32">
      <c r="B32" s="27" t="inlineStr">
        <is>
          <t>Thank you for your business!</t>
        </is>
      </c>
    </row>
  </sheetData>
  <mergeCells count="4">
    <mergeCell ref="B32:F32"/>
    <mergeCell ref="B3:H3"/>
    <mergeCell ref="B2:H2"/>
    <mergeCell ref="B4:H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1B2A"/>
    <outlinePr summaryBelow="1" summaryRight="1"/>
    <pageSetUpPr/>
  </sheetPr>
  <dimension ref="B2:M20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4" customWidth="1" min="10" max="10"/>
    <col width="18" customWidth="1" min="11" max="11"/>
    <col width="16" customWidth="1" min="12" max="12"/>
    <col width="16" customWidth="1" min="13" max="13"/>
  </cols>
  <sheetData>
    <row r="1" ht="15" customHeight="1"/>
    <row r="2" ht="32" customHeight="1">
      <c r="B2" s="1" t="inlineStr">
        <is>
          <t>Inventory — Stock Tracking</t>
        </is>
      </c>
    </row>
    <row r="3" ht="8" customHeight="1"/>
    <row r="4" ht="28" customHeight="1">
      <c r="B4" s="2" t="inlineStr">
        <is>
          <t>Product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Unit Price</t>
        </is>
      </c>
      <c r="F4" s="2" t="inlineStr">
        <is>
          <t>Cost Price</t>
        </is>
      </c>
      <c r="G4" s="2" t="inlineStr">
        <is>
          <t>Margin</t>
        </is>
      </c>
      <c r="H4" s="2" t="inlineStr">
        <is>
          <t>Stock Qty</t>
        </is>
      </c>
      <c r="I4" s="2" t="inlineStr">
        <is>
          <t>Reorder Level</t>
        </is>
      </c>
      <c r="J4" s="2" t="inlineStr">
        <is>
          <t>Status</t>
        </is>
      </c>
      <c r="K4" s="2" t="inlineStr">
        <is>
          <t>Supplier</t>
        </is>
      </c>
      <c r="L4" s="2" t="inlineStr">
        <is>
          <t>Last Restocked</t>
        </is>
      </c>
      <c r="M4" s="2" t="inlineStr">
        <is>
          <t>Days Since Restock</t>
        </is>
      </c>
    </row>
    <row r="5" ht="22" customHeight="1">
      <c r="B5" s="4" t="n"/>
      <c r="C5" s="4" t="n"/>
      <c r="D5" s="4" t="n"/>
      <c r="E5" s="6" t="n"/>
      <c r="F5" s="6" t="n"/>
      <c r="G5" s="28">
        <f>IFERROR((E5-F5)/E5,0)</f>
        <v/>
      </c>
      <c r="H5" s="5" t="n"/>
      <c r="I5" s="5" t="n"/>
      <c r="J5" s="4">
        <f>IF(H5&lt;=I5,"LOW STOCK","In Stock")</f>
        <v/>
      </c>
      <c r="K5" s="4" t="n"/>
      <c r="L5" s="3" t="n"/>
      <c r="M5" s="5">
        <f>IFERROR(TODAY()-L5,"")</f>
        <v/>
      </c>
    </row>
    <row r="6" ht="22" customHeight="1">
      <c r="B6" s="8" t="n"/>
      <c r="C6" s="8" t="n"/>
      <c r="D6" s="8" t="n"/>
      <c r="E6" s="10" t="n"/>
      <c r="F6" s="10" t="n"/>
      <c r="G6" s="29">
        <f>IFERROR((E6-F6)/E6,0)</f>
        <v/>
      </c>
      <c r="H6" s="9" t="n"/>
      <c r="I6" s="9" t="n"/>
      <c r="J6" s="8">
        <f>IF(H6&lt;=I6,"LOW STOCK","In Stock")</f>
        <v/>
      </c>
      <c r="K6" s="8" t="n"/>
      <c r="L6" s="7" t="n"/>
      <c r="M6" s="9">
        <f>IFERROR(TODAY()-L6,"")</f>
        <v/>
      </c>
    </row>
    <row r="7" ht="22" customHeight="1">
      <c r="B7" s="4" t="n"/>
      <c r="C7" s="4" t="n"/>
      <c r="D7" s="4" t="n"/>
      <c r="E7" s="6" t="n"/>
      <c r="F7" s="6" t="n"/>
      <c r="G7" s="28">
        <f>IFERROR((E7-F7)/E7,0)</f>
        <v/>
      </c>
      <c r="H7" s="5" t="n"/>
      <c r="I7" s="5" t="n"/>
      <c r="J7" s="4">
        <f>IF(H7&lt;=I7,"LOW STOCK","In Stock")</f>
        <v/>
      </c>
      <c r="K7" s="4" t="n"/>
      <c r="L7" s="3" t="n"/>
      <c r="M7" s="5">
        <f>IFERROR(TODAY()-L7,"")</f>
        <v/>
      </c>
    </row>
    <row r="8" ht="22" customHeight="1">
      <c r="B8" s="8" t="n"/>
      <c r="C8" s="8" t="n"/>
      <c r="D8" s="8" t="n"/>
      <c r="E8" s="10" t="n"/>
      <c r="F8" s="10" t="n"/>
      <c r="G8" s="29">
        <f>IFERROR((E8-F8)/E8,0)</f>
        <v/>
      </c>
      <c r="H8" s="9" t="n"/>
      <c r="I8" s="9" t="n"/>
      <c r="J8" s="8">
        <f>IF(H8&lt;=I8,"LOW STOCK","In Stock")</f>
        <v/>
      </c>
      <c r="K8" s="8" t="n"/>
      <c r="L8" s="7" t="n"/>
      <c r="M8" s="9">
        <f>IFERROR(TODAY()-L8,"")</f>
        <v/>
      </c>
    </row>
    <row r="9" ht="22" customHeight="1">
      <c r="B9" s="4" t="n"/>
      <c r="C9" s="4" t="n"/>
      <c r="D9" s="4" t="n"/>
      <c r="E9" s="6" t="n"/>
      <c r="F9" s="6" t="n"/>
      <c r="G9" s="28">
        <f>IFERROR((E9-F9)/E9,0)</f>
        <v/>
      </c>
      <c r="H9" s="5" t="n"/>
      <c r="I9" s="5" t="n"/>
      <c r="J9" s="4">
        <f>IF(H9&lt;=I9,"LOW STOCK","In Stock")</f>
        <v/>
      </c>
      <c r="K9" s="4" t="n"/>
      <c r="L9" s="3" t="n"/>
      <c r="M9" s="5">
        <f>IFERROR(TODAY()-L9,"")</f>
        <v/>
      </c>
    </row>
    <row r="10" ht="22" customHeight="1">
      <c r="B10" s="8" t="n"/>
      <c r="C10" s="8" t="n"/>
      <c r="D10" s="8" t="n"/>
      <c r="E10" s="10" t="n"/>
      <c r="F10" s="10" t="n"/>
      <c r="G10" s="29">
        <f>IFERROR((E10-F10)/E10,0)</f>
        <v/>
      </c>
      <c r="H10" s="9" t="n"/>
      <c r="I10" s="9" t="n"/>
      <c r="J10" s="8">
        <f>IF(H10&lt;=I10,"LOW STOCK","In Stock")</f>
        <v/>
      </c>
      <c r="K10" s="8" t="n"/>
      <c r="L10" s="7" t="n"/>
      <c r="M10" s="9">
        <f>IFERROR(TODAY()-L10,"")</f>
        <v/>
      </c>
    </row>
    <row r="11" ht="22" customHeight="1">
      <c r="B11" s="4" t="n"/>
      <c r="C11" s="4" t="n"/>
      <c r="D11" s="4" t="n"/>
      <c r="E11" s="6" t="n"/>
      <c r="F11" s="6" t="n"/>
      <c r="G11" s="28">
        <f>IFERROR((E11-F11)/E11,0)</f>
        <v/>
      </c>
      <c r="H11" s="5" t="n"/>
      <c r="I11" s="5" t="n"/>
      <c r="J11" s="4">
        <f>IF(H11&lt;=I11,"LOW STOCK","In Stock")</f>
        <v/>
      </c>
      <c r="K11" s="4" t="n"/>
      <c r="L11" s="3" t="n"/>
      <c r="M11" s="5">
        <f>IFERROR(TODAY()-L11,"")</f>
        <v/>
      </c>
    </row>
    <row r="12" ht="22" customHeight="1">
      <c r="B12" s="8" t="n"/>
      <c r="C12" s="8" t="n"/>
      <c r="D12" s="8" t="n"/>
      <c r="E12" s="10" t="n"/>
      <c r="F12" s="10" t="n"/>
      <c r="G12" s="29">
        <f>IFERROR((E12-F12)/E12,0)</f>
        <v/>
      </c>
      <c r="H12" s="9" t="n"/>
      <c r="I12" s="9" t="n"/>
      <c r="J12" s="8">
        <f>IF(H12&lt;=I12,"LOW STOCK","In Stock")</f>
        <v/>
      </c>
      <c r="K12" s="8" t="n"/>
      <c r="L12" s="7" t="n"/>
      <c r="M12" s="9">
        <f>IFERROR(TODAY()-L12,"")</f>
        <v/>
      </c>
    </row>
    <row r="13" ht="22" customHeight="1">
      <c r="B13" s="4" t="n"/>
      <c r="C13" s="4" t="n"/>
      <c r="D13" s="4" t="n"/>
      <c r="E13" s="6" t="n"/>
      <c r="F13" s="6" t="n"/>
      <c r="G13" s="28">
        <f>IFERROR((E13-F13)/E13,0)</f>
        <v/>
      </c>
      <c r="H13" s="5" t="n"/>
      <c r="I13" s="5" t="n"/>
      <c r="J13" s="4">
        <f>IF(H13&lt;=I13,"LOW STOCK","In Stock")</f>
        <v/>
      </c>
      <c r="K13" s="4" t="n"/>
      <c r="L13" s="3" t="n"/>
      <c r="M13" s="5">
        <f>IFERROR(TODAY()-L13,"")</f>
        <v/>
      </c>
    </row>
    <row r="14" ht="22" customHeight="1">
      <c r="B14" s="8" t="n"/>
      <c r="C14" s="8" t="n"/>
      <c r="D14" s="8" t="n"/>
      <c r="E14" s="10" t="n"/>
      <c r="F14" s="10" t="n"/>
      <c r="G14" s="29">
        <f>IFERROR((E14-F14)/E14,0)</f>
        <v/>
      </c>
      <c r="H14" s="9" t="n"/>
      <c r="I14" s="9" t="n"/>
      <c r="J14" s="8">
        <f>IF(H14&lt;=I14,"LOW STOCK","In Stock")</f>
        <v/>
      </c>
      <c r="K14" s="8" t="n"/>
      <c r="L14" s="7" t="n"/>
      <c r="M14" s="9">
        <f>IFERROR(TODAY()-L14,"")</f>
        <v/>
      </c>
    </row>
    <row r="15" ht="22" customHeight="1">
      <c r="B15" s="4" t="n"/>
      <c r="C15" s="4" t="n"/>
      <c r="D15" s="4" t="n"/>
      <c r="E15" s="6" t="n"/>
      <c r="F15" s="6" t="n"/>
      <c r="G15" s="28">
        <f>IFERROR((E15-F15)/E15,0)</f>
        <v/>
      </c>
      <c r="H15" s="5" t="n"/>
      <c r="I15" s="5" t="n"/>
      <c r="J15" s="4">
        <f>IF(H15&lt;=I15,"LOW STOCK","In Stock")</f>
        <v/>
      </c>
      <c r="K15" s="4" t="n"/>
      <c r="L15" s="3" t="n"/>
      <c r="M15" s="5">
        <f>IFERROR(TODAY()-L15,"")</f>
        <v/>
      </c>
    </row>
    <row r="16" ht="22" customHeight="1">
      <c r="B16" s="8" t="n"/>
      <c r="C16" s="8" t="n"/>
      <c r="D16" s="8" t="n"/>
      <c r="E16" s="10" t="n"/>
      <c r="F16" s="10" t="n"/>
      <c r="G16" s="29">
        <f>IFERROR((E16-F16)/E16,0)</f>
        <v/>
      </c>
      <c r="H16" s="9" t="n"/>
      <c r="I16" s="9" t="n"/>
      <c r="J16" s="8">
        <f>IF(H16&lt;=I16,"LOW STOCK","In Stock")</f>
        <v/>
      </c>
      <c r="K16" s="8" t="n"/>
      <c r="L16" s="7" t="n"/>
      <c r="M16" s="9">
        <f>IFERROR(TODAY()-L16,"")</f>
        <v/>
      </c>
    </row>
    <row r="17" ht="22" customHeight="1">
      <c r="B17" s="4" t="n"/>
      <c r="C17" s="4" t="n"/>
      <c r="D17" s="4" t="n"/>
      <c r="E17" s="6" t="n"/>
      <c r="F17" s="6" t="n"/>
      <c r="G17" s="28">
        <f>IFERROR((E17-F17)/E17,0)</f>
        <v/>
      </c>
      <c r="H17" s="5" t="n"/>
      <c r="I17" s="5" t="n"/>
      <c r="J17" s="4">
        <f>IF(H17&lt;=I17,"LOW STOCK","In Stock")</f>
        <v/>
      </c>
      <c r="K17" s="4" t="n"/>
      <c r="L17" s="3" t="n"/>
      <c r="M17" s="5">
        <f>IFERROR(TODAY()-L17,"")</f>
        <v/>
      </c>
    </row>
    <row r="18" ht="22" customHeight="1">
      <c r="B18" s="8" t="n"/>
      <c r="C18" s="8" t="n"/>
      <c r="D18" s="8" t="n"/>
      <c r="E18" s="10" t="n"/>
      <c r="F18" s="10" t="n"/>
      <c r="G18" s="29">
        <f>IFERROR((E18-F18)/E18,0)</f>
        <v/>
      </c>
      <c r="H18" s="9" t="n"/>
      <c r="I18" s="9" t="n"/>
      <c r="J18" s="8">
        <f>IF(H18&lt;=I18,"LOW STOCK","In Stock")</f>
        <v/>
      </c>
      <c r="K18" s="8" t="n"/>
      <c r="L18" s="7" t="n"/>
      <c r="M18" s="9">
        <f>IFERROR(TODAY()-L18,"")</f>
        <v/>
      </c>
    </row>
    <row r="19" ht="22" customHeight="1">
      <c r="B19" s="4" t="n"/>
      <c r="C19" s="4" t="n"/>
      <c r="D19" s="4" t="n"/>
      <c r="E19" s="6" t="n"/>
      <c r="F19" s="6" t="n"/>
      <c r="G19" s="28">
        <f>IFERROR((E19-F19)/E19,0)</f>
        <v/>
      </c>
      <c r="H19" s="5" t="n"/>
      <c r="I19" s="5" t="n"/>
      <c r="J19" s="4">
        <f>IF(H19&lt;=I19,"LOW STOCK","In Stock")</f>
        <v/>
      </c>
      <c r="K19" s="4" t="n"/>
      <c r="L19" s="3" t="n"/>
      <c r="M19" s="5">
        <f>IFERROR(TODAY()-L19,"")</f>
        <v/>
      </c>
    </row>
    <row r="20" ht="22" customHeight="1">
      <c r="B20" s="8" t="n"/>
      <c r="C20" s="8" t="n"/>
      <c r="D20" s="8" t="n"/>
      <c r="E20" s="10" t="n"/>
      <c r="F20" s="10" t="n"/>
      <c r="G20" s="29">
        <f>IFERROR((E20-F20)/E20,0)</f>
        <v/>
      </c>
      <c r="H20" s="9" t="n"/>
      <c r="I20" s="9" t="n"/>
      <c r="J20" s="8">
        <f>IF(H20&lt;=I20,"LOW STOCK","In Stock")</f>
        <v/>
      </c>
      <c r="K20" s="8" t="n"/>
      <c r="L20" s="7" t="n"/>
      <c r="M20" s="9">
        <f>IFERROR(TODAY()-L20,"")</f>
        <v/>
      </c>
    </row>
    <row r="21" ht="22" customHeight="1">
      <c r="B21" s="4" t="n"/>
      <c r="C21" s="4" t="n"/>
      <c r="D21" s="4" t="n"/>
      <c r="E21" s="6" t="n"/>
      <c r="F21" s="6" t="n"/>
      <c r="G21" s="28">
        <f>IFERROR((E21-F21)/E21,0)</f>
        <v/>
      </c>
      <c r="H21" s="5" t="n"/>
      <c r="I21" s="5" t="n"/>
      <c r="J21" s="4">
        <f>IF(H21&lt;=I21,"LOW STOCK","In Stock")</f>
        <v/>
      </c>
      <c r="K21" s="4" t="n"/>
      <c r="L21" s="3" t="n"/>
      <c r="M21" s="5">
        <f>IFERROR(TODAY()-L21,"")</f>
        <v/>
      </c>
    </row>
    <row r="22" ht="22" customHeight="1">
      <c r="B22" s="8" t="n"/>
      <c r="C22" s="8" t="n"/>
      <c r="D22" s="8" t="n"/>
      <c r="E22" s="10" t="n"/>
      <c r="F22" s="10" t="n"/>
      <c r="G22" s="29">
        <f>IFERROR((E22-F22)/E22,0)</f>
        <v/>
      </c>
      <c r="H22" s="9" t="n"/>
      <c r="I22" s="9" t="n"/>
      <c r="J22" s="8">
        <f>IF(H22&lt;=I22,"LOW STOCK","In Stock")</f>
        <v/>
      </c>
      <c r="K22" s="8" t="n"/>
      <c r="L22" s="7" t="n"/>
      <c r="M22" s="9">
        <f>IFERROR(TODAY()-L22,"")</f>
        <v/>
      </c>
    </row>
    <row r="23" ht="22" customHeight="1">
      <c r="B23" s="4" t="n"/>
      <c r="C23" s="4" t="n"/>
      <c r="D23" s="4" t="n"/>
      <c r="E23" s="6" t="n"/>
      <c r="F23" s="6" t="n"/>
      <c r="G23" s="28">
        <f>IFERROR((E23-F23)/E23,0)</f>
        <v/>
      </c>
      <c r="H23" s="5" t="n"/>
      <c r="I23" s="5" t="n"/>
      <c r="J23" s="4">
        <f>IF(H23&lt;=I23,"LOW STOCK","In Stock")</f>
        <v/>
      </c>
      <c r="K23" s="4" t="n"/>
      <c r="L23" s="3" t="n"/>
      <c r="M23" s="5">
        <f>IFERROR(TODAY()-L23,"")</f>
        <v/>
      </c>
    </row>
    <row r="24" ht="22" customHeight="1">
      <c r="B24" s="8" t="n"/>
      <c r="C24" s="8" t="n"/>
      <c r="D24" s="8" t="n"/>
      <c r="E24" s="10" t="n"/>
      <c r="F24" s="10" t="n"/>
      <c r="G24" s="29">
        <f>IFERROR((E24-F24)/E24,0)</f>
        <v/>
      </c>
      <c r="H24" s="9" t="n"/>
      <c r="I24" s="9" t="n"/>
      <c r="J24" s="8">
        <f>IF(H24&lt;=I24,"LOW STOCK","In Stock")</f>
        <v/>
      </c>
      <c r="K24" s="8" t="n"/>
      <c r="L24" s="7" t="n"/>
      <c r="M24" s="9">
        <f>IFERROR(TODAY()-L24,"")</f>
        <v/>
      </c>
    </row>
    <row r="25" ht="22" customHeight="1">
      <c r="B25" s="4" t="n"/>
      <c r="C25" s="4" t="n"/>
      <c r="D25" s="4" t="n"/>
      <c r="E25" s="6" t="n"/>
      <c r="F25" s="6" t="n"/>
      <c r="G25" s="28">
        <f>IFERROR((E25-F25)/E25,0)</f>
        <v/>
      </c>
      <c r="H25" s="5" t="n"/>
      <c r="I25" s="5" t="n"/>
      <c r="J25" s="4">
        <f>IF(H25&lt;=I25,"LOW STOCK","In Stock")</f>
        <v/>
      </c>
      <c r="K25" s="4" t="n"/>
      <c r="L25" s="3" t="n"/>
      <c r="M25" s="5">
        <f>IFERROR(TODAY()-L25,"")</f>
        <v/>
      </c>
    </row>
    <row r="26" ht="22" customHeight="1">
      <c r="B26" s="8" t="n"/>
      <c r="C26" s="8" t="n"/>
      <c r="D26" s="8" t="n"/>
      <c r="E26" s="10" t="n"/>
      <c r="F26" s="10" t="n"/>
      <c r="G26" s="29">
        <f>IFERROR((E26-F26)/E26,0)</f>
        <v/>
      </c>
      <c r="H26" s="9" t="n"/>
      <c r="I26" s="9" t="n"/>
      <c r="J26" s="8">
        <f>IF(H26&lt;=I26,"LOW STOCK","In Stock")</f>
        <v/>
      </c>
      <c r="K26" s="8" t="n"/>
      <c r="L26" s="7" t="n"/>
      <c r="M26" s="9">
        <f>IFERROR(TODAY()-L26,"")</f>
        <v/>
      </c>
    </row>
    <row r="27" ht="22" customHeight="1">
      <c r="B27" s="4" t="n"/>
      <c r="C27" s="4" t="n"/>
      <c r="D27" s="4" t="n"/>
      <c r="E27" s="6" t="n"/>
      <c r="F27" s="6" t="n"/>
      <c r="G27" s="28">
        <f>IFERROR((E27-F27)/E27,0)</f>
        <v/>
      </c>
      <c r="H27" s="5" t="n"/>
      <c r="I27" s="5" t="n"/>
      <c r="J27" s="4">
        <f>IF(H27&lt;=I27,"LOW STOCK","In Stock")</f>
        <v/>
      </c>
      <c r="K27" s="4" t="n"/>
      <c r="L27" s="3" t="n"/>
      <c r="M27" s="5">
        <f>IFERROR(TODAY()-L27,"")</f>
        <v/>
      </c>
    </row>
    <row r="28" ht="22" customHeight="1">
      <c r="B28" s="8" t="n"/>
      <c r="C28" s="8" t="n"/>
      <c r="D28" s="8" t="n"/>
      <c r="E28" s="10" t="n"/>
      <c r="F28" s="10" t="n"/>
      <c r="G28" s="29">
        <f>IFERROR((E28-F28)/E28,0)</f>
        <v/>
      </c>
      <c r="H28" s="9" t="n"/>
      <c r="I28" s="9" t="n"/>
      <c r="J28" s="8">
        <f>IF(H28&lt;=I28,"LOW STOCK","In Stock")</f>
        <v/>
      </c>
      <c r="K28" s="8" t="n"/>
      <c r="L28" s="7" t="n"/>
      <c r="M28" s="9">
        <f>IFERROR(TODAY()-L28,"")</f>
        <v/>
      </c>
    </row>
    <row r="29" ht="22" customHeight="1">
      <c r="B29" s="4" t="n"/>
      <c r="C29" s="4" t="n"/>
      <c r="D29" s="4" t="n"/>
      <c r="E29" s="6" t="n"/>
      <c r="F29" s="6" t="n"/>
      <c r="G29" s="28">
        <f>IFERROR((E29-F29)/E29,0)</f>
        <v/>
      </c>
      <c r="H29" s="5" t="n"/>
      <c r="I29" s="5" t="n"/>
      <c r="J29" s="4">
        <f>IF(H29&lt;=I29,"LOW STOCK","In Stock")</f>
        <v/>
      </c>
      <c r="K29" s="4" t="n"/>
      <c r="L29" s="3" t="n"/>
      <c r="M29" s="5">
        <f>IFERROR(TODAY()-L29,"")</f>
        <v/>
      </c>
    </row>
    <row r="30" ht="22" customHeight="1">
      <c r="B30" s="8" t="n"/>
      <c r="C30" s="8" t="n"/>
      <c r="D30" s="8" t="n"/>
      <c r="E30" s="10" t="n"/>
      <c r="F30" s="10" t="n"/>
      <c r="G30" s="29">
        <f>IFERROR((E30-F30)/E30,0)</f>
        <v/>
      </c>
      <c r="H30" s="9" t="n"/>
      <c r="I30" s="9" t="n"/>
      <c r="J30" s="8">
        <f>IF(H30&lt;=I30,"LOW STOCK","In Stock")</f>
        <v/>
      </c>
      <c r="K30" s="8" t="n"/>
      <c r="L30" s="7" t="n"/>
      <c r="M30" s="9">
        <f>IFERROR(TODAY()-L30,"")</f>
        <v/>
      </c>
    </row>
    <row r="31" ht="22" customHeight="1">
      <c r="B31" s="4" t="n"/>
      <c r="C31" s="4" t="n"/>
      <c r="D31" s="4" t="n"/>
      <c r="E31" s="6" t="n"/>
      <c r="F31" s="6" t="n"/>
      <c r="G31" s="28">
        <f>IFERROR((E31-F31)/E31,0)</f>
        <v/>
      </c>
      <c r="H31" s="5" t="n"/>
      <c r="I31" s="5" t="n"/>
      <c r="J31" s="4">
        <f>IF(H31&lt;=I31,"LOW STOCK","In Stock")</f>
        <v/>
      </c>
      <c r="K31" s="4" t="n"/>
      <c r="L31" s="3" t="n"/>
      <c r="M31" s="5">
        <f>IFERROR(TODAY()-L31,"")</f>
        <v/>
      </c>
    </row>
    <row r="32" ht="22" customHeight="1">
      <c r="B32" s="8" t="n"/>
      <c r="C32" s="8" t="n"/>
      <c r="D32" s="8" t="n"/>
      <c r="E32" s="10" t="n"/>
      <c r="F32" s="10" t="n"/>
      <c r="G32" s="29">
        <f>IFERROR((E32-F32)/E32,0)</f>
        <v/>
      </c>
      <c r="H32" s="9" t="n"/>
      <c r="I32" s="9" t="n"/>
      <c r="J32" s="8">
        <f>IF(H32&lt;=I32,"LOW STOCK","In Stock")</f>
        <v/>
      </c>
      <c r="K32" s="8" t="n"/>
      <c r="L32" s="7" t="n"/>
      <c r="M32" s="9">
        <f>IFERROR(TODAY()-L32,"")</f>
        <v/>
      </c>
    </row>
    <row r="33" ht="22" customHeight="1">
      <c r="B33" s="4" t="n"/>
      <c r="C33" s="4" t="n"/>
      <c r="D33" s="4" t="n"/>
      <c r="E33" s="6" t="n"/>
      <c r="F33" s="6" t="n"/>
      <c r="G33" s="28">
        <f>IFERROR((E33-F33)/E33,0)</f>
        <v/>
      </c>
      <c r="H33" s="5" t="n"/>
      <c r="I33" s="5" t="n"/>
      <c r="J33" s="4">
        <f>IF(H33&lt;=I33,"LOW STOCK","In Stock")</f>
        <v/>
      </c>
      <c r="K33" s="4" t="n"/>
      <c r="L33" s="3" t="n"/>
      <c r="M33" s="5">
        <f>IFERROR(TODAY()-L33,"")</f>
        <v/>
      </c>
    </row>
    <row r="34" ht="22" customHeight="1">
      <c r="B34" s="8" t="n"/>
      <c r="C34" s="8" t="n"/>
      <c r="D34" s="8" t="n"/>
      <c r="E34" s="10" t="n"/>
      <c r="F34" s="10" t="n"/>
      <c r="G34" s="29">
        <f>IFERROR((E34-F34)/E34,0)</f>
        <v/>
      </c>
      <c r="H34" s="9" t="n"/>
      <c r="I34" s="9" t="n"/>
      <c r="J34" s="8">
        <f>IF(H34&lt;=I34,"LOW STOCK","In Stock")</f>
        <v/>
      </c>
      <c r="K34" s="8" t="n"/>
      <c r="L34" s="7" t="n"/>
      <c r="M34" s="9">
        <f>IFERROR(TODAY()-L34,"")</f>
        <v/>
      </c>
    </row>
    <row r="35" ht="22" customHeight="1">
      <c r="B35" s="4" t="n"/>
      <c r="C35" s="4" t="n"/>
      <c r="D35" s="4" t="n"/>
      <c r="E35" s="6" t="n"/>
      <c r="F35" s="6" t="n"/>
      <c r="G35" s="28">
        <f>IFERROR((E35-F35)/E35,0)</f>
        <v/>
      </c>
      <c r="H35" s="5" t="n"/>
      <c r="I35" s="5" t="n"/>
      <c r="J35" s="4">
        <f>IF(H35&lt;=I35,"LOW STOCK","In Stock")</f>
        <v/>
      </c>
      <c r="K35" s="4" t="n"/>
      <c r="L35" s="3" t="n"/>
      <c r="M35" s="5">
        <f>IFERROR(TODAY()-L35,"")</f>
        <v/>
      </c>
    </row>
    <row r="36" ht="22" customHeight="1">
      <c r="B36" s="8" t="n"/>
      <c r="C36" s="8" t="n"/>
      <c r="D36" s="8" t="n"/>
      <c r="E36" s="10" t="n"/>
      <c r="F36" s="10" t="n"/>
      <c r="G36" s="29">
        <f>IFERROR((E36-F36)/E36,0)</f>
        <v/>
      </c>
      <c r="H36" s="9" t="n"/>
      <c r="I36" s="9" t="n"/>
      <c r="J36" s="8">
        <f>IF(H36&lt;=I36,"LOW STOCK","In Stock")</f>
        <v/>
      </c>
      <c r="K36" s="8" t="n"/>
      <c r="L36" s="7" t="n"/>
      <c r="M36" s="9">
        <f>IFERROR(TODAY()-L36,"")</f>
        <v/>
      </c>
    </row>
    <row r="37" ht="22" customHeight="1">
      <c r="B37" s="4" t="n"/>
      <c r="C37" s="4" t="n"/>
      <c r="D37" s="4" t="n"/>
      <c r="E37" s="6" t="n"/>
      <c r="F37" s="6" t="n"/>
      <c r="G37" s="28">
        <f>IFERROR((E37-F37)/E37,0)</f>
        <v/>
      </c>
      <c r="H37" s="5" t="n"/>
      <c r="I37" s="5" t="n"/>
      <c r="J37" s="4">
        <f>IF(H37&lt;=I37,"LOW STOCK","In Stock")</f>
        <v/>
      </c>
      <c r="K37" s="4" t="n"/>
      <c r="L37" s="3" t="n"/>
      <c r="M37" s="5">
        <f>IFERROR(TODAY()-L37,"")</f>
        <v/>
      </c>
    </row>
    <row r="38" ht="22" customHeight="1">
      <c r="B38" s="8" t="n"/>
      <c r="C38" s="8" t="n"/>
      <c r="D38" s="8" t="n"/>
      <c r="E38" s="10" t="n"/>
      <c r="F38" s="10" t="n"/>
      <c r="G38" s="29">
        <f>IFERROR((E38-F38)/E38,0)</f>
        <v/>
      </c>
      <c r="H38" s="9" t="n"/>
      <c r="I38" s="9" t="n"/>
      <c r="J38" s="8">
        <f>IF(H38&lt;=I38,"LOW STOCK","In Stock")</f>
        <v/>
      </c>
      <c r="K38" s="8" t="n"/>
      <c r="L38" s="7" t="n"/>
      <c r="M38" s="9">
        <f>IFERROR(TODAY()-L38,"")</f>
        <v/>
      </c>
    </row>
    <row r="39" ht="22" customHeight="1">
      <c r="B39" s="4" t="n"/>
      <c r="C39" s="4" t="n"/>
      <c r="D39" s="4" t="n"/>
      <c r="E39" s="6" t="n"/>
      <c r="F39" s="6" t="n"/>
      <c r="G39" s="28">
        <f>IFERROR((E39-F39)/E39,0)</f>
        <v/>
      </c>
      <c r="H39" s="5" t="n"/>
      <c r="I39" s="5" t="n"/>
      <c r="J39" s="4">
        <f>IF(H39&lt;=I39,"LOW STOCK","In Stock")</f>
        <v/>
      </c>
      <c r="K39" s="4" t="n"/>
      <c r="L39" s="3" t="n"/>
      <c r="M39" s="5">
        <f>IFERROR(TODAY()-L39,"")</f>
        <v/>
      </c>
    </row>
    <row r="40" ht="22" customHeight="1">
      <c r="B40" s="8" t="n"/>
      <c r="C40" s="8" t="n"/>
      <c r="D40" s="8" t="n"/>
      <c r="E40" s="10" t="n"/>
      <c r="F40" s="10" t="n"/>
      <c r="G40" s="29">
        <f>IFERROR((E40-F40)/E40,0)</f>
        <v/>
      </c>
      <c r="H40" s="9" t="n"/>
      <c r="I40" s="9" t="n"/>
      <c r="J40" s="8">
        <f>IF(H40&lt;=I40,"LOW STOCK","In Stock")</f>
        <v/>
      </c>
      <c r="K40" s="8" t="n"/>
      <c r="L40" s="7" t="n"/>
      <c r="M40" s="9">
        <f>IFERROR(TODAY()-L40,"")</f>
        <v/>
      </c>
    </row>
    <row r="41" ht="22" customHeight="1">
      <c r="B41" s="4" t="n"/>
      <c r="C41" s="4" t="n"/>
      <c r="D41" s="4" t="n"/>
      <c r="E41" s="6" t="n"/>
      <c r="F41" s="6" t="n"/>
      <c r="G41" s="28">
        <f>IFERROR((E41-F41)/E41,0)</f>
        <v/>
      </c>
      <c r="H41" s="5" t="n"/>
      <c r="I41" s="5" t="n"/>
      <c r="J41" s="4">
        <f>IF(H41&lt;=I41,"LOW STOCK","In Stock")</f>
        <v/>
      </c>
      <c r="K41" s="4" t="n"/>
      <c r="L41" s="3" t="n"/>
      <c r="M41" s="5">
        <f>IFERROR(TODAY()-L41,"")</f>
        <v/>
      </c>
    </row>
    <row r="42" ht="22" customHeight="1">
      <c r="B42" s="8" t="n"/>
      <c r="C42" s="8" t="n"/>
      <c r="D42" s="8" t="n"/>
      <c r="E42" s="10" t="n"/>
      <c r="F42" s="10" t="n"/>
      <c r="G42" s="29">
        <f>IFERROR((E42-F42)/E42,0)</f>
        <v/>
      </c>
      <c r="H42" s="9" t="n"/>
      <c r="I42" s="9" t="n"/>
      <c r="J42" s="8">
        <f>IF(H42&lt;=I42,"LOW STOCK","In Stock")</f>
        <v/>
      </c>
      <c r="K42" s="8" t="n"/>
      <c r="L42" s="7" t="n"/>
      <c r="M42" s="9">
        <f>IFERROR(TODAY()-L42,"")</f>
        <v/>
      </c>
    </row>
    <row r="43" ht="22" customHeight="1">
      <c r="B43" s="4" t="n"/>
      <c r="C43" s="4" t="n"/>
      <c r="D43" s="4" t="n"/>
      <c r="E43" s="6" t="n"/>
      <c r="F43" s="6" t="n"/>
      <c r="G43" s="28">
        <f>IFERROR((E43-F43)/E43,0)</f>
        <v/>
      </c>
      <c r="H43" s="5" t="n"/>
      <c r="I43" s="5" t="n"/>
      <c r="J43" s="4">
        <f>IF(H43&lt;=I43,"LOW STOCK","In Stock")</f>
        <v/>
      </c>
      <c r="K43" s="4" t="n"/>
      <c r="L43" s="3" t="n"/>
      <c r="M43" s="5">
        <f>IFERROR(TODAY()-L43,"")</f>
        <v/>
      </c>
    </row>
    <row r="44" ht="22" customHeight="1">
      <c r="B44" s="8" t="n"/>
      <c r="C44" s="8" t="n"/>
      <c r="D44" s="8" t="n"/>
      <c r="E44" s="10" t="n"/>
      <c r="F44" s="10" t="n"/>
      <c r="G44" s="29">
        <f>IFERROR((E44-F44)/E44,0)</f>
        <v/>
      </c>
      <c r="H44" s="9" t="n"/>
      <c r="I44" s="9" t="n"/>
      <c r="J44" s="8">
        <f>IF(H44&lt;=I44,"LOW STOCK","In Stock")</f>
        <v/>
      </c>
      <c r="K44" s="8" t="n"/>
      <c r="L44" s="7" t="n"/>
      <c r="M44" s="9">
        <f>IFERROR(TODAY()-L44,"")</f>
        <v/>
      </c>
    </row>
    <row r="45" ht="22" customHeight="1">
      <c r="B45" s="4" t="n"/>
      <c r="C45" s="4" t="n"/>
      <c r="D45" s="4" t="n"/>
      <c r="E45" s="6" t="n"/>
      <c r="F45" s="6" t="n"/>
      <c r="G45" s="28">
        <f>IFERROR((E45-F45)/E45,0)</f>
        <v/>
      </c>
      <c r="H45" s="5" t="n"/>
      <c r="I45" s="5" t="n"/>
      <c r="J45" s="4">
        <f>IF(H45&lt;=I45,"LOW STOCK","In Stock")</f>
        <v/>
      </c>
      <c r="K45" s="4" t="n"/>
      <c r="L45" s="3" t="n"/>
      <c r="M45" s="5">
        <f>IFERROR(TODAY()-L45,"")</f>
        <v/>
      </c>
    </row>
    <row r="46" ht="22" customHeight="1">
      <c r="B46" s="8" t="n"/>
      <c r="C46" s="8" t="n"/>
      <c r="D46" s="8" t="n"/>
      <c r="E46" s="10" t="n"/>
      <c r="F46" s="10" t="n"/>
      <c r="G46" s="29">
        <f>IFERROR((E46-F46)/E46,0)</f>
        <v/>
      </c>
      <c r="H46" s="9" t="n"/>
      <c r="I46" s="9" t="n"/>
      <c r="J46" s="8">
        <f>IF(H46&lt;=I46,"LOW STOCK","In Stock")</f>
        <v/>
      </c>
      <c r="K46" s="8" t="n"/>
      <c r="L46" s="7" t="n"/>
      <c r="M46" s="9">
        <f>IFERROR(TODAY()-L46,"")</f>
        <v/>
      </c>
    </row>
    <row r="47" ht="22" customHeight="1">
      <c r="B47" s="4" t="n"/>
      <c r="C47" s="4" t="n"/>
      <c r="D47" s="4" t="n"/>
      <c r="E47" s="6" t="n"/>
      <c r="F47" s="6" t="n"/>
      <c r="G47" s="28">
        <f>IFERROR((E47-F47)/E47,0)</f>
        <v/>
      </c>
      <c r="H47" s="5" t="n"/>
      <c r="I47" s="5" t="n"/>
      <c r="J47" s="4">
        <f>IF(H47&lt;=I47,"LOW STOCK","In Stock")</f>
        <v/>
      </c>
      <c r="K47" s="4" t="n"/>
      <c r="L47" s="3" t="n"/>
      <c r="M47" s="5">
        <f>IFERROR(TODAY()-L47,"")</f>
        <v/>
      </c>
    </row>
    <row r="48" ht="22" customHeight="1">
      <c r="B48" s="8" t="n"/>
      <c r="C48" s="8" t="n"/>
      <c r="D48" s="8" t="n"/>
      <c r="E48" s="10" t="n"/>
      <c r="F48" s="10" t="n"/>
      <c r="G48" s="29">
        <f>IFERROR((E48-F48)/E48,0)</f>
        <v/>
      </c>
      <c r="H48" s="9" t="n"/>
      <c r="I48" s="9" t="n"/>
      <c r="J48" s="8">
        <f>IF(H48&lt;=I48,"LOW STOCK","In Stock")</f>
        <v/>
      </c>
      <c r="K48" s="8" t="n"/>
      <c r="L48" s="7" t="n"/>
      <c r="M48" s="9">
        <f>IFERROR(TODAY()-L48,"")</f>
        <v/>
      </c>
    </row>
    <row r="49" ht="22" customHeight="1">
      <c r="B49" s="4" t="n"/>
      <c r="C49" s="4" t="n"/>
      <c r="D49" s="4" t="n"/>
      <c r="E49" s="6" t="n"/>
      <c r="F49" s="6" t="n"/>
      <c r="G49" s="28">
        <f>IFERROR((E49-F49)/E49,0)</f>
        <v/>
      </c>
      <c r="H49" s="5" t="n"/>
      <c r="I49" s="5" t="n"/>
      <c r="J49" s="4">
        <f>IF(H49&lt;=I49,"LOW STOCK","In Stock")</f>
        <v/>
      </c>
      <c r="K49" s="4" t="n"/>
      <c r="L49" s="3" t="n"/>
      <c r="M49" s="5">
        <f>IFERROR(TODAY()-L49,"")</f>
        <v/>
      </c>
    </row>
    <row r="50" ht="22" customHeight="1">
      <c r="B50" s="8" t="n"/>
      <c r="C50" s="8" t="n"/>
      <c r="D50" s="8" t="n"/>
      <c r="E50" s="10" t="n"/>
      <c r="F50" s="10" t="n"/>
      <c r="G50" s="29">
        <f>IFERROR((E50-F50)/E50,0)</f>
        <v/>
      </c>
      <c r="H50" s="9" t="n"/>
      <c r="I50" s="9" t="n"/>
      <c r="J50" s="8">
        <f>IF(H50&lt;=I50,"LOW STOCK","In Stock")</f>
        <v/>
      </c>
      <c r="K50" s="8" t="n"/>
      <c r="L50" s="7" t="n"/>
      <c r="M50" s="9">
        <f>IFERROR(TODAY()-L50,"")</f>
        <v/>
      </c>
    </row>
    <row r="51" ht="22" customHeight="1">
      <c r="B51" s="4" t="n"/>
      <c r="C51" s="4" t="n"/>
      <c r="D51" s="4" t="n"/>
      <c r="E51" s="6" t="n"/>
      <c r="F51" s="6" t="n"/>
      <c r="G51" s="28">
        <f>IFERROR((E51-F51)/E51,0)</f>
        <v/>
      </c>
      <c r="H51" s="5" t="n"/>
      <c r="I51" s="5" t="n"/>
      <c r="J51" s="4">
        <f>IF(H51&lt;=I51,"LOW STOCK","In Stock")</f>
        <v/>
      </c>
      <c r="K51" s="4" t="n"/>
      <c r="L51" s="3" t="n"/>
      <c r="M51" s="5">
        <f>IFERROR(TODAY()-L51,"")</f>
        <v/>
      </c>
    </row>
    <row r="52" ht="22" customHeight="1">
      <c r="B52" s="8" t="n"/>
      <c r="C52" s="8" t="n"/>
      <c r="D52" s="8" t="n"/>
      <c r="E52" s="10" t="n"/>
      <c r="F52" s="10" t="n"/>
      <c r="G52" s="29">
        <f>IFERROR((E52-F52)/E52,0)</f>
        <v/>
      </c>
      <c r="H52" s="9" t="n"/>
      <c r="I52" s="9" t="n"/>
      <c r="J52" s="8">
        <f>IF(H52&lt;=I52,"LOW STOCK","In Stock")</f>
        <v/>
      </c>
      <c r="K52" s="8" t="n"/>
      <c r="L52" s="7" t="n"/>
      <c r="M52" s="9">
        <f>IFERROR(TODAY()-L52,"")</f>
        <v/>
      </c>
    </row>
    <row r="53" ht="22" customHeight="1">
      <c r="B53" s="4" t="n"/>
      <c r="C53" s="4" t="n"/>
      <c r="D53" s="4" t="n"/>
      <c r="E53" s="6" t="n"/>
      <c r="F53" s="6" t="n"/>
      <c r="G53" s="28">
        <f>IFERROR((E53-F53)/E53,0)</f>
        <v/>
      </c>
      <c r="H53" s="5" t="n"/>
      <c r="I53" s="5" t="n"/>
      <c r="J53" s="4">
        <f>IF(H53&lt;=I53,"LOW STOCK","In Stock")</f>
        <v/>
      </c>
      <c r="K53" s="4" t="n"/>
      <c r="L53" s="3" t="n"/>
      <c r="M53" s="5">
        <f>IFERROR(TODAY()-L53,"")</f>
        <v/>
      </c>
    </row>
    <row r="54" ht="22" customHeight="1">
      <c r="B54" s="8" t="n"/>
      <c r="C54" s="8" t="n"/>
      <c r="D54" s="8" t="n"/>
      <c r="E54" s="10" t="n"/>
      <c r="F54" s="10" t="n"/>
      <c r="G54" s="29">
        <f>IFERROR((E54-F54)/E54,0)</f>
        <v/>
      </c>
      <c r="H54" s="9" t="n"/>
      <c r="I54" s="9" t="n"/>
      <c r="J54" s="8">
        <f>IF(H54&lt;=I54,"LOW STOCK","In Stock")</f>
        <v/>
      </c>
      <c r="K54" s="8" t="n"/>
      <c r="L54" s="7" t="n"/>
      <c r="M54" s="9">
        <f>IFERROR(TODAY()-L54,"")</f>
        <v/>
      </c>
    </row>
    <row r="55" ht="22" customHeight="1">
      <c r="B55" s="4" t="n"/>
      <c r="C55" s="4" t="n"/>
      <c r="D55" s="4" t="n"/>
      <c r="E55" s="6" t="n"/>
      <c r="F55" s="6" t="n"/>
      <c r="G55" s="28">
        <f>IFERROR((E55-F55)/E55,0)</f>
        <v/>
      </c>
      <c r="H55" s="5" t="n"/>
      <c r="I55" s="5" t="n"/>
      <c r="J55" s="4">
        <f>IF(H55&lt;=I55,"LOW STOCK","In Stock")</f>
        <v/>
      </c>
      <c r="K55" s="4" t="n"/>
      <c r="L55" s="3" t="n"/>
      <c r="M55" s="5">
        <f>IFERROR(TODAY()-L55,"")</f>
        <v/>
      </c>
    </row>
    <row r="56" ht="22" customHeight="1">
      <c r="B56" s="8" t="n"/>
      <c r="C56" s="8" t="n"/>
      <c r="D56" s="8" t="n"/>
      <c r="E56" s="10" t="n"/>
      <c r="F56" s="10" t="n"/>
      <c r="G56" s="29">
        <f>IFERROR((E56-F56)/E56,0)</f>
        <v/>
      </c>
      <c r="H56" s="9" t="n"/>
      <c r="I56" s="9" t="n"/>
      <c r="J56" s="8">
        <f>IF(H56&lt;=I56,"LOW STOCK","In Stock")</f>
        <v/>
      </c>
      <c r="K56" s="8" t="n"/>
      <c r="L56" s="7" t="n"/>
      <c r="M56" s="9">
        <f>IFERROR(TODAY()-L56,"")</f>
        <v/>
      </c>
    </row>
    <row r="57" ht="22" customHeight="1">
      <c r="B57" s="4" t="n"/>
      <c r="C57" s="4" t="n"/>
      <c r="D57" s="4" t="n"/>
      <c r="E57" s="6" t="n"/>
      <c r="F57" s="6" t="n"/>
      <c r="G57" s="28">
        <f>IFERROR((E57-F57)/E57,0)</f>
        <v/>
      </c>
      <c r="H57" s="5" t="n"/>
      <c r="I57" s="5" t="n"/>
      <c r="J57" s="4">
        <f>IF(H57&lt;=I57,"LOW STOCK","In Stock")</f>
        <v/>
      </c>
      <c r="K57" s="4" t="n"/>
      <c r="L57" s="3" t="n"/>
      <c r="M57" s="5">
        <f>IFERROR(TODAY()-L57,"")</f>
        <v/>
      </c>
    </row>
    <row r="58" ht="22" customHeight="1">
      <c r="B58" s="8" t="n"/>
      <c r="C58" s="8" t="n"/>
      <c r="D58" s="8" t="n"/>
      <c r="E58" s="10" t="n"/>
      <c r="F58" s="10" t="n"/>
      <c r="G58" s="29">
        <f>IFERROR((E58-F58)/E58,0)</f>
        <v/>
      </c>
      <c r="H58" s="9" t="n"/>
      <c r="I58" s="9" t="n"/>
      <c r="J58" s="8">
        <f>IF(H58&lt;=I58,"LOW STOCK","In Stock")</f>
        <v/>
      </c>
      <c r="K58" s="8" t="n"/>
      <c r="L58" s="7" t="n"/>
      <c r="M58" s="9">
        <f>IFERROR(TODAY()-L58,"")</f>
        <v/>
      </c>
    </row>
    <row r="59" ht="22" customHeight="1">
      <c r="B59" s="4" t="n"/>
      <c r="C59" s="4" t="n"/>
      <c r="D59" s="4" t="n"/>
      <c r="E59" s="6" t="n"/>
      <c r="F59" s="6" t="n"/>
      <c r="G59" s="28">
        <f>IFERROR((E59-F59)/E59,0)</f>
        <v/>
      </c>
      <c r="H59" s="5" t="n"/>
      <c r="I59" s="5" t="n"/>
      <c r="J59" s="4">
        <f>IF(H59&lt;=I59,"LOW STOCK","In Stock")</f>
        <v/>
      </c>
      <c r="K59" s="4" t="n"/>
      <c r="L59" s="3" t="n"/>
      <c r="M59" s="5">
        <f>IFERROR(TODAY()-L59,"")</f>
        <v/>
      </c>
    </row>
    <row r="60" ht="22" customHeight="1">
      <c r="B60" s="8" t="n"/>
      <c r="C60" s="8" t="n"/>
      <c r="D60" s="8" t="n"/>
      <c r="E60" s="10" t="n"/>
      <c r="F60" s="10" t="n"/>
      <c r="G60" s="29">
        <f>IFERROR((E60-F60)/E60,0)</f>
        <v/>
      </c>
      <c r="H60" s="9" t="n"/>
      <c r="I60" s="9" t="n"/>
      <c r="J60" s="8">
        <f>IF(H60&lt;=I60,"LOW STOCK","In Stock")</f>
        <v/>
      </c>
      <c r="K60" s="8" t="n"/>
      <c r="L60" s="7" t="n"/>
      <c r="M60" s="9">
        <f>IFERROR(TODAY()-L60,"")</f>
        <v/>
      </c>
    </row>
    <row r="61" ht="22" customHeight="1">
      <c r="B61" s="4" t="n"/>
      <c r="C61" s="4" t="n"/>
      <c r="D61" s="4" t="n"/>
      <c r="E61" s="6" t="n"/>
      <c r="F61" s="6" t="n"/>
      <c r="G61" s="28">
        <f>IFERROR((E61-F61)/E61,0)</f>
        <v/>
      </c>
      <c r="H61" s="5" t="n"/>
      <c r="I61" s="5" t="n"/>
      <c r="J61" s="4">
        <f>IF(H61&lt;=I61,"LOW STOCK","In Stock")</f>
        <v/>
      </c>
      <c r="K61" s="4" t="n"/>
      <c r="L61" s="3" t="n"/>
      <c r="M61" s="5">
        <f>IFERROR(TODAY()-L61,"")</f>
        <v/>
      </c>
    </row>
    <row r="62" ht="22" customHeight="1">
      <c r="B62" s="8" t="n"/>
      <c r="C62" s="8" t="n"/>
      <c r="D62" s="8" t="n"/>
      <c r="E62" s="10" t="n"/>
      <c r="F62" s="10" t="n"/>
      <c r="G62" s="29">
        <f>IFERROR((E62-F62)/E62,0)</f>
        <v/>
      </c>
      <c r="H62" s="9" t="n"/>
      <c r="I62" s="9" t="n"/>
      <c r="J62" s="8">
        <f>IF(H62&lt;=I62,"LOW STOCK","In Stock")</f>
        <v/>
      </c>
      <c r="K62" s="8" t="n"/>
      <c r="L62" s="7" t="n"/>
      <c r="M62" s="9">
        <f>IFERROR(TODAY()-L62,"")</f>
        <v/>
      </c>
    </row>
    <row r="63" ht="22" customHeight="1">
      <c r="B63" s="4" t="n"/>
      <c r="C63" s="4" t="n"/>
      <c r="D63" s="4" t="n"/>
      <c r="E63" s="6" t="n"/>
      <c r="F63" s="6" t="n"/>
      <c r="G63" s="28">
        <f>IFERROR((E63-F63)/E63,0)</f>
        <v/>
      </c>
      <c r="H63" s="5" t="n"/>
      <c r="I63" s="5" t="n"/>
      <c r="J63" s="4">
        <f>IF(H63&lt;=I63,"LOW STOCK","In Stock")</f>
        <v/>
      </c>
      <c r="K63" s="4" t="n"/>
      <c r="L63" s="3" t="n"/>
      <c r="M63" s="5">
        <f>IFERROR(TODAY()-L63,"")</f>
        <v/>
      </c>
    </row>
    <row r="64" ht="22" customHeight="1">
      <c r="B64" s="8" t="n"/>
      <c r="C64" s="8" t="n"/>
      <c r="D64" s="8" t="n"/>
      <c r="E64" s="10" t="n"/>
      <c r="F64" s="10" t="n"/>
      <c r="G64" s="29">
        <f>IFERROR((E64-F64)/E64,0)</f>
        <v/>
      </c>
      <c r="H64" s="9" t="n"/>
      <c r="I64" s="9" t="n"/>
      <c r="J64" s="8">
        <f>IF(H64&lt;=I64,"LOW STOCK","In Stock")</f>
        <v/>
      </c>
      <c r="K64" s="8" t="n"/>
      <c r="L64" s="7" t="n"/>
      <c r="M64" s="9">
        <f>IFERROR(TODAY()-L64,"")</f>
        <v/>
      </c>
    </row>
    <row r="65" ht="22" customHeight="1">
      <c r="B65" s="4" t="n"/>
      <c r="C65" s="4" t="n"/>
      <c r="D65" s="4" t="n"/>
      <c r="E65" s="6" t="n"/>
      <c r="F65" s="6" t="n"/>
      <c r="G65" s="28">
        <f>IFERROR((E65-F65)/E65,0)</f>
        <v/>
      </c>
      <c r="H65" s="5" t="n"/>
      <c r="I65" s="5" t="n"/>
      <c r="J65" s="4">
        <f>IF(H65&lt;=I65,"LOW STOCK","In Stock")</f>
        <v/>
      </c>
      <c r="K65" s="4" t="n"/>
      <c r="L65" s="3" t="n"/>
      <c r="M65" s="5">
        <f>IFERROR(TODAY()-L65,"")</f>
        <v/>
      </c>
    </row>
    <row r="66" ht="22" customHeight="1">
      <c r="B66" s="8" t="n"/>
      <c r="C66" s="8" t="n"/>
      <c r="D66" s="8" t="n"/>
      <c r="E66" s="10" t="n"/>
      <c r="F66" s="10" t="n"/>
      <c r="G66" s="29">
        <f>IFERROR((E66-F66)/E66,0)</f>
        <v/>
      </c>
      <c r="H66" s="9" t="n"/>
      <c r="I66" s="9" t="n"/>
      <c r="J66" s="8">
        <f>IF(H66&lt;=I66,"LOW STOCK","In Stock")</f>
        <v/>
      </c>
      <c r="K66" s="8" t="n"/>
      <c r="L66" s="7" t="n"/>
      <c r="M66" s="9">
        <f>IFERROR(TODAY()-L66,"")</f>
        <v/>
      </c>
    </row>
    <row r="67" ht="22" customHeight="1">
      <c r="B67" s="4" t="n"/>
      <c r="C67" s="4" t="n"/>
      <c r="D67" s="4" t="n"/>
      <c r="E67" s="6" t="n"/>
      <c r="F67" s="6" t="n"/>
      <c r="G67" s="28">
        <f>IFERROR((E67-F67)/E67,0)</f>
        <v/>
      </c>
      <c r="H67" s="5" t="n"/>
      <c r="I67" s="5" t="n"/>
      <c r="J67" s="4">
        <f>IF(H67&lt;=I67,"LOW STOCK","In Stock")</f>
        <v/>
      </c>
      <c r="K67" s="4" t="n"/>
      <c r="L67" s="3" t="n"/>
      <c r="M67" s="5">
        <f>IFERROR(TODAY()-L67,"")</f>
        <v/>
      </c>
    </row>
    <row r="68" ht="22" customHeight="1">
      <c r="B68" s="8" t="n"/>
      <c r="C68" s="8" t="n"/>
      <c r="D68" s="8" t="n"/>
      <c r="E68" s="10" t="n"/>
      <c r="F68" s="10" t="n"/>
      <c r="G68" s="29">
        <f>IFERROR((E68-F68)/E68,0)</f>
        <v/>
      </c>
      <c r="H68" s="9" t="n"/>
      <c r="I68" s="9" t="n"/>
      <c r="J68" s="8">
        <f>IF(H68&lt;=I68,"LOW STOCK","In Stock")</f>
        <v/>
      </c>
      <c r="K68" s="8" t="n"/>
      <c r="L68" s="7" t="n"/>
      <c r="M68" s="9">
        <f>IFERROR(TODAY()-L68,"")</f>
        <v/>
      </c>
    </row>
    <row r="69" ht="22" customHeight="1">
      <c r="B69" s="4" t="n"/>
      <c r="C69" s="4" t="n"/>
      <c r="D69" s="4" t="n"/>
      <c r="E69" s="6" t="n"/>
      <c r="F69" s="6" t="n"/>
      <c r="G69" s="28">
        <f>IFERROR((E69-F69)/E69,0)</f>
        <v/>
      </c>
      <c r="H69" s="5" t="n"/>
      <c r="I69" s="5" t="n"/>
      <c r="J69" s="4">
        <f>IF(H69&lt;=I69,"LOW STOCK","In Stock")</f>
        <v/>
      </c>
      <c r="K69" s="4" t="n"/>
      <c r="L69" s="3" t="n"/>
      <c r="M69" s="5">
        <f>IFERROR(TODAY()-L69,"")</f>
        <v/>
      </c>
    </row>
    <row r="70" ht="22" customHeight="1">
      <c r="B70" s="8" t="n"/>
      <c r="C70" s="8" t="n"/>
      <c r="D70" s="8" t="n"/>
      <c r="E70" s="10" t="n"/>
      <c r="F70" s="10" t="n"/>
      <c r="G70" s="29">
        <f>IFERROR((E70-F70)/E70,0)</f>
        <v/>
      </c>
      <c r="H70" s="9" t="n"/>
      <c r="I70" s="9" t="n"/>
      <c r="J70" s="8">
        <f>IF(H70&lt;=I70,"LOW STOCK","In Stock")</f>
        <v/>
      </c>
      <c r="K70" s="8" t="n"/>
      <c r="L70" s="7" t="n"/>
      <c r="M70" s="9">
        <f>IFERROR(TODAY()-L70,"")</f>
        <v/>
      </c>
    </row>
    <row r="71" ht="22" customHeight="1">
      <c r="B71" s="4" t="n"/>
      <c r="C71" s="4" t="n"/>
      <c r="D71" s="4" t="n"/>
      <c r="E71" s="6" t="n"/>
      <c r="F71" s="6" t="n"/>
      <c r="G71" s="28">
        <f>IFERROR((E71-F71)/E71,0)</f>
        <v/>
      </c>
      <c r="H71" s="5" t="n"/>
      <c r="I71" s="5" t="n"/>
      <c r="J71" s="4">
        <f>IF(H71&lt;=I71,"LOW STOCK","In Stock")</f>
        <v/>
      </c>
      <c r="K71" s="4" t="n"/>
      <c r="L71" s="3" t="n"/>
      <c r="M71" s="5">
        <f>IFERROR(TODAY()-L71,"")</f>
        <v/>
      </c>
    </row>
    <row r="72" ht="22" customHeight="1">
      <c r="B72" s="8" t="n"/>
      <c r="C72" s="8" t="n"/>
      <c r="D72" s="8" t="n"/>
      <c r="E72" s="10" t="n"/>
      <c r="F72" s="10" t="n"/>
      <c r="G72" s="29">
        <f>IFERROR((E72-F72)/E72,0)</f>
        <v/>
      </c>
      <c r="H72" s="9" t="n"/>
      <c r="I72" s="9" t="n"/>
      <c r="J72" s="8">
        <f>IF(H72&lt;=I72,"LOW STOCK","In Stock")</f>
        <v/>
      </c>
      <c r="K72" s="8" t="n"/>
      <c r="L72" s="7" t="n"/>
      <c r="M72" s="9">
        <f>IFERROR(TODAY()-L72,"")</f>
        <v/>
      </c>
    </row>
    <row r="73" ht="22" customHeight="1">
      <c r="B73" s="4" t="n"/>
      <c r="C73" s="4" t="n"/>
      <c r="D73" s="4" t="n"/>
      <c r="E73" s="6" t="n"/>
      <c r="F73" s="6" t="n"/>
      <c r="G73" s="28">
        <f>IFERROR((E73-F73)/E73,0)</f>
        <v/>
      </c>
      <c r="H73" s="5" t="n"/>
      <c r="I73" s="5" t="n"/>
      <c r="J73" s="4">
        <f>IF(H73&lt;=I73,"LOW STOCK","In Stock")</f>
        <v/>
      </c>
      <c r="K73" s="4" t="n"/>
      <c r="L73" s="3" t="n"/>
      <c r="M73" s="5">
        <f>IFERROR(TODAY()-L73,"")</f>
        <v/>
      </c>
    </row>
    <row r="74" ht="22" customHeight="1">
      <c r="B74" s="8" t="n"/>
      <c r="C74" s="8" t="n"/>
      <c r="D74" s="8" t="n"/>
      <c r="E74" s="10" t="n"/>
      <c r="F74" s="10" t="n"/>
      <c r="G74" s="29">
        <f>IFERROR((E74-F74)/E74,0)</f>
        <v/>
      </c>
      <c r="H74" s="9" t="n"/>
      <c r="I74" s="9" t="n"/>
      <c r="J74" s="8">
        <f>IF(H74&lt;=I74,"LOW STOCK","In Stock")</f>
        <v/>
      </c>
      <c r="K74" s="8" t="n"/>
      <c r="L74" s="7" t="n"/>
      <c r="M74" s="9">
        <f>IFERROR(TODAY()-L74,"")</f>
        <v/>
      </c>
    </row>
    <row r="75" ht="22" customHeight="1">
      <c r="B75" s="4" t="n"/>
      <c r="C75" s="4" t="n"/>
      <c r="D75" s="4" t="n"/>
      <c r="E75" s="6" t="n"/>
      <c r="F75" s="6" t="n"/>
      <c r="G75" s="28">
        <f>IFERROR((E75-F75)/E75,0)</f>
        <v/>
      </c>
      <c r="H75" s="5" t="n"/>
      <c r="I75" s="5" t="n"/>
      <c r="J75" s="4">
        <f>IF(H75&lt;=I75,"LOW STOCK","In Stock")</f>
        <v/>
      </c>
      <c r="K75" s="4" t="n"/>
      <c r="L75" s="3" t="n"/>
      <c r="M75" s="5">
        <f>IFERROR(TODAY()-L75,"")</f>
        <v/>
      </c>
    </row>
    <row r="76" ht="22" customHeight="1">
      <c r="B76" s="8" t="n"/>
      <c r="C76" s="8" t="n"/>
      <c r="D76" s="8" t="n"/>
      <c r="E76" s="10" t="n"/>
      <c r="F76" s="10" t="n"/>
      <c r="G76" s="29">
        <f>IFERROR((E76-F76)/E76,0)</f>
        <v/>
      </c>
      <c r="H76" s="9" t="n"/>
      <c r="I76" s="9" t="n"/>
      <c r="J76" s="8">
        <f>IF(H76&lt;=I76,"LOW STOCK","In Stock")</f>
        <v/>
      </c>
      <c r="K76" s="8" t="n"/>
      <c r="L76" s="7" t="n"/>
      <c r="M76" s="9">
        <f>IFERROR(TODAY()-L76,"")</f>
        <v/>
      </c>
    </row>
    <row r="77" ht="22" customHeight="1">
      <c r="B77" s="4" t="n"/>
      <c r="C77" s="4" t="n"/>
      <c r="D77" s="4" t="n"/>
      <c r="E77" s="6" t="n"/>
      <c r="F77" s="6" t="n"/>
      <c r="G77" s="28">
        <f>IFERROR((E77-F77)/E77,0)</f>
        <v/>
      </c>
      <c r="H77" s="5" t="n"/>
      <c r="I77" s="5" t="n"/>
      <c r="J77" s="4">
        <f>IF(H77&lt;=I77,"LOW STOCK","In Stock")</f>
        <v/>
      </c>
      <c r="K77" s="4" t="n"/>
      <c r="L77" s="3" t="n"/>
      <c r="M77" s="5">
        <f>IFERROR(TODAY()-L77,"")</f>
        <v/>
      </c>
    </row>
    <row r="78" ht="22" customHeight="1">
      <c r="B78" s="8" t="n"/>
      <c r="C78" s="8" t="n"/>
      <c r="D78" s="8" t="n"/>
      <c r="E78" s="10" t="n"/>
      <c r="F78" s="10" t="n"/>
      <c r="G78" s="29">
        <f>IFERROR((E78-F78)/E78,0)</f>
        <v/>
      </c>
      <c r="H78" s="9" t="n"/>
      <c r="I78" s="9" t="n"/>
      <c r="J78" s="8">
        <f>IF(H78&lt;=I78,"LOW STOCK","In Stock")</f>
        <v/>
      </c>
      <c r="K78" s="8" t="n"/>
      <c r="L78" s="7" t="n"/>
      <c r="M78" s="9">
        <f>IFERROR(TODAY()-L78,"")</f>
        <v/>
      </c>
    </row>
    <row r="79" ht="22" customHeight="1">
      <c r="B79" s="4" t="n"/>
      <c r="C79" s="4" t="n"/>
      <c r="D79" s="4" t="n"/>
      <c r="E79" s="6" t="n"/>
      <c r="F79" s="6" t="n"/>
      <c r="G79" s="28">
        <f>IFERROR((E79-F79)/E79,0)</f>
        <v/>
      </c>
      <c r="H79" s="5" t="n"/>
      <c r="I79" s="5" t="n"/>
      <c r="J79" s="4">
        <f>IF(H79&lt;=I79,"LOW STOCK","In Stock")</f>
        <v/>
      </c>
      <c r="K79" s="4" t="n"/>
      <c r="L79" s="3" t="n"/>
      <c r="M79" s="5">
        <f>IFERROR(TODAY()-L79,"")</f>
        <v/>
      </c>
    </row>
    <row r="80" ht="22" customHeight="1">
      <c r="B80" s="8" t="n"/>
      <c r="C80" s="8" t="n"/>
      <c r="D80" s="8" t="n"/>
      <c r="E80" s="10" t="n"/>
      <c r="F80" s="10" t="n"/>
      <c r="G80" s="29">
        <f>IFERROR((E80-F80)/E80,0)</f>
        <v/>
      </c>
      <c r="H80" s="9" t="n"/>
      <c r="I80" s="9" t="n"/>
      <c r="J80" s="8">
        <f>IF(H80&lt;=I80,"LOW STOCK","In Stock")</f>
        <v/>
      </c>
      <c r="K80" s="8" t="n"/>
      <c r="L80" s="7" t="n"/>
      <c r="M80" s="9">
        <f>IFERROR(TODAY()-L80,"")</f>
        <v/>
      </c>
    </row>
    <row r="81" ht="22" customHeight="1">
      <c r="B81" s="4" t="n"/>
      <c r="C81" s="4" t="n"/>
      <c r="D81" s="4" t="n"/>
      <c r="E81" s="6" t="n"/>
      <c r="F81" s="6" t="n"/>
      <c r="G81" s="28">
        <f>IFERROR((E81-F81)/E81,0)</f>
        <v/>
      </c>
      <c r="H81" s="5" t="n"/>
      <c r="I81" s="5" t="n"/>
      <c r="J81" s="4">
        <f>IF(H81&lt;=I81,"LOW STOCK","In Stock")</f>
        <v/>
      </c>
      <c r="K81" s="4" t="n"/>
      <c r="L81" s="3" t="n"/>
      <c r="M81" s="5">
        <f>IFERROR(TODAY()-L81,"")</f>
        <v/>
      </c>
    </row>
    <row r="82" ht="22" customHeight="1">
      <c r="B82" s="8" t="n"/>
      <c r="C82" s="8" t="n"/>
      <c r="D82" s="8" t="n"/>
      <c r="E82" s="10" t="n"/>
      <c r="F82" s="10" t="n"/>
      <c r="G82" s="29">
        <f>IFERROR((E82-F82)/E82,0)</f>
        <v/>
      </c>
      <c r="H82" s="9" t="n"/>
      <c r="I82" s="9" t="n"/>
      <c r="J82" s="8">
        <f>IF(H82&lt;=I82,"LOW STOCK","In Stock")</f>
        <v/>
      </c>
      <c r="K82" s="8" t="n"/>
      <c r="L82" s="7" t="n"/>
      <c r="M82" s="9">
        <f>IFERROR(TODAY()-L82,"")</f>
        <v/>
      </c>
    </row>
    <row r="83" ht="22" customHeight="1">
      <c r="B83" s="4" t="n"/>
      <c r="C83" s="4" t="n"/>
      <c r="D83" s="4" t="n"/>
      <c r="E83" s="6" t="n"/>
      <c r="F83" s="6" t="n"/>
      <c r="G83" s="28">
        <f>IFERROR((E83-F83)/E83,0)</f>
        <v/>
      </c>
      <c r="H83" s="5" t="n"/>
      <c r="I83" s="5" t="n"/>
      <c r="J83" s="4">
        <f>IF(H83&lt;=I83,"LOW STOCK","In Stock")</f>
        <v/>
      </c>
      <c r="K83" s="4" t="n"/>
      <c r="L83" s="3" t="n"/>
      <c r="M83" s="5">
        <f>IFERROR(TODAY()-L83,"")</f>
        <v/>
      </c>
    </row>
    <row r="84" ht="22" customHeight="1">
      <c r="B84" s="8" t="n"/>
      <c r="C84" s="8" t="n"/>
      <c r="D84" s="8" t="n"/>
      <c r="E84" s="10" t="n"/>
      <c r="F84" s="10" t="n"/>
      <c r="G84" s="29">
        <f>IFERROR((E84-F84)/E84,0)</f>
        <v/>
      </c>
      <c r="H84" s="9" t="n"/>
      <c r="I84" s="9" t="n"/>
      <c r="J84" s="8">
        <f>IF(H84&lt;=I84,"LOW STOCK","In Stock")</f>
        <v/>
      </c>
      <c r="K84" s="8" t="n"/>
      <c r="L84" s="7" t="n"/>
      <c r="M84" s="9">
        <f>IFERROR(TODAY()-L84,"")</f>
        <v/>
      </c>
    </row>
    <row r="85" ht="22" customHeight="1">
      <c r="B85" s="4" t="n"/>
      <c r="C85" s="4" t="n"/>
      <c r="D85" s="4" t="n"/>
      <c r="E85" s="6" t="n"/>
      <c r="F85" s="6" t="n"/>
      <c r="G85" s="28">
        <f>IFERROR((E85-F85)/E85,0)</f>
        <v/>
      </c>
      <c r="H85" s="5" t="n"/>
      <c r="I85" s="5" t="n"/>
      <c r="J85" s="4">
        <f>IF(H85&lt;=I85,"LOW STOCK","In Stock")</f>
        <v/>
      </c>
      <c r="K85" s="4" t="n"/>
      <c r="L85" s="3" t="n"/>
      <c r="M85" s="5">
        <f>IFERROR(TODAY()-L85,"")</f>
        <v/>
      </c>
    </row>
    <row r="86" ht="22" customHeight="1">
      <c r="B86" s="8" t="n"/>
      <c r="C86" s="8" t="n"/>
      <c r="D86" s="8" t="n"/>
      <c r="E86" s="10" t="n"/>
      <c r="F86" s="10" t="n"/>
      <c r="G86" s="29">
        <f>IFERROR((E86-F86)/E86,0)</f>
        <v/>
      </c>
      <c r="H86" s="9" t="n"/>
      <c r="I86" s="9" t="n"/>
      <c r="J86" s="8">
        <f>IF(H86&lt;=I86,"LOW STOCK","In Stock")</f>
        <v/>
      </c>
      <c r="K86" s="8" t="n"/>
      <c r="L86" s="7" t="n"/>
      <c r="M86" s="9">
        <f>IFERROR(TODAY()-L86,"")</f>
        <v/>
      </c>
    </row>
    <row r="87" ht="22" customHeight="1">
      <c r="B87" s="4" t="n"/>
      <c r="C87" s="4" t="n"/>
      <c r="D87" s="4" t="n"/>
      <c r="E87" s="6" t="n"/>
      <c r="F87" s="6" t="n"/>
      <c r="G87" s="28">
        <f>IFERROR((E87-F87)/E87,0)</f>
        <v/>
      </c>
      <c r="H87" s="5" t="n"/>
      <c r="I87" s="5" t="n"/>
      <c r="J87" s="4">
        <f>IF(H87&lt;=I87,"LOW STOCK","In Stock")</f>
        <v/>
      </c>
      <c r="K87" s="4" t="n"/>
      <c r="L87" s="3" t="n"/>
      <c r="M87" s="5">
        <f>IFERROR(TODAY()-L87,"")</f>
        <v/>
      </c>
    </row>
    <row r="88" ht="22" customHeight="1">
      <c r="B88" s="8" t="n"/>
      <c r="C88" s="8" t="n"/>
      <c r="D88" s="8" t="n"/>
      <c r="E88" s="10" t="n"/>
      <c r="F88" s="10" t="n"/>
      <c r="G88" s="29">
        <f>IFERROR((E88-F88)/E88,0)</f>
        <v/>
      </c>
      <c r="H88" s="9" t="n"/>
      <c r="I88" s="9" t="n"/>
      <c r="J88" s="8">
        <f>IF(H88&lt;=I88,"LOW STOCK","In Stock")</f>
        <v/>
      </c>
      <c r="K88" s="8" t="n"/>
      <c r="L88" s="7" t="n"/>
      <c r="M88" s="9">
        <f>IFERROR(TODAY()-L88,"")</f>
        <v/>
      </c>
    </row>
    <row r="89" ht="22" customHeight="1">
      <c r="B89" s="4" t="n"/>
      <c r="C89" s="4" t="n"/>
      <c r="D89" s="4" t="n"/>
      <c r="E89" s="6" t="n"/>
      <c r="F89" s="6" t="n"/>
      <c r="G89" s="28">
        <f>IFERROR((E89-F89)/E89,0)</f>
        <v/>
      </c>
      <c r="H89" s="5" t="n"/>
      <c r="I89" s="5" t="n"/>
      <c r="J89" s="4">
        <f>IF(H89&lt;=I89,"LOW STOCK","In Stock")</f>
        <v/>
      </c>
      <c r="K89" s="4" t="n"/>
      <c r="L89" s="3" t="n"/>
      <c r="M89" s="5">
        <f>IFERROR(TODAY()-L89,"")</f>
        <v/>
      </c>
    </row>
    <row r="90" ht="22" customHeight="1">
      <c r="B90" s="8" t="n"/>
      <c r="C90" s="8" t="n"/>
      <c r="D90" s="8" t="n"/>
      <c r="E90" s="10" t="n"/>
      <c r="F90" s="10" t="n"/>
      <c r="G90" s="29">
        <f>IFERROR((E90-F90)/E90,0)</f>
        <v/>
      </c>
      <c r="H90" s="9" t="n"/>
      <c r="I90" s="9" t="n"/>
      <c r="J90" s="8">
        <f>IF(H90&lt;=I90,"LOW STOCK","In Stock")</f>
        <v/>
      </c>
      <c r="K90" s="8" t="n"/>
      <c r="L90" s="7" t="n"/>
      <c r="M90" s="9">
        <f>IFERROR(TODAY()-L90,"")</f>
        <v/>
      </c>
    </row>
    <row r="91" ht="22" customHeight="1">
      <c r="B91" s="4" t="n"/>
      <c r="C91" s="4" t="n"/>
      <c r="D91" s="4" t="n"/>
      <c r="E91" s="6" t="n"/>
      <c r="F91" s="6" t="n"/>
      <c r="G91" s="28">
        <f>IFERROR((E91-F91)/E91,0)</f>
        <v/>
      </c>
      <c r="H91" s="5" t="n"/>
      <c r="I91" s="5" t="n"/>
      <c r="J91" s="4">
        <f>IF(H91&lt;=I91,"LOW STOCK","In Stock")</f>
        <v/>
      </c>
      <c r="K91" s="4" t="n"/>
      <c r="L91" s="3" t="n"/>
      <c r="M91" s="5">
        <f>IFERROR(TODAY()-L91,"")</f>
        <v/>
      </c>
    </row>
    <row r="92" ht="22" customHeight="1">
      <c r="B92" s="8" t="n"/>
      <c r="C92" s="8" t="n"/>
      <c r="D92" s="8" t="n"/>
      <c r="E92" s="10" t="n"/>
      <c r="F92" s="10" t="n"/>
      <c r="G92" s="29">
        <f>IFERROR((E92-F92)/E92,0)</f>
        <v/>
      </c>
      <c r="H92" s="9" t="n"/>
      <c r="I92" s="9" t="n"/>
      <c r="J92" s="8">
        <f>IF(H92&lt;=I92,"LOW STOCK","In Stock")</f>
        <v/>
      </c>
      <c r="K92" s="8" t="n"/>
      <c r="L92" s="7" t="n"/>
      <c r="M92" s="9">
        <f>IFERROR(TODAY()-L92,"")</f>
        <v/>
      </c>
    </row>
    <row r="93" ht="22" customHeight="1">
      <c r="B93" s="4" t="n"/>
      <c r="C93" s="4" t="n"/>
      <c r="D93" s="4" t="n"/>
      <c r="E93" s="6" t="n"/>
      <c r="F93" s="6" t="n"/>
      <c r="G93" s="28">
        <f>IFERROR((E93-F93)/E93,0)</f>
        <v/>
      </c>
      <c r="H93" s="5" t="n"/>
      <c r="I93" s="5" t="n"/>
      <c r="J93" s="4">
        <f>IF(H93&lt;=I93,"LOW STOCK","In Stock")</f>
        <v/>
      </c>
      <c r="K93" s="4" t="n"/>
      <c r="L93" s="3" t="n"/>
      <c r="M93" s="5">
        <f>IFERROR(TODAY()-L93,"")</f>
        <v/>
      </c>
    </row>
    <row r="94" ht="22" customHeight="1">
      <c r="B94" s="8" t="n"/>
      <c r="C94" s="8" t="n"/>
      <c r="D94" s="8" t="n"/>
      <c r="E94" s="10" t="n"/>
      <c r="F94" s="10" t="n"/>
      <c r="G94" s="29">
        <f>IFERROR((E94-F94)/E94,0)</f>
        <v/>
      </c>
      <c r="H94" s="9" t="n"/>
      <c r="I94" s="9" t="n"/>
      <c r="J94" s="8">
        <f>IF(H94&lt;=I94,"LOW STOCK","In Stock")</f>
        <v/>
      </c>
      <c r="K94" s="8" t="n"/>
      <c r="L94" s="7" t="n"/>
      <c r="M94" s="9">
        <f>IFERROR(TODAY()-L94,"")</f>
        <v/>
      </c>
    </row>
    <row r="95" ht="22" customHeight="1">
      <c r="B95" s="4" t="n"/>
      <c r="C95" s="4" t="n"/>
      <c r="D95" s="4" t="n"/>
      <c r="E95" s="6" t="n"/>
      <c r="F95" s="6" t="n"/>
      <c r="G95" s="28">
        <f>IFERROR((E95-F95)/E95,0)</f>
        <v/>
      </c>
      <c r="H95" s="5" t="n"/>
      <c r="I95" s="5" t="n"/>
      <c r="J95" s="4">
        <f>IF(H95&lt;=I95,"LOW STOCK","In Stock")</f>
        <v/>
      </c>
      <c r="K95" s="4" t="n"/>
      <c r="L95" s="3" t="n"/>
      <c r="M95" s="5">
        <f>IFERROR(TODAY()-L95,"")</f>
        <v/>
      </c>
    </row>
    <row r="96" ht="22" customHeight="1">
      <c r="B96" s="8" t="n"/>
      <c r="C96" s="8" t="n"/>
      <c r="D96" s="8" t="n"/>
      <c r="E96" s="10" t="n"/>
      <c r="F96" s="10" t="n"/>
      <c r="G96" s="29">
        <f>IFERROR((E96-F96)/E96,0)</f>
        <v/>
      </c>
      <c r="H96" s="9" t="n"/>
      <c r="I96" s="9" t="n"/>
      <c r="J96" s="8">
        <f>IF(H96&lt;=I96,"LOW STOCK","In Stock")</f>
        <v/>
      </c>
      <c r="K96" s="8" t="n"/>
      <c r="L96" s="7" t="n"/>
      <c r="M96" s="9">
        <f>IFERROR(TODAY()-L96,"")</f>
        <v/>
      </c>
    </row>
    <row r="97" ht="22" customHeight="1">
      <c r="B97" s="4" t="n"/>
      <c r="C97" s="4" t="n"/>
      <c r="D97" s="4" t="n"/>
      <c r="E97" s="6" t="n"/>
      <c r="F97" s="6" t="n"/>
      <c r="G97" s="28">
        <f>IFERROR((E97-F97)/E97,0)</f>
        <v/>
      </c>
      <c r="H97" s="5" t="n"/>
      <c r="I97" s="5" t="n"/>
      <c r="J97" s="4">
        <f>IF(H97&lt;=I97,"LOW STOCK","In Stock")</f>
        <v/>
      </c>
      <c r="K97" s="4" t="n"/>
      <c r="L97" s="3" t="n"/>
      <c r="M97" s="5">
        <f>IFERROR(TODAY()-L97,"")</f>
        <v/>
      </c>
    </row>
    <row r="98" ht="22" customHeight="1">
      <c r="B98" s="8" t="n"/>
      <c r="C98" s="8" t="n"/>
      <c r="D98" s="8" t="n"/>
      <c r="E98" s="10" t="n"/>
      <c r="F98" s="10" t="n"/>
      <c r="G98" s="29">
        <f>IFERROR((E98-F98)/E98,0)</f>
        <v/>
      </c>
      <c r="H98" s="9" t="n"/>
      <c r="I98" s="9" t="n"/>
      <c r="J98" s="8">
        <f>IF(H98&lt;=I98,"LOW STOCK","In Stock")</f>
        <v/>
      </c>
      <c r="K98" s="8" t="n"/>
      <c r="L98" s="7" t="n"/>
      <c r="M98" s="9">
        <f>IFERROR(TODAY()-L98,"")</f>
        <v/>
      </c>
    </row>
    <row r="99" ht="22" customHeight="1">
      <c r="B99" s="4" t="n"/>
      <c r="C99" s="4" t="n"/>
      <c r="D99" s="4" t="n"/>
      <c r="E99" s="6" t="n"/>
      <c r="F99" s="6" t="n"/>
      <c r="G99" s="28">
        <f>IFERROR((E99-F99)/E99,0)</f>
        <v/>
      </c>
      <c r="H99" s="5" t="n"/>
      <c r="I99" s="5" t="n"/>
      <c r="J99" s="4">
        <f>IF(H99&lt;=I99,"LOW STOCK","In Stock")</f>
        <v/>
      </c>
      <c r="K99" s="4" t="n"/>
      <c r="L99" s="3" t="n"/>
      <c r="M99" s="5">
        <f>IFERROR(TODAY()-L99,"")</f>
        <v/>
      </c>
    </row>
    <row r="100" ht="22" customHeight="1">
      <c r="B100" s="8" t="n"/>
      <c r="C100" s="8" t="n"/>
      <c r="D100" s="8" t="n"/>
      <c r="E100" s="10" t="n"/>
      <c r="F100" s="10" t="n"/>
      <c r="G100" s="29">
        <f>IFERROR((E100-F100)/E100,0)</f>
        <v/>
      </c>
      <c r="H100" s="9" t="n"/>
      <c r="I100" s="9" t="n"/>
      <c r="J100" s="8">
        <f>IF(H100&lt;=I100,"LOW STOCK","In Stock")</f>
        <v/>
      </c>
      <c r="K100" s="8" t="n"/>
      <c r="L100" s="7" t="n"/>
      <c r="M100" s="9">
        <f>IFERROR(TODAY()-L100,"")</f>
        <v/>
      </c>
    </row>
    <row r="101" ht="22" customHeight="1">
      <c r="B101" s="4" t="n"/>
      <c r="C101" s="4" t="n"/>
      <c r="D101" s="4" t="n"/>
      <c r="E101" s="6" t="n"/>
      <c r="F101" s="6" t="n"/>
      <c r="G101" s="28">
        <f>IFERROR((E101-F101)/E101,0)</f>
        <v/>
      </c>
      <c r="H101" s="5" t="n"/>
      <c r="I101" s="5" t="n"/>
      <c r="J101" s="4">
        <f>IF(H101&lt;=I101,"LOW STOCK","In Stock")</f>
        <v/>
      </c>
      <c r="K101" s="4" t="n"/>
      <c r="L101" s="3" t="n"/>
      <c r="M101" s="5">
        <f>IFERROR(TODAY()-L101,"")</f>
        <v/>
      </c>
    </row>
    <row r="102" ht="22" customHeight="1">
      <c r="B102" s="8" t="n"/>
      <c r="C102" s="8" t="n"/>
      <c r="D102" s="8" t="n"/>
      <c r="E102" s="10" t="n"/>
      <c r="F102" s="10" t="n"/>
      <c r="G102" s="29">
        <f>IFERROR((E102-F102)/E102,0)</f>
        <v/>
      </c>
      <c r="H102" s="9" t="n"/>
      <c r="I102" s="9" t="n"/>
      <c r="J102" s="8">
        <f>IF(H102&lt;=I102,"LOW STOCK","In Stock")</f>
        <v/>
      </c>
      <c r="K102" s="8" t="n"/>
      <c r="L102" s="7" t="n"/>
      <c r="M102" s="9">
        <f>IFERROR(TODAY()-L102,"")</f>
        <v/>
      </c>
    </row>
    <row r="103" ht="22" customHeight="1">
      <c r="B103" s="4" t="n"/>
      <c r="C103" s="4" t="n"/>
      <c r="D103" s="4" t="n"/>
      <c r="E103" s="6" t="n"/>
      <c r="F103" s="6" t="n"/>
      <c r="G103" s="28">
        <f>IFERROR((E103-F103)/E103,0)</f>
        <v/>
      </c>
      <c r="H103" s="5" t="n"/>
      <c r="I103" s="5" t="n"/>
      <c r="J103" s="4">
        <f>IF(H103&lt;=I103,"LOW STOCK","In Stock")</f>
        <v/>
      </c>
      <c r="K103" s="4" t="n"/>
      <c r="L103" s="3" t="n"/>
      <c r="M103" s="5">
        <f>IFERROR(TODAY()-L103,"")</f>
        <v/>
      </c>
    </row>
    <row r="104" ht="22" customHeight="1">
      <c r="B104" s="8" t="n"/>
      <c r="C104" s="8" t="n"/>
      <c r="D104" s="8" t="n"/>
      <c r="E104" s="10" t="n"/>
      <c r="F104" s="10" t="n"/>
      <c r="G104" s="29">
        <f>IFERROR((E104-F104)/E104,0)</f>
        <v/>
      </c>
      <c r="H104" s="9" t="n"/>
      <c r="I104" s="9" t="n"/>
      <c r="J104" s="8">
        <f>IF(H104&lt;=I104,"LOW STOCK","In Stock")</f>
        <v/>
      </c>
      <c r="K104" s="8" t="n"/>
      <c r="L104" s="7" t="n"/>
      <c r="M104" s="9">
        <f>IFERROR(TODAY()-L104,"")</f>
        <v/>
      </c>
    </row>
    <row r="105" ht="22" customHeight="1">
      <c r="B105" s="4" t="n"/>
      <c r="C105" s="4" t="n"/>
      <c r="D105" s="4" t="n"/>
      <c r="E105" s="6" t="n"/>
      <c r="F105" s="6" t="n"/>
      <c r="G105" s="28">
        <f>IFERROR((E105-F105)/E105,0)</f>
        <v/>
      </c>
      <c r="H105" s="5" t="n"/>
      <c r="I105" s="5" t="n"/>
      <c r="J105" s="4">
        <f>IF(H105&lt;=I105,"LOW STOCK","In Stock")</f>
        <v/>
      </c>
      <c r="K105" s="4" t="n"/>
      <c r="L105" s="3" t="n"/>
      <c r="M105" s="5">
        <f>IFERROR(TODAY()-L105,"")</f>
        <v/>
      </c>
    </row>
    <row r="106" ht="22" customHeight="1">
      <c r="B106" s="8" t="n"/>
      <c r="C106" s="8" t="n"/>
      <c r="D106" s="8" t="n"/>
      <c r="E106" s="10" t="n"/>
      <c r="F106" s="10" t="n"/>
      <c r="G106" s="29">
        <f>IFERROR((E106-F106)/E106,0)</f>
        <v/>
      </c>
      <c r="H106" s="9" t="n"/>
      <c r="I106" s="9" t="n"/>
      <c r="J106" s="8">
        <f>IF(H106&lt;=I106,"LOW STOCK","In Stock")</f>
        <v/>
      </c>
      <c r="K106" s="8" t="n"/>
      <c r="L106" s="7" t="n"/>
      <c r="M106" s="9">
        <f>IFERROR(TODAY()-L106,"")</f>
        <v/>
      </c>
    </row>
    <row r="107" ht="22" customHeight="1">
      <c r="B107" s="4" t="n"/>
      <c r="C107" s="4" t="n"/>
      <c r="D107" s="4" t="n"/>
      <c r="E107" s="6" t="n"/>
      <c r="F107" s="6" t="n"/>
      <c r="G107" s="28">
        <f>IFERROR((E107-F107)/E107,0)</f>
        <v/>
      </c>
      <c r="H107" s="5" t="n"/>
      <c r="I107" s="5" t="n"/>
      <c r="J107" s="4">
        <f>IF(H107&lt;=I107,"LOW STOCK","In Stock")</f>
        <v/>
      </c>
      <c r="K107" s="4" t="n"/>
      <c r="L107" s="3" t="n"/>
      <c r="M107" s="5">
        <f>IFERROR(TODAY()-L107,"")</f>
        <v/>
      </c>
    </row>
    <row r="108" ht="22" customHeight="1">
      <c r="B108" s="8" t="n"/>
      <c r="C108" s="8" t="n"/>
      <c r="D108" s="8" t="n"/>
      <c r="E108" s="10" t="n"/>
      <c r="F108" s="10" t="n"/>
      <c r="G108" s="29">
        <f>IFERROR((E108-F108)/E108,0)</f>
        <v/>
      </c>
      <c r="H108" s="9" t="n"/>
      <c r="I108" s="9" t="n"/>
      <c r="J108" s="8">
        <f>IF(H108&lt;=I108,"LOW STOCK","In Stock")</f>
        <v/>
      </c>
      <c r="K108" s="8" t="n"/>
      <c r="L108" s="7" t="n"/>
      <c r="M108" s="9">
        <f>IFERROR(TODAY()-L108,"")</f>
        <v/>
      </c>
    </row>
    <row r="109" ht="22" customHeight="1">
      <c r="B109" s="4" t="n"/>
      <c r="C109" s="4" t="n"/>
      <c r="D109" s="4" t="n"/>
      <c r="E109" s="6" t="n"/>
      <c r="F109" s="6" t="n"/>
      <c r="G109" s="28">
        <f>IFERROR((E109-F109)/E109,0)</f>
        <v/>
      </c>
      <c r="H109" s="5" t="n"/>
      <c r="I109" s="5" t="n"/>
      <c r="J109" s="4">
        <f>IF(H109&lt;=I109,"LOW STOCK","In Stock")</f>
        <v/>
      </c>
      <c r="K109" s="4" t="n"/>
      <c r="L109" s="3" t="n"/>
      <c r="M109" s="5">
        <f>IFERROR(TODAY()-L109,"")</f>
        <v/>
      </c>
    </row>
    <row r="110" ht="22" customHeight="1">
      <c r="B110" s="8" t="n"/>
      <c r="C110" s="8" t="n"/>
      <c r="D110" s="8" t="n"/>
      <c r="E110" s="10" t="n"/>
      <c r="F110" s="10" t="n"/>
      <c r="G110" s="29">
        <f>IFERROR((E110-F110)/E110,0)</f>
        <v/>
      </c>
      <c r="H110" s="9" t="n"/>
      <c r="I110" s="9" t="n"/>
      <c r="J110" s="8">
        <f>IF(H110&lt;=I110,"LOW STOCK","In Stock")</f>
        <v/>
      </c>
      <c r="K110" s="8" t="n"/>
      <c r="L110" s="7" t="n"/>
      <c r="M110" s="9">
        <f>IFERROR(TODAY()-L110,"")</f>
        <v/>
      </c>
    </row>
    <row r="111" ht="22" customHeight="1">
      <c r="B111" s="4" t="n"/>
      <c r="C111" s="4" t="n"/>
      <c r="D111" s="4" t="n"/>
      <c r="E111" s="6" t="n"/>
      <c r="F111" s="6" t="n"/>
      <c r="G111" s="28">
        <f>IFERROR((E111-F111)/E111,0)</f>
        <v/>
      </c>
      <c r="H111" s="5" t="n"/>
      <c r="I111" s="5" t="n"/>
      <c r="J111" s="4">
        <f>IF(H111&lt;=I111,"LOW STOCK","In Stock")</f>
        <v/>
      </c>
      <c r="K111" s="4" t="n"/>
      <c r="L111" s="3" t="n"/>
      <c r="M111" s="5">
        <f>IFERROR(TODAY()-L111,"")</f>
        <v/>
      </c>
    </row>
    <row r="112" ht="22" customHeight="1">
      <c r="B112" s="8" t="n"/>
      <c r="C112" s="8" t="n"/>
      <c r="D112" s="8" t="n"/>
      <c r="E112" s="10" t="n"/>
      <c r="F112" s="10" t="n"/>
      <c r="G112" s="29">
        <f>IFERROR((E112-F112)/E112,0)</f>
        <v/>
      </c>
      <c r="H112" s="9" t="n"/>
      <c r="I112" s="9" t="n"/>
      <c r="J112" s="8">
        <f>IF(H112&lt;=I112,"LOW STOCK","In Stock")</f>
        <v/>
      </c>
      <c r="K112" s="8" t="n"/>
      <c r="L112" s="7" t="n"/>
      <c r="M112" s="9">
        <f>IFERROR(TODAY()-L112,"")</f>
        <v/>
      </c>
    </row>
    <row r="113" ht="22" customHeight="1">
      <c r="B113" s="4" t="n"/>
      <c r="C113" s="4" t="n"/>
      <c r="D113" s="4" t="n"/>
      <c r="E113" s="6" t="n"/>
      <c r="F113" s="6" t="n"/>
      <c r="G113" s="28">
        <f>IFERROR((E113-F113)/E113,0)</f>
        <v/>
      </c>
      <c r="H113" s="5" t="n"/>
      <c r="I113" s="5" t="n"/>
      <c r="J113" s="4">
        <f>IF(H113&lt;=I113,"LOW STOCK","In Stock")</f>
        <v/>
      </c>
      <c r="K113" s="4" t="n"/>
      <c r="L113" s="3" t="n"/>
      <c r="M113" s="5">
        <f>IFERROR(TODAY()-L113,"")</f>
        <v/>
      </c>
    </row>
    <row r="114" ht="22" customHeight="1">
      <c r="B114" s="8" t="n"/>
      <c r="C114" s="8" t="n"/>
      <c r="D114" s="8" t="n"/>
      <c r="E114" s="10" t="n"/>
      <c r="F114" s="10" t="n"/>
      <c r="G114" s="29">
        <f>IFERROR((E114-F114)/E114,0)</f>
        <v/>
      </c>
      <c r="H114" s="9" t="n"/>
      <c r="I114" s="9" t="n"/>
      <c r="J114" s="8">
        <f>IF(H114&lt;=I114,"LOW STOCK","In Stock")</f>
        <v/>
      </c>
      <c r="K114" s="8" t="n"/>
      <c r="L114" s="7" t="n"/>
      <c r="M114" s="9">
        <f>IFERROR(TODAY()-L114,"")</f>
        <v/>
      </c>
    </row>
    <row r="115" ht="22" customHeight="1">
      <c r="B115" s="4" t="n"/>
      <c r="C115" s="4" t="n"/>
      <c r="D115" s="4" t="n"/>
      <c r="E115" s="6" t="n"/>
      <c r="F115" s="6" t="n"/>
      <c r="G115" s="28">
        <f>IFERROR((E115-F115)/E115,0)</f>
        <v/>
      </c>
      <c r="H115" s="5" t="n"/>
      <c r="I115" s="5" t="n"/>
      <c r="J115" s="4">
        <f>IF(H115&lt;=I115,"LOW STOCK","In Stock")</f>
        <v/>
      </c>
      <c r="K115" s="4" t="n"/>
      <c r="L115" s="3" t="n"/>
      <c r="M115" s="5">
        <f>IFERROR(TODAY()-L115,"")</f>
        <v/>
      </c>
    </row>
    <row r="116" ht="22" customHeight="1">
      <c r="B116" s="8" t="n"/>
      <c r="C116" s="8" t="n"/>
      <c r="D116" s="8" t="n"/>
      <c r="E116" s="10" t="n"/>
      <c r="F116" s="10" t="n"/>
      <c r="G116" s="29">
        <f>IFERROR((E116-F116)/E116,0)</f>
        <v/>
      </c>
      <c r="H116" s="9" t="n"/>
      <c r="I116" s="9" t="n"/>
      <c r="J116" s="8">
        <f>IF(H116&lt;=I116,"LOW STOCK","In Stock")</f>
        <v/>
      </c>
      <c r="K116" s="8" t="n"/>
      <c r="L116" s="7" t="n"/>
      <c r="M116" s="9">
        <f>IFERROR(TODAY()-L116,"")</f>
        <v/>
      </c>
    </row>
    <row r="117" ht="22" customHeight="1">
      <c r="B117" s="4" t="n"/>
      <c r="C117" s="4" t="n"/>
      <c r="D117" s="4" t="n"/>
      <c r="E117" s="6" t="n"/>
      <c r="F117" s="6" t="n"/>
      <c r="G117" s="28">
        <f>IFERROR((E117-F117)/E117,0)</f>
        <v/>
      </c>
      <c r="H117" s="5" t="n"/>
      <c r="I117" s="5" t="n"/>
      <c r="J117" s="4">
        <f>IF(H117&lt;=I117,"LOW STOCK","In Stock")</f>
        <v/>
      </c>
      <c r="K117" s="4" t="n"/>
      <c r="L117" s="3" t="n"/>
      <c r="M117" s="5">
        <f>IFERROR(TODAY()-L117,"")</f>
        <v/>
      </c>
    </row>
    <row r="118" ht="22" customHeight="1">
      <c r="B118" s="8" t="n"/>
      <c r="C118" s="8" t="n"/>
      <c r="D118" s="8" t="n"/>
      <c r="E118" s="10" t="n"/>
      <c r="F118" s="10" t="n"/>
      <c r="G118" s="29">
        <f>IFERROR((E118-F118)/E118,0)</f>
        <v/>
      </c>
      <c r="H118" s="9" t="n"/>
      <c r="I118" s="9" t="n"/>
      <c r="J118" s="8">
        <f>IF(H118&lt;=I118,"LOW STOCK","In Stock")</f>
        <v/>
      </c>
      <c r="K118" s="8" t="n"/>
      <c r="L118" s="7" t="n"/>
      <c r="M118" s="9">
        <f>IFERROR(TODAY()-L118,"")</f>
        <v/>
      </c>
    </row>
    <row r="119" ht="22" customHeight="1">
      <c r="B119" s="4" t="n"/>
      <c r="C119" s="4" t="n"/>
      <c r="D119" s="4" t="n"/>
      <c r="E119" s="6" t="n"/>
      <c r="F119" s="6" t="n"/>
      <c r="G119" s="28">
        <f>IFERROR((E119-F119)/E119,0)</f>
        <v/>
      </c>
      <c r="H119" s="5" t="n"/>
      <c r="I119" s="5" t="n"/>
      <c r="J119" s="4">
        <f>IF(H119&lt;=I119,"LOW STOCK","In Stock")</f>
        <v/>
      </c>
      <c r="K119" s="4" t="n"/>
      <c r="L119" s="3" t="n"/>
      <c r="M119" s="5">
        <f>IFERROR(TODAY()-L119,"")</f>
        <v/>
      </c>
    </row>
    <row r="120" ht="22" customHeight="1">
      <c r="B120" s="8" t="n"/>
      <c r="C120" s="8" t="n"/>
      <c r="D120" s="8" t="n"/>
      <c r="E120" s="10" t="n"/>
      <c r="F120" s="10" t="n"/>
      <c r="G120" s="29">
        <f>IFERROR((E120-F120)/E120,0)</f>
        <v/>
      </c>
      <c r="H120" s="9" t="n"/>
      <c r="I120" s="9" t="n"/>
      <c r="J120" s="8">
        <f>IF(H120&lt;=I120,"LOW STOCK","In Stock")</f>
        <v/>
      </c>
      <c r="K120" s="8" t="n"/>
      <c r="L120" s="7" t="n"/>
      <c r="M120" s="9">
        <f>IFERROR(TODAY()-L120,"")</f>
        <v/>
      </c>
    </row>
    <row r="121" ht="22" customHeight="1">
      <c r="B121" s="4" t="n"/>
      <c r="C121" s="4" t="n"/>
      <c r="D121" s="4" t="n"/>
      <c r="E121" s="6" t="n"/>
      <c r="F121" s="6" t="n"/>
      <c r="G121" s="28">
        <f>IFERROR((E121-F121)/E121,0)</f>
        <v/>
      </c>
      <c r="H121" s="5" t="n"/>
      <c r="I121" s="5" t="n"/>
      <c r="J121" s="4">
        <f>IF(H121&lt;=I121,"LOW STOCK","In Stock")</f>
        <v/>
      </c>
      <c r="K121" s="4" t="n"/>
      <c r="L121" s="3" t="n"/>
      <c r="M121" s="5">
        <f>IFERROR(TODAY()-L121,"")</f>
        <v/>
      </c>
    </row>
    <row r="122" ht="22" customHeight="1">
      <c r="B122" s="8" t="n"/>
      <c r="C122" s="8" t="n"/>
      <c r="D122" s="8" t="n"/>
      <c r="E122" s="10" t="n"/>
      <c r="F122" s="10" t="n"/>
      <c r="G122" s="29">
        <f>IFERROR((E122-F122)/E122,0)</f>
        <v/>
      </c>
      <c r="H122" s="9" t="n"/>
      <c r="I122" s="9" t="n"/>
      <c r="J122" s="8">
        <f>IF(H122&lt;=I122,"LOW STOCK","In Stock")</f>
        <v/>
      </c>
      <c r="K122" s="8" t="n"/>
      <c r="L122" s="7" t="n"/>
      <c r="M122" s="9">
        <f>IFERROR(TODAY()-L122,"")</f>
        <v/>
      </c>
    </row>
    <row r="123" ht="22" customHeight="1">
      <c r="B123" s="4" t="n"/>
      <c r="C123" s="4" t="n"/>
      <c r="D123" s="4" t="n"/>
      <c r="E123" s="6" t="n"/>
      <c r="F123" s="6" t="n"/>
      <c r="G123" s="28">
        <f>IFERROR((E123-F123)/E123,0)</f>
        <v/>
      </c>
      <c r="H123" s="5" t="n"/>
      <c r="I123" s="5" t="n"/>
      <c r="J123" s="4">
        <f>IF(H123&lt;=I123,"LOW STOCK","In Stock")</f>
        <v/>
      </c>
      <c r="K123" s="4" t="n"/>
      <c r="L123" s="3" t="n"/>
      <c r="M123" s="5">
        <f>IFERROR(TODAY()-L123,"")</f>
        <v/>
      </c>
    </row>
    <row r="124" ht="22" customHeight="1">
      <c r="B124" s="8" t="n"/>
      <c r="C124" s="8" t="n"/>
      <c r="D124" s="8" t="n"/>
      <c r="E124" s="10" t="n"/>
      <c r="F124" s="10" t="n"/>
      <c r="G124" s="29">
        <f>IFERROR((E124-F124)/E124,0)</f>
        <v/>
      </c>
      <c r="H124" s="9" t="n"/>
      <c r="I124" s="9" t="n"/>
      <c r="J124" s="8">
        <f>IF(H124&lt;=I124,"LOW STOCK","In Stock")</f>
        <v/>
      </c>
      <c r="K124" s="8" t="n"/>
      <c r="L124" s="7" t="n"/>
      <c r="M124" s="9">
        <f>IFERROR(TODAY()-L124,"")</f>
        <v/>
      </c>
    </row>
    <row r="125" ht="22" customHeight="1">
      <c r="B125" s="4" t="n"/>
      <c r="C125" s="4" t="n"/>
      <c r="D125" s="4" t="n"/>
      <c r="E125" s="6" t="n"/>
      <c r="F125" s="6" t="n"/>
      <c r="G125" s="28">
        <f>IFERROR((E125-F125)/E125,0)</f>
        <v/>
      </c>
      <c r="H125" s="5" t="n"/>
      <c r="I125" s="5" t="n"/>
      <c r="J125" s="4">
        <f>IF(H125&lt;=I125,"LOW STOCK","In Stock")</f>
        <v/>
      </c>
      <c r="K125" s="4" t="n"/>
      <c r="L125" s="3" t="n"/>
      <c r="M125" s="5">
        <f>IFERROR(TODAY()-L125,"")</f>
        <v/>
      </c>
    </row>
    <row r="126" ht="22" customHeight="1">
      <c r="B126" s="8" t="n"/>
      <c r="C126" s="8" t="n"/>
      <c r="D126" s="8" t="n"/>
      <c r="E126" s="10" t="n"/>
      <c r="F126" s="10" t="n"/>
      <c r="G126" s="29">
        <f>IFERROR((E126-F126)/E126,0)</f>
        <v/>
      </c>
      <c r="H126" s="9" t="n"/>
      <c r="I126" s="9" t="n"/>
      <c r="J126" s="8">
        <f>IF(H126&lt;=I126,"LOW STOCK","In Stock")</f>
        <v/>
      </c>
      <c r="K126" s="8" t="n"/>
      <c r="L126" s="7" t="n"/>
      <c r="M126" s="9">
        <f>IFERROR(TODAY()-L126,"")</f>
        <v/>
      </c>
    </row>
    <row r="127" ht="22" customHeight="1">
      <c r="B127" s="4" t="n"/>
      <c r="C127" s="4" t="n"/>
      <c r="D127" s="4" t="n"/>
      <c r="E127" s="6" t="n"/>
      <c r="F127" s="6" t="n"/>
      <c r="G127" s="28">
        <f>IFERROR((E127-F127)/E127,0)</f>
        <v/>
      </c>
      <c r="H127" s="5" t="n"/>
      <c r="I127" s="5" t="n"/>
      <c r="J127" s="4">
        <f>IF(H127&lt;=I127,"LOW STOCK","In Stock")</f>
        <v/>
      </c>
      <c r="K127" s="4" t="n"/>
      <c r="L127" s="3" t="n"/>
      <c r="M127" s="5">
        <f>IFERROR(TODAY()-L127,"")</f>
        <v/>
      </c>
    </row>
    <row r="128" ht="22" customHeight="1">
      <c r="B128" s="8" t="n"/>
      <c r="C128" s="8" t="n"/>
      <c r="D128" s="8" t="n"/>
      <c r="E128" s="10" t="n"/>
      <c r="F128" s="10" t="n"/>
      <c r="G128" s="29">
        <f>IFERROR((E128-F128)/E128,0)</f>
        <v/>
      </c>
      <c r="H128" s="9" t="n"/>
      <c r="I128" s="9" t="n"/>
      <c r="J128" s="8">
        <f>IF(H128&lt;=I128,"LOW STOCK","In Stock")</f>
        <v/>
      </c>
      <c r="K128" s="8" t="n"/>
      <c r="L128" s="7" t="n"/>
      <c r="M128" s="9">
        <f>IFERROR(TODAY()-L128,"")</f>
        <v/>
      </c>
    </row>
    <row r="129" ht="22" customHeight="1">
      <c r="B129" s="4" t="n"/>
      <c r="C129" s="4" t="n"/>
      <c r="D129" s="4" t="n"/>
      <c r="E129" s="6" t="n"/>
      <c r="F129" s="6" t="n"/>
      <c r="G129" s="28">
        <f>IFERROR((E129-F129)/E129,0)</f>
        <v/>
      </c>
      <c r="H129" s="5" t="n"/>
      <c r="I129" s="5" t="n"/>
      <c r="J129" s="4">
        <f>IF(H129&lt;=I129,"LOW STOCK","In Stock")</f>
        <v/>
      </c>
      <c r="K129" s="4" t="n"/>
      <c r="L129" s="3" t="n"/>
      <c r="M129" s="5">
        <f>IFERROR(TODAY()-L129,"")</f>
        <v/>
      </c>
    </row>
    <row r="130" ht="22" customHeight="1">
      <c r="B130" s="8" t="n"/>
      <c r="C130" s="8" t="n"/>
      <c r="D130" s="8" t="n"/>
      <c r="E130" s="10" t="n"/>
      <c r="F130" s="10" t="n"/>
      <c r="G130" s="29">
        <f>IFERROR((E130-F130)/E130,0)</f>
        <v/>
      </c>
      <c r="H130" s="9" t="n"/>
      <c r="I130" s="9" t="n"/>
      <c r="J130" s="8">
        <f>IF(H130&lt;=I130,"LOW STOCK","In Stock")</f>
        <v/>
      </c>
      <c r="K130" s="8" t="n"/>
      <c r="L130" s="7" t="n"/>
      <c r="M130" s="9">
        <f>IFERROR(TODAY()-L130,"")</f>
        <v/>
      </c>
    </row>
    <row r="131" ht="22" customHeight="1">
      <c r="B131" s="4" t="n"/>
      <c r="C131" s="4" t="n"/>
      <c r="D131" s="4" t="n"/>
      <c r="E131" s="6" t="n"/>
      <c r="F131" s="6" t="n"/>
      <c r="G131" s="28">
        <f>IFERROR((E131-F131)/E131,0)</f>
        <v/>
      </c>
      <c r="H131" s="5" t="n"/>
      <c r="I131" s="5" t="n"/>
      <c r="J131" s="4">
        <f>IF(H131&lt;=I131,"LOW STOCK","In Stock")</f>
        <v/>
      </c>
      <c r="K131" s="4" t="n"/>
      <c r="L131" s="3" t="n"/>
      <c r="M131" s="5">
        <f>IFERROR(TODAY()-L131,"")</f>
        <v/>
      </c>
    </row>
    <row r="132" ht="22" customHeight="1">
      <c r="B132" s="8" t="n"/>
      <c r="C132" s="8" t="n"/>
      <c r="D132" s="8" t="n"/>
      <c r="E132" s="10" t="n"/>
      <c r="F132" s="10" t="n"/>
      <c r="G132" s="29">
        <f>IFERROR((E132-F132)/E132,0)</f>
        <v/>
      </c>
      <c r="H132" s="9" t="n"/>
      <c r="I132" s="9" t="n"/>
      <c r="J132" s="8">
        <f>IF(H132&lt;=I132,"LOW STOCK","In Stock")</f>
        <v/>
      </c>
      <c r="K132" s="8" t="n"/>
      <c r="L132" s="7" t="n"/>
      <c r="M132" s="9">
        <f>IFERROR(TODAY()-L132,"")</f>
        <v/>
      </c>
    </row>
    <row r="133" ht="22" customHeight="1">
      <c r="B133" s="4" t="n"/>
      <c r="C133" s="4" t="n"/>
      <c r="D133" s="4" t="n"/>
      <c r="E133" s="6" t="n"/>
      <c r="F133" s="6" t="n"/>
      <c r="G133" s="28">
        <f>IFERROR((E133-F133)/E133,0)</f>
        <v/>
      </c>
      <c r="H133" s="5" t="n"/>
      <c r="I133" s="5" t="n"/>
      <c r="J133" s="4">
        <f>IF(H133&lt;=I133,"LOW STOCK","In Stock")</f>
        <v/>
      </c>
      <c r="K133" s="4" t="n"/>
      <c r="L133" s="3" t="n"/>
      <c r="M133" s="5">
        <f>IFERROR(TODAY()-L133,"")</f>
        <v/>
      </c>
    </row>
    <row r="134" ht="22" customHeight="1">
      <c r="B134" s="8" t="n"/>
      <c r="C134" s="8" t="n"/>
      <c r="D134" s="8" t="n"/>
      <c r="E134" s="10" t="n"/>
      <c r="F134" s="10" t="n"/>
      <c r="G134" s="29">
        <f>IFERROR((E134-F134)/E134,0)</f>
        <v/>
      </c>
      <c r="H134" s="9" t="n"/>
      <c r="I134" s="9" t="n"/>
      <c r="J134" s="8">
        <f>IF(H134&lt;=I134,"LOW STOCK","In Stock")</f>
        <v/>
      </c>
      <c r="K134" s="8" t="n"/>
      <c r="L134" s="7" t="n"/>
      <c r="M134" s="9">
        <f>IFERROR(TODAY()-L134,"")</f>
        <v/>
      </c>
    </row>
    <row r="135" ht="22" customHeight="1">
      <c r="B135" s="4" t="n"/>
      <c r="C135" s="4" t="n"/>
      <c r="D135" s="4" t="n"/>
      <c r="E135" s="6" t="n"/>
      <c r="F135" s="6" t="n"/>
      <c r="G135" s="28">
        <f>IFERROR((E135-F135)/E135,0)</f>
        <v/>
      </c>
      <c r="H135" s="5" t="n"/>
      <c r="I135" s="5" t="n"/>
      <c r="J135" s="4">
        <f>IF(H135&lt;=I135,"LOW STOCK","In Stock")</f>
        <v/>
      </c>
      <c r="K135" s="4" t="n"/>
      <c r="L135" s="3" t="n"/>
      <c r="M135" s="5">
        <f>IFERROR(TODAY()-L135,"")</f>
        <v/>
      </c>
    </row>
    <row r="136" ht="22" customHeight="1">
      <c r="B136" s="8" t="n"/>
      <c r="C136" s="8" t="n"/>
      <c r="D136" s="8" t="n"/>
      <c r="E136" s="10" t="n"/>
      <c r="F136" s="10" t="n"/>
      <c r="G136" s="29">
        <f>IFERROR((E136-F136)/E136,0)</f>
        <v/>
      </c>
      <c r="H136" s="9" t="n"/>
      <c r="I136" s="9" t="n"/>
      <c r="J136" s="8">
        <f>IF(H136&lt;=I136,"LOW STOCK","In Stock")</f>
        <v/>
      </c>
      <c r="K136" s="8" t="n"/>
      <c r="L136" s="7" t="n"/>
      <c r="M136" s="9">
        <f>IFERROR(TODAY()-L136,"")</f>
        <v/>
      </c>
    </row>
    <row r="137" ht="22" customHeight="1">
      <c r="B137" s="4" t="n"/>
      <c r="C137" s="4" t="n"/>
      <c r="D137" s="4" t="n"/>
      <c r="E137" s="6" t="n"/>
      <c r="F137" s="6" t="n"/>
      <c r="G137" s="28">
        <f>IFERROR((E137-F137)/E137,0)</f>
        <v/>
      </c>
      <c r="H137" s="5" t="n"/>
      <c r="I137" s="5" t="n"/>
      <c r="J137" s="4">
        <f>IF(H137&lt;=I137,"LOW STOCK","In Stock")</f>
        <v/>
      </c>
      <c r="K137" s="4" t="n"/>
      <c r="L137" s="3" t="n"/>
      <c r="M137" s="5">
        <f>IFERROR(TODAY()-L137,"")</f>
        <v/>
      </c>
    </row>
    <row r="138" ht="22" customHeight="1">
      <c r="B138" s="8" t="n"/>
      <c r="C138" s="8" t="n"/>
      <c r="D138" s="8" t="n"/>
      <c r="E138" s="10" t="n"/>
      <c r="F138" s="10" t="n"/>
      <c r="G138" s="29">
        <f>IFERROR((E138-F138)/E138,0)</f>
        <v/>
      </c>
      <c r="H138" s="9" t="n"/>
      <c r="I138" s="9" t="n"/>
      <c r="J138" s="8">
        <f>IF(H138&lt;=I138,"LOW STOCK","In Stock")</f>
        <v/>
      </c>
      <c r="K138" s="8" t="n"/>
      <c r="L138" s="7" t="n"/>
      <c r="M138" s="9">
        <f>IFERROR(TODAY()-L138,"")</f>
        <v/>
      </c>
    </row>
    <row r="139" ht="22" customHeight="1">
      <c r="B139" s="4" t="n"/>
      <c r="C139" s="4" t="n"/>
      <c r="D139" s="4" t="n"/>
      <c r="E139" s="6" t="n"/>
      <c r="F139" s="6" t="n"/>
      <c r="G139" s="28">
        <f>IFERROR((E139-F139)/E139,0)</f>
        <v/>
      </c>
      <c r="H139" s="5" t="n"/>
      <c r="I139" s="5" t="n"/>
      <c r="J139" s="4">
        <f>IF(H139&lt;=I139,"LOW STOCK","In Stock")</f>
        <v/>
      </c>
      <c r="K139" s="4" t="n"/>
      <c r="L139" s="3" t="n"/>
      <c r="M139" s="5">
        <f>IFERROR(TODAY()-L139,"")</f>
        <v/>
      </c>
    </row>
    <row r="140" ht="22" customHeight="1">
      <c r="B140" s="8" t="n"/>
      <c r="C140" s="8" t="n"/>
      <c r="D140" s="8" t="n"/>
      <c r="E140" s="10" t="n"/>
      <c r="F140" s="10" t="n"/>
      <c r="G140" s="29">
        <f>IFERROR((E140-F140)/E140,0)</f>
        <v/>
      </c>
      <c r="H140" s="9" t="n"/>
      <c r="I140" s="9" t="n"/>
      <c r="J140" s="8">
        <f>IF(H140&lt;=I140,"LOW STOCK","In Stock")</f>
        <v/>
      </c>
      <c r="K140" s="8" t="n"/>
      <c r="L140" s="7" t="n"/>
      <c r="M140" s="9">
        <f>IFERROR(TODAY()-L140,"")</f>
        <v/>
      </c>
    </row>
    <row r="141" ht="22" customHeight="1">
      <c r="B141" s="4" t="n"/>
      <c r="C141" s="4" t="n"/>
      <c r="D141" s="4" t="n"/>
      <c r="E141" s="6" t="n"/>
      <c r="F141" s="6" t="n"/>
      <c r="G141" s="28">
        <f>IFERROR((E141-F141)/E141,0)</f>
        <v/>
      </c>
      <c r="H141" s="5" t="n"/>
      <c r="I141" s="5" t="n"/>
      <c r="J141" s="4">
        <f>IF(H141&lt;=I141,"LOW STOCK","In Stock")</f>
        <v/>
      </c>
      <c r="K141" s="4" t="n"/>
      <c r="L141" s="3" t="n"/>
      <c r="M141" s="5">
        <f>IFERROR(TODAY()-L141,"")</f>
        <v/>
      </c>
    </row>
    <row r="142" ht="22" customHeight="1">
      <c r="B142" s="8" t="n"/>
      <c r="C142" s="8" t="n"/>
      <c r="D142" s="8" t="n"/>
      <c r="E142" s="10" t="n"/>
      <c r="F142" s="10" t="n"/>
      <c r="G142" s="29">
        <f>IFERROR((E142-F142)/E142,0)</f>
        <v/>
      </c>
      <c r="H142" s="9" t="n"/>
      <c r="I142" s="9" t="n"/>
      <c r="J142" s="8">
        <f>IF(H142&lt;=I142,"LOW STOCK","In Stock")</f>
        <v/>
      </c>
      <c r="K142" s="8" t="n"/>
      <c r="L142" s="7" t="n"/>
      <c r="M142" s="9">
        <f>IFERROR(TODAY()-L142,"")</f>
        <v/>
      </c>
    </row>
    <row r="143" ht="22" customHeight="1">
      <c r="B143" s="4" t="n"/>
      <c r="C143" s="4" t="n"/>
      <c r="D143" s="4" t="n"/>
      <c r="E143" s="6" t="n"/>
      <c r="F143" s="6" t="n"/>
      <c r="G143" s="28">
        <f>IFERROR((E143-F143)/E143,0)</f>
        <v/>
      </c>
      <c r="H143" s="5" t="n"/>
      <c r="I143" s="5" t="n"/>
      <c r="J143" s="4">
        <f>IF(H143&lt;=I143,"LOW STOCK","In Stock")</f>
        <v/>
      </c>
      <c r="K143" s="4" t="n"/>
      <c r="L143" s="3" t="n"/>
      <c r="M143" s="5">
        <f>IFERROR(TODAY()-L143,"")</f>
        <v/>
      </c>
    </row>
    <row r="144" ht="22" customHeight="1">
      <c r="B144" s="8" t="n"/>
      <c r="C144" s="8" t="n"/>
      <c r="D144" s="8" t="n"/>
      <c r="E144" s="10" t="n"/>
      <c r="F144" s="10" t="n"/>
      <c r="G144" s="29">
        <f>IFERROR((E144-F144)/E144,0)</f>
        <v/>
      </c>
      <c r="H144" s="9" t="n"/>
      <c r="I144" s="9" t="n"/>
      <c r="J144" s="8">
        <f>IF(H144&lt;=I144,"LOW STOCK","In Stock")</f>
        <v/>
      </c>
      <c r="K144" s="8" t="n"/>
      <c r="L144" s="7" t="n"/>
      <c r="M144" s="9">
        <f>IFERROR(TODAY()-L144,"")</f>
        <v/>
      </c>
    </row>
    <row r="145" ht="22" customHeight="1">
      <c r="B145" s="4" t="n"/>
      <c r="C145" s="4" t="n"/>
      <c r="D145" s="4" t="n"/>
      <c r="E145" s="6" t="n"/>
      <c r="F145" s="6" t="n"/>
      <c r="G145" s="28">
        <f>IFERROR((E145-F145)/E145,0)</f>
        <v/>
      </c>
      <c r="H145" s="5" t="n"/>
      <c r="I145" s="5" t="n"/>
      <c r="J145" s="4">
        <f>IF(H145&lt;=I145,"LOW STOCK","In Stock")</f>
        <v/>
      </c>
      <c r="K145" s="4" t="n"/>
      <c r="L145" s="3" t="n"/>
      <c r="M145" s="5">
        <f>IFERROR(TODAY()-L145,"")</f>
        <v/>
      </c>
    </row>
    <row r="146" ht="22" customHeight="1">
      <c r="B146" s="8" t="n"/>
      <c r="C146" s="8" t="n"/>
      <c r="D146" s="8" t="n"/>
      <c r="E146" s="10" t="n"/>
      <c r="F146" s="10" t="n"/>
      <c r="G146" s="29">
        <f>IFERROR((E146-F146)/E146,0)</f>
        <v/>
      </c>
      <c r="H146" s="9" t="n"/>
      <c r="I146" s="9" t="n"/>
      <c r="J146" s="8">
        <f>IF(H146&lt;=I146,"LOW STOCK","In Stock")</f>
        <v/>
      </c>
      <c r="K146" s="8" t="n"/>
      <c r="L146" s="7" t="n"/>
      <c r="M146" s="9">
        <f>IFERROR(TODAY()-L146,"")</f>
        <v/>
      </c>
    </row>
    <row r="147" ht="22" customHeight="1">
      <c r="B147" s="4" t="n"/>
      <c r="C147" s="4" t="n"/>
      <c r="D147" s="4" t="n"/>
      <c r="E147" s="6" t="n"/>
      <c r="F147" s="6" t="n"/>
      <c r="G147" s="28">
        <f>IFERROR((E147-F147)/E147,0)</f>
        <v/>
      </c>
      <c r="H147" s="5" t="n"/>
      <c r="I147" s="5" t="n"/>
      <c r="J147" s="4">
        <f>IF(H147&lt;=I147,"LOW STOCK","In Stock")</f>
        <v/>
      </c>
      <c r="K147" s="4" t="n"/>
      <c r="L147" s="3" t="n"/>
      <c r="M147" s="5">
        <f>IFERROR(TODAY()-L147,"")</f>
        <v/>
      </c>
    </row>
    <row r="148" ht="22" customHeight="1">
      <c r="B148" s="8" t="n"/>
      <c r="C148" s="8" t="n"/>
      <c r="D148" s="8" t="n"/>
      <c r="E148" s="10" t="n"/>
      <c r="F148" s="10" t="n"/>
      <c r="G148" s="29">
        <f>IFERROR((E148-F148)/E148,0)</f>
        <v/>
      </c>
      <c r="H148" s="9" t="n"/>
      <c r="I148" s="9" t="n"/>
      <c r="J148" s="8">
        <f>IF(H148&lt;=I148,"LOW STOCK","In Stock")</f>
        <v/>
      </c>
      <c r="K148" s="8" t="n"/>
      <c r="L148" s="7" t="n"/>
      <c r="M148" s="9">
        <f>IFERROR(TODAY()-L148,"")</f>
        <v/>
      </c>
    </row>
    <row r="149" ht="22" customHeight="1">
      <c r="B149" s="4" t="n"/>
      <c r="C149" s="4" t="n"/>
      <c r="D149" s="4" t="n"/>
      <c r="E149" s="6" t="n"/>
      <c r="F149" s="6" t="n"/>
      <c r="G149" s="28">
        <f>IFERROR((E149-F149)/E149,0)</f>
        <v/>
      </c>
      <c r="H149" s="5" t="n"/>
      <c r="I149" s="5" t="n"/>
      <c r="J149" s="4">
        <f>IF(H149&lt;=I149,"LOW STOCK","In Stock")</f>
        <v/>
      </c>
      <c r="K149" s="4" t="n"/>
      <c r="L149" s="3" t="n"/>
      <c r="M149" s="5">
        <f>IFERROR(TODAY()-L149,"")</f>
        <v/>
      </c>
    </row>
    <row r="150" ht="22" customHeight="1">
      <c r="B150" s="8" t="n"/>
      <c r="C150" s="8" t="n"/>
      <c r="D150" s="8" t="n"/>
      <c r="E150" s="10" t="n"/>
      <c r="F150" s="10" t="n"/>
      <c r="G150" s="29">
        <f>IFERROR((E150-F150)/E150,0)</f>
        <v/>
      </c>
      <c r="H150" s="9" t="n"/>
      <c r="I150" s="9" t="n"/>
      <c r="J150" s="8">
        <f>IF(H150&lt;=I150,"LOW STOCK","In Stock")</f>
        <v/>
      </c>
      <c r="K150" s="8" t="n"/>
      <c r="L150" s="7" t="n"/>
      <c r="M150" s="9">
        <f>IFERROR(TODAY()-L150,"")</f>
        <v/>
      </c>
    </row>
    <row r="151" ht="22" customHeight="1">
      <c r="B151" s="4" t="n"/>
      <c r="C151" s="4" t="n"/>
      <c r="D151" s="4" t="n"/>
      <c r="E151" s="6" t="n"/>
      <c r="F151" s="6" t="n"/>
      <c r="G151" s="28">
        <f>IFERROR((E151-F151)/E151,0)</f>
        <v/>
      </c>
      <c r="H151" s="5" t="n"/>
      <c r="I151" s="5" t="n"/>
      <c r="J151" s="4">
        <f>IF(H151&lt;=I151,"LOW STOCK","In Stock")</f>
        <v/>
      </c>
      <c r="K151" s="4" t="n"/>
      <c r="L151" s="3" t="n"/>
      <c r="M151" s="5">
        <f>IFERROR(TODAY()-L151,"")</f>
        <v/>
      </c>
    </row>
    <row r="152" ht="22" customHeight="1">
      <c r="B152" s="8" t="n"/>
      <c r="C152" s="8" t="n"/>
      <c r="D152" s="8" t="n"/>
      <c r="E152" s="10" t="n"/>
      <c r="F152" s="10" t="n"/>
      <c r="G152" s="29">
        <f>IFERROR((E152-F152)/E152,0)</f>
        <v/>
      </c>
      <c r="H152" s="9" t="n"/>
      <c r="I152" s="9" t="n"/>
      <c r="J152" s="8">
        <f>IF(H152&lt;=I152,"LOW STOCK","In Stock")</f>
        <v/>
      </c>
      <c r="K152" s="8" t="n"/>
      <c r="L152" s="7" t="n"/>
      <c r="M152" s="9">
        <f>IFERROR(TODAY()-L152,"")</f>
        <v/>
      </c>
    </row>
    <row r="153" ht="22" customHeight="1">
      <c r="B153" s="4" t="n"/>
      <c r="C153" s="4" t="n"/>
      <c r="D153" s="4" t="n"/>
      <c r="E153" s="6" t="n"/>
      <c r="F153" s="6" t="n"/>
      <c r="G153" s="28">
        <f>IFERROR((E153-F153)/E153,0)</f>
        <v/>
      </c>
      <c r="H153" s="5" t="n"/>
      <c r="I153" s="5" t="n"/>
      <c r="J153" s="4">
        <f>IF(H153&lt;=I153,"LOW STOCK","In Stock")</f>
        <v/>
      </c>
      <c r="K153" s="4" t="n"/>
      <c r="L153" s="3" t="n"/>
      <c r="M153" s="5">
        <f>IFERROR(TODAY()-L153,"")</f>
        <v/>
      </c>
    </row>
    <row r="154" ht="22" customHeight="1">
      <c r="B154" s="8" t="n"/>
      <c r="C154" s="8" t="n"/>
      <c r="D154" s="8" t="n"/>
      <c r="E154" s="10" t="n"/>
      <c r="F154" s="10" t="n"/>
      <c r="G154" s="29">
        <f>IFERROR((E154-F154)/E154,0)</f>
        <v/>
      </c>
      <c r="H154" s="9" t="n"/>
      <c r="I154" s="9" t="n"/>
      <c r="J154" s="8">
        <f>IF(H154&lt;=I154,"LOW STOCK","In Stock")</f>
        <v/>
      </c>
      <c r="K154" s="8" t="n"/>
      <c r="L154" s="7" t="n"/>
      <c r="M154" s="9">
        <f>IFERROR(TODAY()-L154,"")</f>
        <v/>
      </c>
    </row>
    <row r="155" ht="22" customHeight="1">
      <c r="B155" s="4" t="n"/>
      <c r="C155" s="4" t="n"/>
      <c r="D155" s="4" t="n"/>
      <c r="E155" s="6" t="n"/>
      <c r="F155" s="6" t="n"/>
      <c r="G155" s="28">
        <f>IFERROR((E155-F155)/E155,0)</f>
        <v/>
      </c>
      <c r="H155" s="5" t="n"/>
      <c r="I155" s="5" t="n"/>
      <c r="J155" s="4">
        <f>IF(H155&lt;=I155,"LOW STOCK","In Stock")</f>
        <v/>
      </c>
      <c r="K155" s="4" t="n"/>
      <c r="L155" s="3" t="n"/>
      <c r="M155" s="5">
        <f>IFERROR(TODAY()-L155,"")</f>
        <v/>
      </c>
    </row>
    <row r="156" ht="22" customHeight="1">
      <c r="B156" s="8" t="n"/>
      <c r="C156" s="8" t="n"/>
      <c r="D156" s="8" t="n"/>
      <c r="E156" s="10" t="n"/>
      <c r="F156" s="10" t="n"/>
      <c r="G156" s="29">
        <f>IFERROR((E156-F156)/E156,0)</f>
        <v/>
      </c>
      <c r="H156" s="9" t="n"/>
      <c r="I156" s="9" t="n"/>
      <c r="J156" s="8">
        <f>IF(H156&lt;=I156,"LOW STOCK","In Stock")</f>
        <v/>
      </c>
      <c r="K156" s="8" t="n"/>
      <c r="L156" s="7" t="n"/>
      <c r="M156" s="9">
        <f>IFERROR(TODAY()-L156,"")</f>
        <v/>
      </c>
    </row>
    <row r="157" ht="22" customHeight="1">
      <c r="B157" s="4" t="n"/>
      <c r="C157" s="4" t="n"/>
      <c r="D157" s="4" t="n"/>
      <c r="E157" s="6" t="n"/>
      <c r="F157" s="6" t="n"/>
      <c r="G157" s="28">
        <f>IFERROR((E157-F157)/E157,0)</f>
        <v/>
      </c>
      <c r="H157" s="5" t="n"/>
      <c r="I157" s="5" t="n"/>
      <c r="J157" s="4">
        <f>IF(H157&lt;=I157,"LOW STOCK","In Stock")</f>
        <v/>
      </c>
      <c r="K157" s="4" t="n"/>
      <c r="L157" s="3" t="n"/>
      <c r="M157" s="5">
        <f>IFERROR(TODAY()-L157,"")</f>
        <v/>
      </c>
    </row>
    <row r="158" ht="22" customHeight="1">
      <c r="B158" s="8" t="n"/>
      <c r="C158" s="8" t="n"/>
      <c r="D158" s="8" t="n"/>
      <c r="E158" s="10" t="n"/>
      <c r="F158" s="10" t="n"/>
      <c r="G158" s="29">
        <f>IFERROR((E158-F158)/E158,0)</f>
        <v/>
      </c>
      <c r="H158" s="9" t="n"/>
      <c r="I158" s="9" t="n"/>
      <c r="J158" s="8">
        <f>IF(H158&lt;=I158,"LOW STOCK","In Stock")</f>
        <v/>
      </c>
      <c r="K158" s="8" t="n"/>
      <c r="L158" s="7" t="n"/>
      <c r="M158" s="9">
        <f>IFERROR(TODAY()-L158,"")</f>
        <v/>
      </c>
    </row>
    <row r="159" ht="22" customHeight="1">
      <c r="B159" s="4" t="n"/>
      <c r="C159" s="4" t="n"/>
      <c r="D159" s="4" t="n"/>
      <c r="E159" s="6" t="n"/>
      <c r="F159" s="6" t="n"/>
      <c r="G159" s="28">
        <f>IFERROR((E159-F159)/E159,0)</f>
        <v/>
      </c>
      <c r="H159" s="5" t="n"/>
      <c r="I159" s="5" t="n"/>
      <c r="J159" s="4">
        <f>IF(H159&lt;=I159,"LOW STOCK","In Stock")</f>
        <v/>
      </c>
      <c r="K159" s="4" t="n"/>
      <c r="L159" s="3" t="n"/>
      <c r="M159" s="5">
        <f>IFERROR(TODAY()-L159,"")</f>
        <v/>
      </c>
    </row>
    <row r="160" ht="22" customHeight="1">
      <c r="B160" s="8" t="n"/>
      <c r="C160" s="8" t="n"/>
      <c r="D160" s="8" t="n"/>
      <c r="E160" s="10" t="n"/>
      <c r="F160" s="10" t="n"/>
      <c r="G160" s="29">
        <f>IFERROR((E160-F160)/E160,0)</f>
        <v/>
      </c>
      <c r="H160" s="9" t="n"/>
      <c r="I160" s="9" t="n"/>
      <c r="J160" s="8">
        <f>IF(H160&lt;=I160,"LOW STOCK","In Stock")</f>
        <v/>
      </c>
      <c r="K160" s="8" t="n"/>
      <c r="L160" s="7" t="n"/>
      <c r="M160" s="9">
        <f>IFERROR(TODAY()-L160,"")</f>
        <v/>
      </c>
    </row>
    <row r="161" ht="22" customHeight="1">
      <c r="B161" s="4" t="n"/>
      <c r="C161" s="4" t="n"/>
      <c r="D161" s="4" t="n"/>
      <c r="E161" s="6" t="n"/>
      <c r="F161" s="6" t="n"/>
      <c r="G161" s="28">
        <f>IFERROR((E161-F161)/E161,0)</f>
        <v/>
      </c>
      <c r="H161" s="5" t="n"/>
      <c r="I161" s="5" t="n"/>
      <c r="J161" s="4">
        <f>IF(H161&lt;=I161,"LOW STOCK","In Stock")</f>
        <v/>
      </c>
      <c r="K161" s="4" t="n"/>
      <c r="L161" s="3" t="n"/>
      <c r="M161" s="5">
        <f>IFERROR(TODAY()-L161,"")</f>
        <v/>
      </c>
    </row>
    <row r="162" ht="22" customHeight="1">
      <c r="B162" s="8" t="n"/>
      <c r="C162" s="8" t="n"/>
      <c r="D162" s="8" t="n"/>
      <c r="E162" s="10" t="n"/>
      <c r="F162" s="10" t="n"/>
      <c r="G162" s="29">
        <f>IFERROR((E162-F162)/E162,0)</f>
        <v/>
      </c>
      <c r="H162" s="9" t="n"/>
      <c r="I162" s="9" t="n"/>
      <c r="J162" s="8">
        <f>IF(H162&lt;=I162,"LOW STOCK","In Stock")</f>
        <v/>
      </c>
      <c r="K162" s="8" t="n"/>
      <c r="L162" s="7" t="n"/>
      <c r="M162" s="9">
        <f>IFERROR(TODAY()-L162,"")</f>
        <v/>
      </c>
    </row>
    <row r="163" ht="22" customHeight="1">
      <c r="B163" s="4" t="n"/>
      <c r="C163" s="4" t="n"/>
      <c r="D163" s="4" t="n"/>
      <c r="E163" s="6" t="n"/>
      <c r="F163" s="6" t="n"/>
      <c r="G163" s="28">
        <f>IFERROR((E163-F163)/E163,0)</f>
        <v/>
      </c>
      <c r="H163" s="5" t="n"/>
      <c r="I163" s="5" t="n"/>
      <c r="J163" s="4">
        <f>IF(H163&lt;=I163,"LOW STOCK","In Stock")</f>
        <v/>
      </c>
      <c r="K163" s="4" t="n"/>
      <c r="L163" s="3" t="n"/>
      <c r="M163" s="5">
        <f>IFERROR(TODAY()-L163,"")</f>
        <v/>
      </c>
    </row>
    <row r="164" ht="22" customHeight="1">
      <c r="B164" s="8" t="n"/>
      <c r="C164" s="8" t="n"/>
      <c r="D164" s="8" t="n"/>
      <c r="E164" s="10" t="n"/>
      <c r="F164" s="10" t="n"/>
      <c r="G164" s="29">
        <f>IFERROR((E164-F164)/E164,0)</f>
        <v/>
      </c>
      <c r="H164" s="9" t="n"/>
      <c r="I164" s="9" t="n"/>
      <c r="J164" s="8">
        <f>IF(H164&lt;=I164,"LOW STOCK","In Stock")</f>
        <v/>
      </c>
      <c r="K164" s="8" t="n"/>
      <c r="L164" s="7" t="n"/>
      <c r="M164" s="9">
        <f>IFERROR(TODAY()-L164,"")</f>
        <v/>
      </c>
    </row>
    <row r="165" ht="22" customHeight="1">
      <c r="B165" s="4" t="n"/>
      <c r="C165" s="4" t="n"/>
      <c r="D165" s="4" t="n"/>
      <c r="E165" s="6" t="n"/>
      <c r="F165" s="6" t="n"/>
      <c r="G165" s="28">
        <f>IFERROR((E165-F165)/E165,0)</f>
        <v/>
      </c>
      <c r="H165" s="5" t="n"/>
      <c r="I165" s="5" t="n"/>
      <c r="J165" s="4">
        <f>IF(H165&lt;=I165,"LOW STOCK","In Stock")</f>
        <v/>
      </c>
      <c r="K165" s="4" t="n"/>
      <c r="L165" s="3" t="n"/>
      <c r="M165" s="5">
        <f>IFERROR(TODAY()-L165,"")</f>
        <v/>
      </c>
    </row>
    <row r="166" ht="22" customHeight="1">
      <c r="B166" s="8" t="n"/>
      <c r="C166" s="8" t="n"/>
      <c r="D166" s="8" t="n"/>
      <c r="E166" s="10" t="n"/>
      <c r="F166" s="10" t="n"/>
      <c r="G166" s="29">
        <f>IFERROR((E166-F166)/E166,0)</f>
        <v/>
      </c>
      <c r="H166" s="9" t="n"/>
      <c r="I166" s="9" t="n"/>
      <c r="J166" s="8">
        <f>IF(H166&lt;=I166,"LOW STOCK","In Stock")</f>
        <v/>
      </c>
      <c r="K166" s="8" t="n"/>
      <c r="L166" s="7" t="n"/>
      <c r="M166" s="9">
        <f>IFERROR(TODAY()-L166,"")</f>
        <v/>
      </c>
    </row>
    <row r="167" ht="22" customHeight="1">
      <c r="B167" s="4" t="n"/>
      <c r="C167" s="4" t="n"/>
      <c r="D167" s="4" t="n"/>
      <c r="E167" s="6" t="n"/>
      <c r="F167" s="6" t="n"/>
      <c r="G167" s="28">
        <f>IFERROR((E167-F167)/E167,0)</f>
        <v/>
      </c>
      <c r="H167" s="5" t="n"/>
      <c r="I167" s="5" t="n"/>
      <c r="J167" s="4">
        <f>IF(H167&lt;=I167,"LOW STOCK","In Stock")</f>
        <v/>
      </c>
      <c r="K167" s="4" t="n"/>
      <c r="L167" s="3" t="n"/>
      <c r="M167" s="5">
        <f>IFERROR(TODAY()-L167,"")</f>
        <v/>
      </c>
    </row>
    <row r="168" ht="22" customHeight="1">
      <c r="B168" s="8" t="n"/>
      <c r="C168" s="8" t="n"/>
      <c r="D168" s="8" t="n"/>
      <c r="E168" s="10" t="n"/>
      <c r="F168" s="10" t="n"/>
      <c r="G168" s="29">
        <f>IFERROR((E168-F168)/E168,0)</f>
        <v/>
      </c>
      <c r="H168" s="9" t="n"/>
      <c r="I168" s="9" t="n"/>
      <c r="J168" s="8">
        <f>IF(H168&lt;=I168,"LOW STOCK","In Stock")</f>
        <v/>
      </c>
      <c r="K168" s="8" t="n"/>
      <c r="L168" s="7" t="n"/>
      <c r="M168" s="9">
        <f>IFERROR(TODAY()-L168,"")</f>
        <v/>
      </c>
    </row>
    <row r="169" ht="22" customHeight="1">
      <c r="B169" s="4" t="n"/>
      <c r="C169" s="4" t="n"/>
      <c r="D169" s="4" t="n"/>
      <c r="E169" s="6" t="n"/>
      <c r="F169" s="6" t="n"/>
      <c r="G169" s="28">
        <f>IFERROR((E169-F169)/E169,0)</f>
        <v/>
      </c>
      <c r="H169" s="5" t="n"/>
      <c r="I169" s="5" t="n"/>
      <c r="J169" s="4">
        <f>IF(H169&lt;=I169,"LOW STOCK","In Stock")</f>
        <v/>
      </c>
      <c r="K169" s="4" t="n"/>
      <c r="L169" s="3" t="n"/>
      <c r="M169" s="5">
        <f>IFERROR(TODAY()-L169,"")</f>
        <v/>
      </c>
    </row>
    <row r="170" ht="22" customHeight="1">
      <c r="B170" s="8" t="n"/>
      <c r="C170" s="8" t="n"/>
      <c r="D170" s="8" t="n"/>
      <c r="E170" s="10" t="n"/>
      <c r="F170" s="10" t="n"/>
      <c r="G170" s="29">
        <f>IFERROR((E170-F170)/E170,0)</f>
        <v/>
      </c>
      <c r="H170" s="9" t="n"/>
      <c r="I170" s="9" t="n"/>
      <c r="J170" s="8">
        <f>IF(H170&lt;=I170,"LOW STOCK","In Stock")</f>
        <v/>
      </c>
      <c r="K170" s="8" t="n"/>
      <c r="L170" s="7" t="n"/>
      <c r="M170" s="9">
        <f>IFERROR(TODAY()-L170,"")</f>
        <v/>
      </c>
    </row>
    <row r="171" ht="22" customHeight="1">
      <c r="B171" s="4" t="n"/>
      <c r="C171" s="4" t="n"/>
      <c r="D171" s="4" t="n"/>
      <c r="E171" s="6" t="n"/>
      <c r="F171" s="6" t="n"/>
      <c r="G171" s="28">
        <f>IFERROR((E171-F171)/E171,0)</f>
        <v/>
      </c>
      <c r="H171" s="5" t="n"/>
      <c r="I171" s="5" t="n"/>
      <c r="J171" s="4">
        <f>IF(H171&lt;=I171,"LOW STOCK","In Stock")</f>
        <v/>
      </c>
      <c r="K171" s="4" t="n"/>
      <c r="L171" s="3" t="n"/>
      <c r="M171" s="5">
        <f>IFERROR(TODAY()-L171,"")</f>
        <v/>
      </c>
    </row>
    <row r="172" ht="22" customHeight="1">
      <c r="B172" s="8" t="n"/>
      <c r="C172" s="8" t="n"/>
      <c r="D172" s="8" t="n"/>
      <c r="E172" s="10" t="n"/>
      <c r="F172" s="10" t="n"/>
      <c r="G172" s="29">
        <f>IFERROR((E172-F172)/E172,0)</f>
        <v/>
      </c>
      <c r="H172" s="9" t="n"/>
      <c r="I172" s="9" t="n"/>
      <c r="J172" s="8">
        <f>IF(H172&lt;=I172,"LOW STOCK","In Stock")</f>
        <v/>
      </c>
      <c r="K172" s="8" t="n"/>
      <c r="L172" s="7" t="n"/>
      <c r="M172" s="9">
        <f>IFERROR(TODAY()-L172,"")</f>
        <v/>
      </c>
    </row>
    <row r="173" ht="22" customHeight="1">
      <c r="B173" s="4" t="n"/>
      <c r="C173" s="4" t="n"/>
      <c r="D173" s="4" t="n"/>
      <c r="E173" s="6" t="n"/>
      <c r="F173" s="6" t="n"/>
      <c r="G173" s="28">
        <f>IFERROR((E173-F173)/E173,0)</f>
        <v/>
      </c>
      <c r="H173" s="5" t="n"/>
      <c r="I173" s="5" t="n"/>
      <c r="J173" s="4">
        <f>IF(H173&lt;=I173,"LOW STOCK","In Stock")</f>
        <v/>
      </c>
      <c r="K173" s="4" t="n"/>
      <c r="L173" s="3" t="n"/>
      <c r="M173" s="5">
        <f>IFERROR(TODAY()-L173,"")</f>
        <v/>
      </c>
    </row>
    <row r="174" ht="22" customHeight="1">
      <c r="B174" s="8" t="n"/>
      <c r="C174" s="8" t="n"/>
      <c r="D174" s="8" t="n"/>
      <c r="E174" s="10" t="n"/>
      <c r="F174" s="10" t="n"/>
      <c r="G174" s="29">
        <f>IFERROR((E174-F174)/E174,0)</f>
        <v/>
      </c>
      <c r="H174" s="9" t="n"/>
      <c r="I174" s="9" t="n"/>
      <c r="J174" s="8">
        <f>IF(H174&lt;=I174,"LOW STOCK","In Stock")</f>
        <v/>
      </c>
      <c r="K174" s="8" t="n"/>
      <c r="L174" s="7" t="n"/>
      <c r="M174" s="9">
        <f>IFERROR(TODAY()-L174,"")</f>
        <v/>
      </c>
    </row>
    <row r="175" ht="22" customHeight="1">
      <c r="B175" s="4" t="n"/>
      <c r="C175" s="4" t="n"/>
      <c r="D175" s="4" t="n"/>
      <c r="E175" s="6" t="n"/>
      <c r="F175" s="6" t="n"/>
      <c r="G175" s="28">
        <f>IFERROR((E175-F175)/E175,0)</f>
        <v/>
      </c>
      <c r="H175" s="5" t="n"/>
      <c r="I175" s="5" t="n"/>
      <c r="J175" s="4">
        <f>IF(H175&lt;=I175,"LOW STOCK","In Stock")</f>
        <v/>
      </c>
      <c r="K175" s="4" t="n"/>
      <c r="L175" s="3" t="n"/>
      <c r="M175" s="5">
        <f>IFERROR(TODAY()-L175,"")</f>
        <v/>
      </c>
    </row>
    <row r="176" ht="22" customHeight="1">
      <c r="B176" s="8" t="n"/>
      <c r="C176" s="8" t="n"/>
      <c r="D176" s="8" t="n"/>
      <c r="E176" s="10" t="n"/>
      <c r="F176" s="10" t="n"/>
      <c r="G176" s="29">
        <f>IFERROR((E176-F176)/E176,0)</f>
        <v/>
      </c>
      <c r="H176" s="9" t="n"/>
      <c r="I176" s="9" t="n"/>
      <c r="J176" s="8">
        <f>IF(H176&lt;=I176,"LOW STOCK","In Stock")</f>
        <v/>
      </c>
      <c r="K176" s="8" t="n"/>
      <c r="L176" s="7" t="n"/>
      <c r="M176" s="9">
        <f>IFERROR(TODAY()-L176,"")</f>
        <v/>
      </c>
    </row>
    <row r="177" ht="22" customHeight="1">
      <c r="B177" s="4" t="n"/>
      <c r="C177" s="4" t="n"/>
      <c r="D177" s="4" t="n"/>
      <c r="E177" s="6" t="n"/>
      <c r="F177" s="6" t="n"/>
      <c r="G177" s="28">
        <f>IFERROR((E177-F177)/E177,0)</f>
        <v/>
      </c>
      <c r="H177" s="5" t="n"/>
      <c r="I177" s="5" t="n"/>
      <c r="J177" s="4">
        <f>IF(H177&lt;=I177,"LOW STOCK","In Stock")</f>
        <v/>
      </c>
      <c r="K177" s="4" t="n"/>
      <c r="L177" s="3" t="n"/>
      <c r="M177" s="5">
        <f>IFERROR(TODAY()-L177,"")</f>
        <v/>
      </c>
    </row>
    <row r="178" ht="22" customHeight="1">
      <c r="B178" s="8" t="n"/>
      <c r="C178" s="8" t="n"/>
      <c r="D178" s="8" t="n"/>
      <c r="E178" s="10" t="n"/>
      <c r="F178" s="10" t="n"/>
      <c r="G178" s="29">
        <f>IFERROR((E178-F178)/E178,0)</f>
        <v/>
      </c>
      <c r="H178" s="9" t="n"/>
      <c r="I178" s="9" t="n"/>
      <c r="J178" s="8">
        <f>IF(H178&lt;=I178,"LOW STOCK","In Stock")</f>
        <v/>
      </c>
      <c r="K178" s="8" t="n"/>
      <c r="L178" s="7" t="n"/>
      <c r="M178" s="9">
        <f>IFERROR(TODAY()-L178,"")</f>
        <v/>
      </c>
    </row>
    <row r="179" ht="22" customHeight="1">
      <c r="B179" s="4" t="n"/>
      <c r="C179" s="4" t="n"/>
      <c r="D179" s="4" t="n"/>
      <c r="E179" s="6" t="n"/>
      <c r="F179" s="6" t="n"/>
      <c r="G179" s="28">
        <f>IFERROR((E179-F179)/E179,0)</f>
        <v/>
      </c>
      <c r="H179" s="5" t="n"/>
      <c r="I179" s="5" t="n"/>
      <c r="J179" s="4">
        <f>IF(H179&lt;=I179,"LOW STOCK","In Stock")</f>
        <v/>
      </c>
      <c r="K179" s="4" t="n"/>
      <c r="L179" s="3" t="n"/>
      <c r="M179" s="5">
        <f>IFERROR(TODAY()-L179,"")</f>
        <v/>
      </c>
    </row>
    <row r="180" ht="22" customHeight="1">
      <c r="B180" s="8" t="n"/>
      <c r="C180" s="8" t="n"/>
      <c r="D180" s="8" t="n"/>
      <c r="E180" s="10" t="n"/>
      <c r="F180" s="10" t="n"/>
      <c r="G180" s="29">
        <f>IFERROR((E180-F180)/E180,0)</f>
        <v/>
      </c>
      <c r="H180" s="9" t="n"/>
      <c r="I180" s="9" t="n"/>
      <c r="J180" s="8">
        <f>IF(H180&lt;=I180,"LOW STOCK","In Stock")</f>
        <v/>
      </c>
      <c r="K180" s="8" t="n"/>
      <c r="L180" s="7" t="n"/>
      <c r="M180" s="9">
        <f>IFERROR(TODAY()-L180,"")</f>
        <v/>
      </c>
    </row>
    <row r="181" ht="22" customHeight="1">
      <c r="B181" s="4" t="n"/>
      <c r="C181" s="4" t="n"/>
      <c r="D181" s="4" t="n"/>
      <c r="E181" s="6" t="n"/>
      <c r="F181" s="6" t="n"/>
      <c r="G181" s="28">
        <f>IFERROR((E181-F181)/E181,0)</f>
        <v/>
      </c>
      <c r="H181" s="5" t="n"/>
      <c r="I181" s="5" t="n"/>
      <c r="J181" s="4">
        <f>IF(H181&lt;=I181,"LOW STOCK","In Stock")</f>
        <v/>
      </c>
      <c r="K181" s="4" t="n"/>
      <c r="L181" s="3" t="n"/>
      <c r="M181" s="5">
        <f>IFERROR(TODAY()-L181,"")</f>
        <v/>
      </c>
    </row>
    <row r="182" ht="22" customHeight="1">
      <c r="B182" s="8" t="n"/>
      <c r="C182" s="8" t="n"/>
      <c r="D182" s="8" t="n"/>
      <c r="E182" s="10" t="n"/>
      <c r="F182" s="10" t="n"/>
      <c r="G182" s="29">
        <f>IFERROR((E182-F182)/E182,0)</f>
        <v/>
      </c>
      <c r="H182" s="9" t="n"/>
      <c r="I182" s="9" t="n"/>
      <c r="J182" s="8">
        <f>IF(H182&lt;=I182,"LOW STOCK","In Stock")</f>
        <v/>
      </c>
      <c r="K182" s="8" t="n"/>
      <c r="L182" s="7" t="n"/>
      <c r="M182" s="9">
        <f>IFERROR(TODAY()-L182,"")</f>
        <v/>
      </c>
    </row>
    <row r="183" ht="22" customHeight="1">
      <c r="B183" s="4" t="n"/>
      <c r="C183" s="4" t="n"/>
      <c r="D183" s="4" t="n"/>
      <c r="E183" s="6" t="n"/>
      <c r="F183" s="6" t="n"/>
      <c r="G183" s="28">
        <f>IFERROR((E183-F183)/E183,0)</f>
        <v/>
      </c>
      <c r="H183" s="5" t="n"/>
      <c r="I183" s="5" t="n"/>
      <c r="J183" s="4">
        <f>IF(H183&lt;=I183,"LOW STOCK","In Stock")</f>
        <v/>
      </c>
      <c r="K183" s="4" t="n"/>
      <c r="L183" s="3" t="n"/>
      <c r="M183" s="5">
        <f>IFERROR(TODAY()-L183,"")</f>
        <v/>
      </c>
    </row>
    <row r="184" ht="22" customHeight="1">
      <c r="B184" s="8" t="n"/>
      <c r="C184" s="8" t="n"/>
      <c r="D184" s="8" t="n"/>
      <c r="E184" s="10" t="n"/>
      <c r="F184" s="10" t="n"/>
      <c r="G184" s="29">
        <f>IFERROR((E184-F184)/E184,0)</f>
        <v/>
      </c>
      <c r="H184" s="9" t="n"/>
      <c r="I184" s="9" t="n"/>
      <c r="J184" s="8">
        <f>IF(H184&lt;=I184,"LOW STOCK","In Stock")</f>
        <v/>
      </c>
      <c r="K184" s="8" t="n"/>
      <c r="L184" s="7" t="n"/>
      <c r="M184" s="9">
        <f>IFERROR(TODAY()-L184,"")</f>
        <v/>
      </c>
    </row>
    <row r="185" ht="22" customHeight="1">
      <c r="B185" s="4" t="n"/>
      <c r="C185" s="4" t="n"/>
      <c r="D185" s="4" t="n"/>
      <c r="E185" s="6" t="n"/>
      <c r="F185" s="6" t="n"/>
      <c r="G185" s="28">
        <f>IFERROR((E185-F185)/E185,0)</f>
        <v/>
      </c>
      <c r="H185" s="5" t="n"/>
      <c r="I185" s="5" t="n"/>
      <c r="J185" s="4">
        <f>IF(H185&lt;=I185,"LOW STOCK","In Stock")</f>
        <v/>
      </c>
      <c r="K185" s="4" t="n"/>
      <c r="L185" s="3" t="n"/>
      <c r="M185" s="5">
        <f>IFERROR(TODAY()-L185,"")</f>
        <v/>
      </c>
    </row>
    <row r="186" ht="22" customHeight="1">
      <c r="B186" s="8" t="n"/>
      <c r="C186" s="8" t="n"/>
      <c r="D186" s="8" t="n"/>
      <c r="E186" s="10" t="n"/>
      <c r="F186" s="10" t="n"/>
      <c r="G186" s="29">
        <f>IFERROR((E186-F186)/E186,0)</f>
        <v/>
      </c>
      <c r="H186" s="9" t="n"/>
      <c r="I186" s="9" t="n"/>
      <c r="J186" s="8">
        <f>IF(H186&lt;=I186,"LOW STOCK","In Stock")</f>
        <v/>
      </c>
      <c r="K186" s="8" t="n"/>
      <c r="L186" s="7" t="n"/>
      <c r="M186" s="9">
        <f>IFERROR(TODAY()-L186,"")</f>
        <v/>
      </c>
    </row>
    <row r="187" ht="22" customHeight="1">
      <c r="B187" s="4" t="n"/>
      <c r="C187" s="4" t="n"/>
      <c r="D187" s="4" t="n"/>
      <c r="E187" s="6" t="n"/>
      <c r="F187" s="6" t="n"/>
      <c r="G187" s="28">
        <f>IFERROR((E187-F187)/E187,0)</f>
        <v/>
      </c>
      <c r="H187" s="5" t="n"/>
      <c r="I187" s="5" t="n"/>
      <c r="J187" s="4">
        <f>IF(H187&lt;=I187,"LOW STOCK","In Stock")</f>
        <v/>
      </c>
      <c r="K187" s="4" t="n"/>
      <c r="L187" s="3" t="n"/>
      <c r="M187" s="5">
        <f>IFERROR(TODAY()-L187,"")</f>
        <v/>
      </c>
    </row>
    <row r="188" ht="22" customHeight="1">
      <c r="B188" s="8" t="n"/>
      <c r="C188" s="8" t="n"/>
      <c r="D188" s="8" t="n"/>
      <c r="E188" s="10" t="n"/>
      <c r="F188" s="10" t="n"/>
      <c r="G188" s="29">
        <f>IFERROR((E188-F188)/E188,0)</f>
        <v/>
      </c>
      <c r="H188" s="9" t="n"/>
      <c r="I188" s="9" t="n"/>
      <c r="J188" s="8">
        <f>IF(H188&lt;=I188,"LOW STOCK","In Stock")</f>
        <v/>
      </c>
      <c r="K188" s="8" t="n"/>
      <c r="L188" s="7" t="n"/>
      <c r="M188" s="9">
        <f>IFERROR(TODAY()-L188,"")</f>
        <v/>
      </c>
    </row>
    <row r="189" ht="22" customHeight="1">
      <c r="B189" s="4" t="n"/>
      <c r="C189" s="4" t="n"/>
      <c r="D189" s="4" t="n"/>
      <c r="E189" s="6" t="n"/>
      <c r="F189" s="6" t="n"/>
      <c r="G189" s="28">
        <f>IFERROR((E189-F189)/E189,0)</f>
        <v/>
      </c>
      <c r="H189" s="5" t="n"/>
      <c r="I189" s="5" t="n"/>
      <c r="J189" s="4">
        <f>IF(H189&lt;=I189,"LOW STOCK","In Stock")</f>
        <v/>
      </c>
      <c r="K189" s="4" t="n"/>
      <c r="L189" s="3" t="n"/>
      <c r="M189" s="5">
        <f>IFERROR(TODAY()-L189,"")</f>
        <v/>
      </c>
    </row>
    <row r="190" ht="22" customHeight="1">
      <c r="B190" s="8" t="n"/>
      <c r="C190" s="8" t="n"/>
      <c r="D190" s="8" t="n"/>
      <c r="E190" s="10" t="n"/>
      <c r="F190" s="10" t="n"/>
      <c r="G190" s="29">
        <f>IFERROR((E190-F190)/E190,0)</f>
        <v/>
      </c>
      <c r="H190" s="9" t="n"/>
      <c r="I190" s="9" t="n"/>
      <c r="J190" s="8">
        <f>IF(H190&lt;=I190,"LOW STOCK","In Stock")</f>
        <v/>
      </c>
      <c r="K190" s="8" t="n"/>
      <c r="L190" s="7" t="n"/>
      <c r="M190" s="9">
        <f>IFERROR(TODAY()-L190,"")</f>
        <v/>
      </c>
    </row>
    <row r="191" ht="22" customHeight="1">
      <c r="B191" s="4" t="n"/>
      <c r="C191" s="4" t="n"/>
      <c r="D191" s="4" t="n"/>
      <c r="E191" s="6" t="n"/>
      <c r="F191" s="6" t="n"/>
      <c r="G191" s="28">
        <f>IFERROR((E191-F191)/E191,0)</f>
        <v/>
      </c>
      <c r="H191" s="5" t="n"/>
      <c r="I191" s="5" t="n"/>
      <c r="J191" s="4">
        <f>IF(H191&lt;=I191,"LOW STOCK","In Stock")</f>
        <v/>
      </c>
      <c r="K191" s="4" t="n"/>
      <c r="L191" s="3" t="n"/>
      <c r="M191" s="5">
        <f>IFERROR(TODAY()-L191,"")</f>
        <v/>
      </c>
    </row>
    <row r="192" ht="22" customHeight="1">
      <c r="B192" s="8" t="n"/>
      <c r="C192" s="8" t="n"/>
      <c r="D192" s="8" t="n"/>
      <c r="E192" s="10" t="n"/>
      <c r="F192" s="10" t="n"/>
      <c r="G192" s="29">
        <f>IFERROR((E192-F192)/E192,0)</f>
        <v/>
      </c>
      <c r="H192" s="9" t="n"/>
      <c r="I192" s="9" t="n"/>
      <c r="J192" s="8">
        <f>IF(H192&lt;=I192,"LOW STOCK","In Stock")</f>
        <v/>
      </c>
      <c r="K192" s="8" t="n"/>
      <c r="L192" s="7" t="n"/>
      <c r="M192" s="9">
        <f>IFERROR(TODAY()-L192,"")</f>
        <v/>
      </c>
    </row>
    <row r="193" ht="22" customHeight="1">
      <c r="B193" s="4" t="n"/>
      <c r="C193" s="4" t="n"/>
      <c r="D193" s="4" t="n"/>
      <c r="E193" s="6" t="n"/>
      <c r="F193" s="6" t="n"/>
      <c r="G193" s="28">
        <f>IFERROR((E193-F193)/E193,0)</f>
        <v/>
      </c>
      <c r="H193" s="5" t="n"/>
      <c r="I193" s="5" t="n"/>
      <c r="J193" s="4">
        <f>IF(H193&lt;=I193,"LOW STOCK","In Stock")</f>
        <v/>
      </c>
      <c r="K193" s="4" t="n"/>
      <c r="L193" s="3" t="n"/>
      <c r="M193" s="5">
        <f>IFERROR(TODAY()-L193,"")</f>
        <v/>
      </c>
    </row>
    <row r="194" ht="22" customHeight="1">
      <c r="B194" s="8" t="n"/>
      <c r="C194" s="8" t="n"/>
      <c r="D194" s="8" t="n"/>
      <c r="E194" s="10" t="n"/>
      <c r="F194" s="10" t="n"/>
      <c r="G194" s="29">
        <f>IFERROR((E194-F194)/E194,0)</f>
        <v/>
      </c>
      <c r="H194" s="9" t="n"/>
      <c r="I194" s="9" t="n"/>
      <c r="J194" s="8">
        <f>IF(H194&lt;=I194,"LOW STOCK","In Stock")</f>
        <v/>
      </c>
      <c r="K194" s="8" t="n"/>
      <c r="L194" s="7" t="n"/>
      <c r="M194" s="9">
        <f>IFERROR(TODAY()-L194,"")</f>
        <v/>
      </c>
    </row>
    <row r="195" ht="22" customHeight="1">
      <c r="B195" s="4" t="n"/>
      <c r="C195" s="4" t="n"/>
      <c r="D195" s="4" t="n"/>
      <c r="E195" s="6" t="n"/>
      <c r="F195" s="6" t="n"/>
      <c r="G195" s="28">
        <f>IFERROR((E195-F195)/E195,0)</f>
        <v/>
      </c>
      <c r="H195" s="5" t="n"/>
      <c r="I195" s="5" t="n"/>
      <c r="J195" s="4">
        <f>IF(H195&lt;=I195,"LOW STOCK","In Stock")</f>
        <v/>
      </c>
      <c r="K195" s="4" t="n"/>
      <c r="L195" s="3" t="n"/>
      <c r="M195" s="5">
        <f>IFERROR(TODAY()-L195,"")</f>
        <v/>
      </c>
    </row>
    <row r="196" ht="22" customHeight="1">
      <c r="B196" s="8" t="n"/>
      <c r="C196" s="8" t="n"/>
      <c r="D196" s="8" t="n"/>
      <c r="E196" s="10" t="n"/>
      <c r="F196" s="10" t="n"/>
      <c r="G196" s="29">
        <f>IFERROR((E196-F196)/E196,0)</f>
        <v/>
      </c>
      <c r="H196" s="9" t="n"/>
      <c r="I196" s="9" t="n"/>
      <c r="J196" s="8">
        <f>IF(H196&lt;=I196,"LOW STOCK","In Stock")</f>
        <v/>
      </c>
      <c r="K196" s="8" t="n"/>
      <c r="L196" s="7" t="n"/>
      <c r="M196" s="9">
        <f>IFERROR(TODAY()-L196,"")</f>
        <v/>
      </c>
    </row>
    <row r="197" ht="22" customHeight="1">
      <c r="B197" s="4" t="n"/>
      <c r="C197" s="4" t="n"/>
      <c r="D197" s="4" t="n"/>
      <c r="E197" s="6" t="n"/>
      <c r="F197" s="6" t="n"/>
      <c r="G197" s="28">
        <f>IFERROR((E197-F197)/E197,0)</f>
        <v/>
      </c>
      <c r="H197" s="5" t="n"/>
      <c r="I197" s="5" t="n"/>
      <c r="J197" s="4">
        <f>IF(H197&lt;=I197,"LOW STOCK","In Stock")</f>
        <v/>
      </c>
      <c r="K197" s="4" t="n"/>
      <c r="L197" s="3" t="n"/>
      <c r="M197" s="5">
        <f>IFERROR(TODAY()-L197,"")</f>
        <v/>
      </c>
    </row>
    <row r="198" ht="22" customHeight="1">
      <c r="B198" s="8" t="n"/>
      <c r="C198" s="8" t="n"/>
      <c r="D198" s="8" t="n"/>
      <c r="E198" s="10" t="n"/>
      <c r="F198" s="10" t="n"/>
      <c r="G198" s="29">
        <f>IFERROR((E198-F198)/E198,0)</f>
        <v/>
      </c>
      <c r="H198" s="9" t="n"/>
      <c r="I198" s="9" t="n"/>
      <c r="J198" s="8">
        <f>IF(H198&lt;=I198,"LOW STOCK","In Stock")</f>
        <v/>
      </c>
      <c r="K198" s="8" t="n"/>
      <c r="L198" s="7" t="n"/>
      <c r="M198" s="9">
        <f>IFERROR(TODAY()-L198,"")</f>
        <v/>
      </c>
    </row>
    <row r="199" ht="22" customHeight="1">
      <c r="B199" s="4" t="n"/>
      <c r="C199" s="4" t="n"/>
      <c r="D199" s="4" t="n"/>
      <c r="E199" s="6" t="n"/>
      <c r="F199" s="6" t="n"/>
      <c r="G199" s="28">
        <f>IFERROR((E199-F199)/E199,0)</f>
        <v/>
      </c>
      <c r="H199" s="5" t="n"/>
      <c r="I199" s="5" t="n"/>
      <c r="J199" s="4">
        <f>IF(H199&lt;=I199,"LOW STOCK","In Stock")</f>
        <v/>
      </c>
      <c r="K199" s="4" t="n"/>
      <c r="L199" s="3" t="n"/>
      <c r="M199" s="5">
        <f>IFERROR(TODAY()-L199,"")</f>
        <v/>
      </c>
    </row>
    <row r="200" ht="22" customHeight="1">
      <c r="B200" s="8" t="n"/>
      <c r="C200" s="8" t="n"/>
      <c r="D200" s="8" t="n"/>
      <c r="E200" s="10" t="n"/>
      <c r="F200" s="10" t="n"/>
      <c r="G200" s="29">
        <f>IFERROR((E200-F200)/E200,0)</f>
        <v/>
      </c>
      <c r="H200" s="9" t="n"/>
      <c r="I200" s="9" t="n"/>
      <c r="J200" s="8">
        <f>IF(H200&lt;=I200,"LOW STOCK","In Stock")</f>
        <v/>
      </c>
      <c r="K200" s="8" t="n"/>
      <c r="L200" s="7" t="n"/>
      <c r="M200" s="9">
        <f>IFERROR(TODAY()-L200,"")</f>
        <v/>
      </c>
    </row>
    <row r="201" ht="22" customHeight="1">
      <c r="B201" s="4" t="n"/>
      <c r="C201" s="4" t="n"/>
      <c r="D201" s="4" t="n"/>
      <c r="E201" s="6" t="n"/>
      <c r="F201" s="6" t="n"/>
      <c r="G201" s="28">
        <f>IFERROR((E201-F201)/E201,0)</f>
        <v/>
      </c>
      <c r="H201" s="5" t="n"/>
      <c r="I201" s="5" t="n"/>
      <c r="J201" s="4">
        <f>IF(H201&lt;=I201,"LOW STOCK","In Stock")</f>
        <v/>
      </c>
      <c r="K201" s="4" t="n"/>
      <c r="L201" s="3" t="n"/>
      <c r="M201" s="5">
        <f>IFERROR(TODAY()-L201,"")</f>
        <v/>
      </c>
    </row>
    <row r="202" ht="22" customHeight="1">
      <c r="B202" s="8" t="n"/>
      <c r="C202" s="8" t="n"/>
      <c r="D202" s="8" t="n"/>
      <c r="E202" s="10" t="n"/>
      <c r="F202" s="10" t="n"/>
      <c r="G202" s="29">
        <f>IFERROR((E202-F202)/E202,0)</f>
        <v/>
      </c>
      <c r="H202" s="9" t="n"/>
      <c r="I202" s="9" t="n"/>
      <c r="J202" s="8">
        <f>IF(H202&lt;=I202,"LOW STOCK","In Stock")</f>
        <v/>
      </c>
      <c r="K202" s="8" t="n"/>
      <c r="L202" s="7" t="n"/>
      <c r="M202" s="9">
        <f>IFERROR(TODAY()-L202,"")</f>
        <v/>
      </c>
    </row>
    <row r="203" ht="22" customHeight="1">
      <c r="B203" s="4" t="n"/>
      <c r="C203" s="4" t="n"/>
      <c r="D203" s="4" t="n"/>
      <c r="E203" s="6" t="n"/>
      <c r="F203" s="6" t="n"/>
      <c r="G203" s="28">
        <f>IFERROR((E203-F203)/E203,0)</f>
        <v/>
      </c>
      <c r="H203" s="5" t="n"/>
      <c r="I203" s="5" t="n"/>
      <c r="J203" s="4">
        <f>IF(H203&lt;=I203,"LOW STOCK","In Stock")</f>
        <v/>
      </c>
      <c r="K203" s="4" t="n"/>
      <c r="L203" s="3" t="n"/>
      <c r="M203" s="5">
        <f>IFERROR(TODAY()-L203,"")</f>
        <v/>
      </c>
    </row>
    <row r="204" ht="22" customHeight="1">
      <c r="B204" s="8" t="n"/>
      <c r="C204" s="8" t="n"/>
      <c r="D204" s="8" t="n"/>
      <c r="E204" s="10" t="n"/>
      <c r="F204" s="10" t="n"/>
      <c r="G204" s="29">
        <f>IFERROR((E204-F204)/E204,0)</f>
        <v/>
      </c>
      <c r="H204" s="9" t="n"/>
      <c r="I204" s="9" t="n"/>
      <c r="J204" s="8">
        <f>IF(H204&lt;=I204,"LOW STOCK","In Stock")</f>
        <v/>
      </c>
      <c r="K204" s="8" t="n"/>
      <c r="L204" s="7" t="n"/>
      <c r="M204" s="9">
        <f>IFERROR(TODAY()-L204,"")</f>
        <v/>
      </c>
    </row>
  </sheetData>
  <mergeCells count="1">
    <mergeCell ref="B2:M2"/>
  </mergeCells>
  <conditionalFormatting sqref="J5:J204">
    <cfRule type="cellIs" priority="1" operator="equal" dxfId="0">
      <formula>"LOW STOCK"</formula>
    </cfRule>
    <cfRule type="cellIs" priority="2" operator="equal" dxfId="1">
      <formula>"In Stock"</formula>
    </cfRule>
  </conditionalFormatting>
  <dataValidations count="1">
    <dataValidation sqref="D5:D204" showDropDown="0" showInputMessage="0" showErrorMessage="0" allowBlank="1" errorTitle="Invalid Category" error="Please select a valid category" type="list">
      <formula1>"Grains,Dairy,Bakery,Meat,Beverages,Produce,Snacks,Cleaning,Electronics,Other"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D1B2A"/>
    <outlinePr summaryBelow="1" summaryRight="1"/>
    <pageSetUpPr/>
  </sheetPr>
  <dimension ref="B2:J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2" customWidth="1" min="7" max="7"/>
    <col width="16" customWidth="1" min="8" max="8"/>
    <col width="16" customWidth="1" min="9" max="9"/>
    <col width="18" customWidth="1" min="10" max="10"/>
  </cols>
  <sheetData>
    <row r="1" ht="15" customHeight="1"/>
    <row r="2" ht="32" customHeight="1">
      <c r="B2" s="1" t="inlineStr">
        <is>
          <t>Staff Performance — Employee Tracking</t>
        </is>
      </c>
    </row>
    <row r="3" ht="8" customHeight="1"/>
    <row r="4" ht="28" customHeight="1">
      <c r="B4" s="2" t="inlineStr">
        <is>
          <t>Staff Name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Top Category</t>
        </is>
      </c>
      <c r="G4" s="2" t="inlineStr">
        <is>
          <t>Shift</t>
        </is>
      </c>
      <c r="H4" s="2" t="inlineStr">
        <is>
          <t>Commission (5%)</t>
        </is>
      </c>
      <c r="I4" s="2" t="inlineStr">
        <is>
          <t>Sales Target</t>
        </is>
      </c>
      <c r="J4" s="2" t="inlineStr">
        <is>
          <t>Target Achievement %</t>
        </is>
      </c>
    </row>
    <row r="5" ht="22" customHeight="1">
      <c r="B5" s="4" t="n"/>
      <c r="C5" s="6">
        <f>SUMPRODUCT(('Sales Entry'!J5:J504=B5)*('Sales Entry'!M5:M504))</f>
        <v/>
      </c>
      <c r="D5" s="5">
        <f>SUMPRODUCT(('Sales Entry'!J5:J504=B5)*1)</f>
        <v/>
      </c>
      <c r="E5" s="6">
        <f>IFERROR(C5/D5,0)</f>
        <v/>
      </c>
      <c r="F5" s="4">
        <f>IF(SUMPRODUCT(('Sales Entry'!J5:J504=B5)*('Sales Entry'!E5:E504="Grains")*('Sales Entry'!M5:M504))&gt;=SUMPRODUCT(('Sales Entry'!J5:J504=B5)*('Sales Entry'!E5:E504="Dairy")*('Sales Entry'!M5:M504)),"Grains",IF(SUMPRODUCT(('Sales Entry'!J5:J504=B5)*('Sales Entry'!E5:E504="Dairy")*('Sales Entry'!M5:M504))&gt;=SUMPRODUCT(('Sales Entry'!J5:J504=B5)*('Sales Entry'!E5:E504="Bakery")*('Sales Entry'!M5:M504)),"Dairy","Bakery"))</f>
        <v/>
      </c>
      <c r="G5" s="4" t="n"/>
      <c r="H5" s="6">
        <f>C5*0.05</f>
        <v/>
      </c>
      <c r="I5" s="6" t="n"/>
      <c r="J5" s="28">
        <f>IFERROR(C5/I5,0)</f>
        <v/>
      </c>
    </row>
    <row r="6" ht="22" customHeight="1">
      <c r="B6" s="8" t="n"/>
      <c r="C6" s="10">
        <f>SUMPRODUCT(('Sales Entry'!J5:J504=B6)*('Sales Entry'!M5:M504))</f>
        <v/>
      </c>
      <c r="D6" s="9">
        <f>SUMPRODUCT(('Sales Entry'!J5:J504=B6)*1)</f>
        <v/>
      </c>
      <c r="E6" s="10">
        <f>IFERROR(C6/D6,0)</f>
        <v/>
      </c>
      <c r="F6" s="8">
        <f>IF(SUMPRODUCT(('Sales Entry'!J5:J504=B6)*('Sales Entry'!E5:E504="Grains")*('Sales Entry'!M5:M504))&gt;=SUMPRODUCT(('Sales Entry'!J5:J504=B6)*('Sales Entry'!E5:E504="Dairy")*('Sales Entry'!M5:M504)),"Grains",IF(SUMPRODUCT(('Sales Entry'!J5:J504=B6)*('Sales Entry'!E5:E504="Dairy")*('Sales Entry'!M5:M504))&gt;=SUMPRODUCT(('Sales Entry'!J5:J504=B6)*('Sales Entry'!E5:E504="Bakery")*('Sales Entry'!M5:M504)),"Dairy","Bakery"))</f>
        <v/>
      </c>
      <c r="G6" s="8" t="n"/>
      <c r="H6" s="10">
        <f>C6*0.05</f>
        <v/>
      </c>
      <c r="I6" s="10" t="n"/>
      <c r="J6" s="29">
        <f>IFERROR(C6/I6,0)</f>
        <v/>
      </c>
    </row>
    <row r="7" ht="22" customHeight="1">
      <c r="B7" s="4" t="n"/>
      <c r="C7" s="6">
        <f>SUMPRODUCT(('Sales Entry'!J5:J504=B7)*('Sales Entry'!M5:M504))</f>
        <v/>
      </c>
      <c r="D7" s="5">
        <f>SUMPRODUCT(('Sales Entry'!J5:J504=B7)*1)</f>
        <v/>
      </c>
      <c r="E7" s="6">
        <f>IFERROR(C7/D7,0)</f>
        <v/>
      </c>
      <c r="F7" s="4">
        <f>IF(SUMPRODUCT(('Sales Entry'!J5:J504=B7)*('Sales Entry'!E5:E504="Grains")*('Sales Entry'!M5:M504))&gt;=SUMPRODUCT(('Sales Entry'!J5:J504=B7)*('Sales Entry'!E5:E504="Dairy")*('Sales Entry'!M5:M504)),"Grains",IF(SUMPRODUCT(('Sales Entry'!J5:J504=B7)*('Sales Entry'!E5:E504="Dairy")*('Sales Entry'!M5:M504))&gt;=SUMPRODUCT(('Sales Entry'!J5:J504=B7)*('Sales Entry'!E5:E504="Bakery")*('Sales Entry'!M5:M504)),"Dairy","Bakery"))</f>
        <v/>
      </c>
      <c r="G7" s="4" t="n"/>
      <c r="H7" s="6">
        <f>C7*0.05</f>
        <v/>
      </c>
      <c r="I7" s="6" t="n"/>
      <c r="J7" s="28">
        <f>IFERROR(C7/I7,0)</f>
        <v/>
      </c>
    </row>
    <row r="8" ht="22" customHeight="1">
      <c r="B8" s="8" t="n"/>
      <c r="C8" s="10">
        <f>SUMPRODUCT(('Sales Entry'!J5:J504=B8)*('Sales Entry'!M5:M504))</f>
        <v/>
      </c>
      <c r="D8" s="9">
        <f>SUMPRODUCT(('Sales Entry'!J5:J504=B8)*1)</f>
        <v/>
      </c>
      <c r="E8" s="10">
        <f>IFERROR(C8/D8,0)</f>
        <v/>
      </c>
      <c r="F8" s="8">
        <f>IF(SUMPRODUCT(('Sales Entry'!J5:J504=B8)*('Sales Entry'!E5:E504="Grains")*('Sales Entry'!M5:M504))&gt;=SUMPRODUCT(('Sales Entry'!J5:J504=B8)*('Sales Entry'!E5:E504="Dairy")*('Sales Entry'!M5:M504)),"Grains",IF(SUMPRODUCT(('Sales Entry'!J5:J504=B8)*('Sales Entry'!E5:E504="Dairy")*('Sales Entry'!M5:M504))&gt;=SUMPRODUCT(('Sales Entry'!J5:J504=B8)*('Sales Entry'!E5:E504="Bakery")*('Sales Entry'!M5:M504)),"Dairy","Bakery"))</f>
        <v/>
      </c>
      <c r="G8" s="8" t="n"/>
      <c r="H8" s="10">
        <f>C8*0.05</f>
        <v/>
      </c>
      <c r="I8" s="10" t="n"/>
      <c r="J8" s="29">
        <f>IFERROR(C8/I8,0)</f>
        <v/>
      </c>
    </row>
    <row r="9" ht="22" customHeight="1">
      <c r="B9" s="4" t="n"/>
      <c r="C9" s="6">
        <f>SUMPRODUCT(('Sales Entry'!J5:J504=B9)*('Sales Entry'!M5:M504))</f>
        <v/>
      </c>
      <c r="D9" s="5">
        <f>SUMPRODUCT(('Sales Entry'!J5:J504=B9)*1)</f>
        <v/>
      </c>
      <c r="E9" s="6">
        <f>IFERROR(C9/D9,0)</f>
        <v/>
      </c>
      <c r="F9" s="4">
        <f>IF(SUMPRODUCT(('Sales Entry'!J5:J504=B9)*('Sales Entry'!E5:E504="Grains")*('Sales Entry'!M5:M504))&gt;=SUMPRODUCT(('Sales Entry'!J5:J504=B9)*('Sales Entry'!E5:E504="Dairy")*('Sales Entry'!M5:M504)),"Grains",IF(SUMPRODUCT(('Sales Entry'!J5:J504=B9)*('Sales Entry'!E5:E504="Dairy")*('Sales Entry'!M5:M504))&gt;=SUMPRODUCT(('Sales Entry'!J5:J504=B9)*('Sales Entry'!E5:E504="Bakery")*('Sales Entry'!M5:M504)),"Dairy","Bakery"))</f>
        <v/>
      </c>
      <c r="G9" s="4" t="n"/>
      <c r="H9" s="6">
        <f>C9*0.05</f>
        <v/>
      </c>
      <c r="I9" s="6" t="n"/>
      <c r="J9" s="28">
        <f>IFERROR(C9/I9,0)</f>
        <v/>
      </c>
    </row>
    <row r="10" ht="22" customHeight="1">
      <c r="B10" s="8" t="n"/>
      <c r="C10" s="10">
        <f>SUMPRODUCT(('Sales Entry'!J5:J504=B10)*('Sales Entry'!M5:M504))</f>
        <v/>
      </c>
      <c r="D10" s="9">
        <f>SUMPRODUCT(('Sales Entry'!J5:J504=B10)*1)</f>
        <v/>
      </c>
      <c r="E10" s="10">
        <f>IFERROR(C10/D10,0)</f>
        <v/>
      </c>
      <c r="F10" s="8">
        <f>IF(SUMPRODUCT(('Sales Entry'!J5:J504=B10)*('Sales Entry'!E5:E504="Grains")*('Sales Entry'!M5:M504))&gt;=SUMPRODUCT(('Sales Entry'!J5:J504=B10)*('Sales Entry'!E5:E504="Dairy")*('Sales Entry'!M5:M504)),"Grains",IF(SUMPRODUCT(('Sales Entry'!J5:J504=B10)*('Sales Entry'!E5:E504="Dairy")*('Sales Entry'!M5:M504))&gt;=SUMPRODUCT(('Sales Entry'!J5:J504=B10)*('Sales Entry'!E5:E504="Bakery")*('Sales Entry'!M5:M504)),"Dairy","Bakery"))</f>
        <v/>
      </c>
      <c r="G10" s="8" t="n"/>
      <c r="H10" s="10">
        <f>C10*0.05</f>
        <v/>
      </c>
      <c r="I10" s="10" t="n"/>
      <c r="J10" s="29">
        <f>IFERROR(C10/I10,0)</f>
        <v/>
      </c>
    </row>
    <row r="11" ht="22" customHeight="1">
      <c r="B11" s="4" t="n"/>
      <c r="C11" s="6">
        <f>SUMPRODUCT(('Sales Entry'!J5:J504=B11)*('Sales Entry'!M5:M504))</f>
        <v/>
      </c>
      <c r="D11" s="5">
        <f>SUMPRODUCT(('Sales Entry'!J5:J504=B11)*1)</f>
        <v/>
      </c>
      <c r="E11" s="6">
        <f>IFERROR(C11/D11,0)</f>
        <v/>
      </c>
      <c r="F11" s="4">
        <f>IF(SUMPRODUCT(('Sales Entry'!J5:J504=B11)*('Sales Entry'!E5:E504="Grains")*('Sales Entry'!M5:M504))&gt;=SUMPRODUCT(('Sales Entry'!J5:J504=B11)*('Sales Entry'!E5:E504="Dairy")*('Sales Entry'!M5:M504)),"Grains",IF(SUMPRODUCT(('Sales Entry'!J5:J504=B11)*('Sales Entry'!E5:E504="Dairy")*('Sales Entry'!M5:M504))&gt;=SUMPRODUCT(('Sales Entry'!J5:J504=B11)*('Sales Entry'!E5:E504="Bakery")*('Sales Entry'!M5:M504)),"Dairy","Bakery"))</f>
        <v/>
      </c>
      <c r="G11" s="4" t="n"/>
      <c r="H11" s="6">
        <f>C11*0.05</f>
        <v/>
      </c>
      <c r="I11" s="6" t="n"/>
      <c r="J11" s="28">
        <f>IFERROR(C11/I11,0)</f>
        <v/>
      </c>
    </row>
    <row r="12" ht="22" customHeight="1">
      <c r="B12" s="8" t="n"/>
      <c r="C12" s="10">
        <f>SUMPRODUCT(('Sales Entry'!J5:J504=B12)*('Sales Entry'!M5:M504))</f>
        <v/>
      </c>
      <c r="D12" s="9">
        <f>SUMPRODUCT(('Sales Entry'!J5:J504=B12)*1)</f>
        <v/>
      </c>
      <c r="E12" s="10">
        <f>IFERROR(C12/D12,0)</f>
        <v/>
      </c>
      <c r="F12" s="8">
        <f>IF(SUMPRODUCT(('Sales Entry'!J5:J504=B12)*('Sales Entry'!E5:E504="Grains")*('Sales Entry'!M5:M504))&gt;=SUMPRODUCT(('Sales Entry'!J5:J504=B12)*('Sales Entry'!E5:E504="Dairy")*('Sales Entry'!M5:M504)),"Grains",IF(SUMPRODUCT(('Sales Entry'!J5:J504=B12)*('Sales Entry'!E5:E504="Dairy")*('Sales Entry'!M5:M504))&gt;=SUMPRODUCT(('Sales Entry'!J5:J504=B12)*('Sales Entry'!E5:E504="Bakery")*('Sales Entry'!M5:M504)),"Dairy","Bakery"))</f>
        <v/>
      </c>
      <c r="G12" s="8" t="n"/>
      <c r="H12" s="10">
        <f>C12*0.05</f>
        <v/>
      </c>
      <c r="I12" s="10" t="n"/>
      <c r="J12" s="29">
        <f>IFERROR(C12/I12,0)</f>
        <v/>
      </c>
    </row>
    <row r="13" ht="22" customHeight="1">
      <c r="B13" s="4" t="n"/>
      <c r="C13" s="6">
        <f>SUMPRODUCT(('Sales Entry'!J5:J504=B13)*('Sales Entry'!M5:M504))</f>
        <v/>
      </c>
      <c r="D13" s="5">
        <f>SUMPRODUCT(('Sales Entry'!J5:J504=B13)*1)</f>
        <v/>
      </c>
      <c r="E13" s="6">
        <f>IFERROR(C13/D13,0)</f>
        <v/>
      </c>
      <c r="F13" s="4">
        <f>IF(SUMPRODUCT(('Sales Entry'!J5:J504=B13)*('Sales Entry'!E5:E504="Grains")*('Sales Entry'!M5:M504))&gt;=SUMPRODUCT(('Sales Entry'!J5:J504=B13)*('Sales Entry'!E5:E504="Dairy")*('Sales Entry'!M5:M504)),"Grains",IF(SUMPRODUCT(('Sales Entry'!J5:J504=B13)*('Sales Entry'!E5:E504="Dairy")*('Sales Entry'!M5:M504))&gt;=SUMPRODUCT(('Sales Entry'!J5:J504=B13)*('Sales Entry'!E5:E504="Bakery")*('Sales Entry'!M5:M504)),"Dairy","Bakery"))</f>
        <v/>
      </c>
      <c r="G13" s="4" t="n"/>
      <c r="H13" s="6">
        <f>C13*0.05</f>
        <v/>
      </c>
      <c r="I13" s="6" t="n"/>
      <c r="J13" s="28">
        <f>IFERROR(C13/I13,0)</f>
        <v/>
      </c>
    </row>
    <row r="14" ht="22" customHeight="1">
      <c r="B14" s="8" t="n"/>
      <c r="C14" s="10">
        <f>SUMPRODUCT(('Sales Entry'!J5:J504=B14)*('Sales Entry'!M5:M504))</f>
        <v/>
      </c>
      <c r="D14" s="9">
        <f>SUMPRODUCT(('Sales Entry'!J5:J504=B14)*1)</f>
        <v/>
      </c>
      <c r="E14" s="10">
        <f>IFERROR(C14/D14,0)</f>
        <v/>
      </c>
      <c r="F14" s="8">
        <f>IF(SUMPRODUCT(('Sales Entry'!J5:J504=B14)*('Sales Entry'!E5:E504="Grains")*('Sales Entry'!M5:M504))&gt;=SUMPRODUCT(('Sales Entry'!J5:J504=B14)*('Sales Entry'!E5:E504="Dairy")*('Sales Entry'!M5:M504)),"Grains",IF(SUMPRODUCT(('Sales Entry'!J5:J504=B14)*('Sales Entry'!E5:E504="Dairy")*('Sales Entry'!M5:M504))&gt;=SUMPRODUCT(('Sales Entry'!J5:J504=B14)*('Sales Entry'!E5:E504="Bakery")*('Sales Entry'!M5:M504)),"Dairy","Bakery"))</f>
        <v/>
      </c>
      <c r="G14" s="8" t="n"/>
      <c r="H14" s="10">
        <f>C14*0.05</f>
        <v/>
      </c>
      <c r="I14" s="10" t="n"/>
      <c r="J14" s="29">
        <f>IFERROR(C14/I14,0)</f>
        <v/>
      </c>
    </row>
    <row r="15" ht="22" customHeight="1">
      <c r="B15" s="4" t="n"/>
      <c r="C15" s="6">
        <f>SUMPRODUCT(('Sales Entry'!J5:J504=B15)*('Sales Entry'!M5:M504))</f>
        <v/>
      </c>
      <c r="D15" s="5">
        <f>SUMPRODUCT(('Sales Entry'!J5:J504=B15)*1)</f>
        <v/>
      </c>
      <c r="E15" s="6">
        <f>IFERROR(C15/D15,0)</f>
        <v/>
      </c>
      <c r="F15" s="4">
        <f>IF(SUMPRODUCT(('Sales Entry'!J5:J504=B15)*('Sales Entry'!E5:E504="Grains")*('Sales Entry'!M5:M504))&gt;=SUMPRODUCT(('Sales Entry'!J5:J504=B15)*('Sales Entry'!E5:E504="Dairy")*('Sales Entry'!M5:M504)),"Grains",IF(SUMPRODUCT(('Sales Entry'!J5:J504=B15)*('Sales Entry'!E5:E504="Dairy")*('Sales Entry'!M5:M504))&gt;=SUMPRODUCT(('Sales Entry'!J5:J504=B15)*('Sales Entry'!E5:E504="Bakery")*('Sales Entry'!M5:M504)),"Dairy","Bakery"))</f>
        <v/>
      </c>
      <c r="G15" s="4" t="n"/>
      <c r="H15" s="6">
        <f>C15*0.05</f>
        <v/>
      </c>
      <c r="I15" s="6" t="n"/>
      <c r="J15" s="28">
        <f>IFERROR(C15/I15,0)</f>
        <v/>
      </c>
    </row>
    <row r="16" ht="22" customHeight="1">
      <c r="B16" s="8" t="n"/>
      <c r="C16" s="10">
        <f>SUMPRODUCT(('Sales Entry'!J5:J504=B16)*('Sales Entry'!M5:M504))</f>
        <v/>
      </c>
      <c r="D16" s="9">
        <f>SUMPRODUCT(('Sales Entry'!J5:J504=B16)*1)</f>
        <v/>
      </c>
      <c r="E16" s="10">
        <f>IFERROR(C16/D16,0)</f>
        <v/>
      </c>
      <c r="F16" s="8">
        <f>IF(SUMPRODUCT(('Sales Entry'!J5:J504=B16)*('Sales Entry'!E5:E504="Grains")*('Sales Entry'!M5:M504))&gt;=SUMPRODUCT(('Sales Entry'!J5:J504=B16)*('Sales Entry'!E5:E504="Dairy")*('Sales Entry'!M5:M504)),"Grains",IF(SUMPRODUCT(('Sales Entry'!J5:J504=B16)*('Sales Entry'!E5:E504="Dairy")*('Sales Entry'!M5:M504))&gt;=SUMPRODUCT(('Sales Entry'!J5:J504=B16)*('Sales Entry'!E5:E504="Bakery")*('Sales Entry'!M5:M504)),"Dairy","Bakery"))</f>
        <v/>
      </c>
      <c r="G16" s="8" t="n"/>
      <c r="H16" s="10">
        <f>C16*0.05</f>
        <v/>
      </c>
      <c r="I16" s="10" t="n"/>
      <c r="J16" s="29">
        <f>IFERROR(C16/I16,0)</f>
        <v/>
      </c>
    </row>
    <row r="17" ht="22" customHeight="1">
      <c r="B17" s="4" t="n"/>
      <c r="C17" s="6">
        <f>SUMPRODUCT(('Sales Entry'!J5:J504=B17)*('Sales Entry'!M5:M504))</f>
        <v/>
      </c>
      <c r="D17" s="5">
        <f>SUMPRODUCT(('Sales Entry'!J5:J504=B17)*1)</f>
        <v/>
      </c>
      <c r="E17" s="6">
        <f>IFERROR(C17/D17,0)</f>
        <v/>
      </c>
      <c r="F17" s="4">
        <f>IF(SUMPRODUCT(('Sales Entry'!J5:J504=B17)*('Sales Entry'!E5:E504="Grains")*('Sales Entry'!M5:M504))&gt;=SUMPRODUCT(('Sales Entry'!J5:J504=B17)*('Sales Entry'!E5:E504="Dairy")*('Sales Entry'!M5:M504)),"Grains",IF(SUMPRODUCT(('Sales Entry'!J5:J504=B17)*('Sales Entry'!E5:E504="Dairy")*('Sales Entry'!M5:M504))&gt;=SUMPRODUCT(('Sales Entry'!J5:J504=B17)*('Sales Entry'!E5:E504="Bakery")*('Sales Entry'!M5:M504)),"Dairy","Bakery"))</f>
        <v/>
      </c>
      <c r="G17" s="4" t="n"/>
      <c r="H17" s="6">
        <f>C17*0.05</f>
        <v/>
      </c>
      <c r="I17" s="6" t="n"/>
      <c r="J17" s="28">
        <f>IFERROR(C17/I17,0)</f>
        <v/>
      </c>
    </row>
    <row r="18" ht="22" customHeight="1">
      <c r="B18" s="8" t="n"/>
      <c r="C18" s="10">
        <f>SUMPRODUCT(('Sales Entry'!J5:J504=B18)*('Sales Entry'!M5:M504))</f>
        <v/>
      </c>
      <c r="D18" s="9">
        <f>SUMPRODUCT(('Sales Entry'!J5:J504=B18)*1)</f>
        <v/>
      </c>
      <c r="E18" s="10">
        <f>IFERROR(C18/D18,0)</f>
        <v/>
      </c>
      <c r="F18" s="8">
        <f>IF(SUMPRODUCT(('Sales Entry'!J5:J504=B18)*('Sales Entry'!E5:E504="Grains")*('Sales Entry'!M5:M504))&gt;=SUMPRODUCT(('Sales Entry'!J5:J504=B18)*('Sales Entry'!E5:E504="Dairy")*('Sales Entry'!M5:M504)),"Grains",IF(SUMPRODUCT(('Sales Entry'!J5:J504=B18)*('Sales Entry'!E5:E504="Dairy")*('Sales Entry'!M5:M504))&gt;=SUMPRODUCT(('Sales Entry'!J5:J504=B18)*('Sales Entry'!E5:E504="Bakery")*('Sales Entry'!M5:M504)),"Dairy","Bakery"))</f>
        <v/>
      </c>
      <c r="G18" s="8" t="n"/>
      <c r="H18" s="10">
        <f>C18*0.05</f>
        <v/>
      </c>
      <c r="I18" s="10" t="n"/>
      <c r="J18" s="29">
        <f>IFERROR(C18/I18,0)</f>
        <v/>
      </c>
    </row>
    <row r="19" ht="22" customHeight="1">
      <c r="B19" s="4" t="n"/>
      <c r="C19" s="6">
        <f>SUMPRODUCT(('Sales Entry'!J5:J504=B19)*('Sales Entry'!M5:M504))</f>
        <v/>
      </c>
      <c r="D19" s="5">
        <f>SUMPRODUCT(('Sales Entry'!J5:J504=B19)*1)</f>
        <v/>
      </c>
      <c r="E19" s="6">
        <f>IFERROR(C19/D19,0)</f>
        <v/>
      </c>
      <c r="F19" s="4">
        <f>IF(SUMPRODUCT(('Sales Entry'!J5:J504=B19)*('Sales Entry'!E5:E504="Grains")*('Sales Entry'!M5:M504))&gt;=SUMPRODUCT(('Sales Entry'!J5:J504=B19)*('Sales Entry'!E5:E504="Dairy")*('Sales Entry'!M5:M504)),"Grains",IF(SUMPRODUCT(('Sales Entry'!J5:J504=B19)*('Sales Entry'!E5:E504="Dairy")*('Sales Entry'!M5:M504))&gt;=SUMPRODUCT(('Sales Entry'!J5:J504=B19)*('Sales Entry'!E5:E504="Bakery")*('Sales Entry'!M5:M504)),"Dairy","Bakery"))</f>
        <v/>
      </c>
      <c r="G19" s="4" t="n"/>
      <c r="H19" s="6">
        <f>C19*0.05</f>
        <v/>
      </c>
      <c r="I19" s="6" t="n"/>
      <c r="J19" s="28">
        <f>IFERROR(C19/I19,0)</f>
        <v/>
      </c>
    </row>
    <row r="20" ht="22" customHeight="1">
      <c r="B20" s="8" t="n"/>
      <c r="C20" s="10">
        <f>SUMPRODUCT(('Sales Entry'!J5:J504=B20)*('Sales Entry'!M5:M504))</f>
        <v/>
      </c>
      <c r="D20" s="9">
        <f>SUMPRODUCT(('Sales Entry'!J5:J504=B20)*1)</f>
        <v/>
      </c>
      <c r="E20" s="10">
        <f>IFERROR(C20/D20,0)</f>
        <v/>
      </c>
      <c r="F20" s="8">
        <f>IF(SUMPRODUCT(('Sales Entry'!J5:J504=B20)*('Sales Entry'!E5:E504="Grains")*('Sales Entry'!M5:M504))&gt;=SUMPRODUCT(('Sales Entry'!J5:J504=B20)*('Sales Entry'!E5:E504="Dairy")*('Sales Entry'!M5:M504)),"Grains",IF(SUMPRODUCT(('Sales Entry'!J5:J504=B20)*('Sales Entry'!E5:E504="Dairy")*('Sales Entry'!M5:M504))&gt;=SUMPRODUCT(('Sales Entry'!J5:J504=B20)*('Sales Entry'!E5:E504="Bakery")*('Sales Entry'!M5:M504)),"Dairy","Bakery"))</f>
        <v/>
      </c>
      <c r="G20" s="8" t="n"/>
      <c r="H20" s="10">
        <f>C20*0.05</f>
        <v/>
      </c>
      <c r="I20" s="10" t="n"/>
      <c r="J20" s="29">
        <f>IFERROR(C20/I20,0)</f>
        <v/>
      </c>
    </row>
    <row r="21" ht="22" customHeight="1">
      <c r="B21" s="4" t="n"/>
      <c r="C21" s="6">
        <f>SUMPRODUCT(('Sales Entry'!J5:J504=B21)*('Sales Entry'!M5:M504))</f>
        <v/>
      </c>
      <c r="D21" s="5">
        <f>SUMPRODUCT(('Sales Entry'!J5:J504=B21)*1)</f>
        <v/>
      </c>
      <c r="E21" s="6">
        <f>IFERROR(C21/D21,0)</f>
        <v/>
      </c>
      <c r="F21" s="4">
        <f>IF(SUMPRODUCT(('Sales Entry'!J5:J504=B21)*('Sales Entry'!E5:E504="Grains")*('Sales Entry'!M5:M504))&gt;=SUMPRODUCT(('Sales Entry'!J5:J504=B21)*('Sales Entry'!E5:E504="Dairy")*('Sales Entry'!M5:M504)),"Grains",IF(SUMPRODUCT(('Sales Entry'!J5:J504=B21)*('Sales Entry'!E5:E504="Dairy")*('Sales Entry'!M5:M504))&gt;=SUMPRODUCT(('Sales Entry'!J5:J504=B21)*('Sales Entry'!E5:E504="Bakery")*('Sales Entry'!M5:M504)),"Dairy","Bakery"))</f>
        <v/>
      </c>
      <c r="G21" s="4" t="n"/>
      <c r="H21" s="6">
        <f>C21*0.05</f>
        <v/>
      </c>
      <c r="I21" s="6" t="n"/>
      <c r="J21" s="28">
        <f>IFERROR(C21/I21,0)</f>
        <v/>
      </c>
    </row>
    <row r="22" ht="22" customHeight="1">
      <c r="B22" s="8" t="n"/>
      <c r="C22" s="10">
        <f>SUMPRODUCT(('Sales Entry'!J5:J504=B22)*('Sales Entry'!M5:M504))</f>
        <v/>
      </c>
      <c r="D22" s="9">
        <f>SUMPRODUCT(('Sales Entry'!J5:J504=B22)*1)</f>
        <v/>
      </c>
      <c r="E22" s="10">
        <f>IFERROR(C22/D22,0)</f>
        <v/>
      </c>
      <c r="F22" s="8">
        <f>IF(SUMPRODUCT(('Sales Entry'!J5:J504=B22)*('Sales Entry'!E5:E504="Grains")*('Sales Entry'!M5:M504))&gt;=SUMPRODUCT(('Sales Entry'!J5:J504=B22)*('Sales Entry'!E5:E504="Dairy")*('Sales Entry'!M5:M504)),"Grains",IF(SUMPRODUCT(('Sales Entry'!J5:J504=B22)*('Sales Entry'!E5:E504="Dairy")*('Sales Entry'!M5:M504))&gt;=SUMPRODUCT(('Sales Entry'!J5:J504=B22)*('Sales Entry'!E5:E504="Bakery")*('Sales Entry'!M5:M504)),"Dairy","Bakery"))</f>
        <v/>
      </c>
      <c r="G22" s="8" t="n"/>
      <c r="H22" s="10">
        <f>C22*0.05</f>
        <v/>
      </c>
      <c r="I22" s="10" t="n"/>
      <c r="J22" s="29">
        <f>IFERROR(C22/I22,0)</f>
        <v/>
      </c>
    </row>
    <row r="23" ht="22" customHeight="1">
      <c r="B23" s="4" t="n"/>
      <c r="C23" s="6">
        <f>SUMPRODUCT(('Sales Entry'!J5:J504=B23)*('Sales Entry'!M5:M504))</f>
        <v/>
      </c>
      <c r="D23" s="5">
        <f>SUMPRODUCT(('Sales Entry'!J5:J504=B23)*1)</f>
        <v/>
      </c>
      <c r="E23" s="6">
        <f>IFERROR(C23/D23,0)</f>
        <v/>
      </c>
      <c r="F23" s="4">
        <f>IF(SUMPRODUCT(('Sales Entry'!J5:J504=B23)*('Sales Entry'!E5:E504="Grains")*('Sales Entry'!M5:M504))&gt;=SUMPRODUCT(('Sales Entry'!J5:J504=B23)*('Sales Entry'!E5:E504="Dairy")*('Sales Entry'!M5:M504)),"Grains",IF(SUMPRODUCT(('Sales Entry'!J5:J504=B23)*('Sales Entry'!E5:E504="Dairy")*('Sales Entry'!M5:M504))&gt;=SUMPRODUCT(('Sales Entry'!J5:J504=B23)*('Sales Entry'!E5:E504="Bakery")*('Sales Entry'!M5:M504)),"Dairy","Bakery"))</f>
        <v/>
      </c>
      <c r="G23" s="4" t="n"/>
      <c r="H23" s="6">
        <f>C23*0.05</f>
        <v/>
      </c>
      <c r="I23" s="6" t="n"/>
      <c r="J23" s="28">
        <f>IFERROR(C23/I23,0)</f>
        <v/>
      </c>
    </row>
    <row r="24" ht="22" customHeight="1">
      <c r="B24" s="8" t="n"/>
      <c r="C24" s="10">
        <f>SUMPRODUCT(('Sales Entry'!J5:J504=B24)*('Sales Entry'!M5:M504))</f>
        <v/>
      </c>
      <c r="D24" s="9">
        <f>SUMPRODUCT(('Sales Entry'!J5:J504=B24)*1)</f>
        <v/>
      </c>
      <c r="E24" s="10">
        <f>IFERROR(C24/D24,0)</f>
        <v/>
      </c>
      <c r="F24" s="8">
        <f>IF(SUMPRODUCT(('Sales Entry'!J5:J504=B24)*('Sales Entry'!E5:E504="Grains")*('Sales Entry'!M5:M504))&gt;=SUMPRODUCT(('Sales Entry'!J5:J504=B24)*('Sales Entry'!E5:E504="Dairy")*('Sales Entry'!M5:M504)),"Grains",IF(SUMPRODUCT(('Sales Entry'!J5:J504=B24)*('Sales Entry'!E5:E504="Dairy")*('Sales Entry'!M5:M504))&gt;=SUMPRODUCT(('Sales Entry'!J5:J504=B24)*('Sales Entry'!E5:E504="Bakery")*('Sales Entry'!M5:M504)),"Dairy","Bakery"))</f>
        <v/>
      </c>
      <c r="G24" s="8" t="n"/>
      <c r="H24" s="10">
        <f>C24*0.05</f>
        <v/>
      </c>
      <c r="I24" s="10" t="n"/>
      <c r="J24" s="29">
        <f>IFERROR(C24/I24,0)</f>
        <v/>
      </c>
    </row>
    <row r="25" ht="22" customHeight="1">
      <c r="B25" s="4" t="n"/>
      <c r="C25" s="6">
        <f>SUMPRODUCT(('Sales Entry'!J5:J504=B25)*('Sales Entry'!M5:M504))</f>
        <v/>
      </c>
      <c r="D25" s="5">
        <f>SUMPRODUCT(('Sales Entry'!J5:J504=B25)*1)</f>
        <v/>
      </c>
      <c r="E25" s="6">
        <f>IFERROR(C25/D25,0)</f>
        <v/>
      </c>
      <c r="F25" s="4">
        <f>IF(SUMPRODUCT(('Sales Entry'!J5:J504=B25)*('Sales Entry'!E5:E504="Grains")*('Sales Entry'!M5:M504))&gt;=SUMPRODUCT(('Sales Entry'!J5:J504=B25)*('Sales Entry'!E5:E504="Dairy")*('Sales Entry'!M5:M504)),"Grains",IF(SUMPRODUCT(('Sales Entry'!J5:J504=B25)*('Sales Entry'!E5:E504="Dairy")*('Sales Entry'!M5:M504))&gt;=SUMPRODUCT(('Sales Entry'!J5:J504=B25)*('Sales Entry'!E5:E504="Bakery")*('Sales Entry'!M5:M504)),"Dairy","Bakery"))</f>
        <v/>
      </c>
      <c r="G25" s="4" t="n"/>
      <c r="H25" s="6">
        <f>C25*0.05</f>
        <v/>
      </c>
      <c r="I25" s="6" t="n"/>
      <c r="J25" s="28">
        <f>IFERROR(C25/I25,0)</f>
        <v/>
      </c>
    </row>
    <row r="26" ht="22" customHeight="1">
      <c r="B26" s="8" t="n"/>
      <c r="C26" s="10">
        <f>SUMPRODUCT(('Sales Entry'!J5:J504=B26)*('Sales Entry'!M5:M504))</f>
        <v/>
      </c>
      <c r="D26" s="9">
        <f>SUMPRODUCT(('Sales Entry'!J5:J504=B26)*1)</f>
        <v/>
      </c>
      <c r="E26" s="10">
        <f>IFERROR(C26/D26,0)</f>
        <v/>
      </c>
      <c r="F26" s="8">
        <f>IF(SUMPRODUCT(('Sales Entry'!J5:J504=B26)*('Sales Entry'!E5:E504="Grains")*('Sales Entry'!M5:M504))&gt;=SUMPRODUCT(('Sales Entry'!J5:J504=B26)*('Sales Entry'!E5:E504="Dairy")*('Sales Entry'!M5:M504)),"Grains",IF(SUMPRODUCT(('Sales Entry'!J5:J504=B26)*('Sales Entry'!E5:E504="Dairy")*('Sales Entry'!M5:M504))&gt;=SUMPRODUCT(('Sales Entry'!J5:J504=B26)*('Sales Entry'!E5:E504="Bakery")*('Sales Entry'!M5:M504)),"Dairy","Bakery"))</f>
        <v/>
      </c>
      <c r="G26" s="8" t="n"/>
      <c r="H26" s="10">
        <f>C26*0.05</f>
        <v/>
      </c>
      <c r="I26" s="10" t="n"/>
      <c r="J26" s="29">
        <f>IFERROR(C26/I26,0)</f>
        <v/>
      </c>
    </row>
    <row r="27" ht="22" customHeight="1">
      <c r="B27" s="4" t="n"/>
      <c r="C27" s="6">
        <f>SUMPRODUCT(('Sales Entry'!J5:J504=B27)*('Sales Entry'!M5:M504))</f>
        <v/>
      </c>
      <c r="D27" s="5">
        <f>SUMPRODUCT(('Sales Entry'!J5:J504=B27)*1)</f>
        <v/>
      </c>
      <c r="E27" s="6">
        <f>IFERROR(C27/D27,0)</f>
        <v/>
      </c>
      <c r="F27" s="4">
        <f>IF(SUMPRODUCT(('Sales Entry'!J5:J504=B27)*('Sales Entry'!E5:E504="Grains")*('Sales Entry'!M5:M504))&gt;=SUMPRODUCT(('Sales Entry'!J5:J504=B27)*('Sales Entry'!E5:E504="Dairy")*('Sales Entry'!M5:M504)),"Grains",IF(SUMPRODUCT(('Sales Entry'!J5:J504=B27)*('Sales Entry'!E5:E504="Dairy")*('Sales Entry'!M5:M504))&gt;=SUMPRODUCT(('Sales Entry'!J5:J504=B27)*('Sales Entry'!E5:E504="Bakery")*('Sales Entry'!M5:M504)),"Dairy","Bakery"))</f>
        <v/>
      </c>
      <c r="G27" s="4" t="n"/>
      <c r="H27" s="6">
        <f>C27*0.05</f>
        <v/>
      </c>
      <c r="I27" s="6" t="n"/>
      <c r="J27" s="28">
        <f>IFERROR(C27/I27,0)</f>
        <v/>
      </c>
    </row>
    <row r="28" ht="22" customHeight="1">
      <c r="B28" s="8" t="n"/>
      <c r="C28" s="10">
        <f>SUMPRODUCT(('Sales Entry'!J5:J504=B28)*('Sales Entry'!M5:M504))</f>
        <v/>
      </c>
      <c r="D28" s="9">
        <f>SUMPRODUCT(('Sales Entry'!J5:J504=B28)*1)</f>
        <v/>
      </c>
      <c r="E28" s="10">
        <f>IFERROR(C28/D28,0)</f>
        <v/>
      </c>
      <c r="F28" s="8">
        <f>IF(SUMPRODUCT(('Sales Entry'!J5:J504=B28)*('Sales Entry'!E5:E504="Grains")*('Sales Entry'!M5:M504))&gt;=SUMPRODUCT(('Sales Entry'!J5:J504=B28)*('Sales Entry'!E5:E504="Dairy")*('Sales Entry'!M5:M504)),"Grains",IF(SUMPRODUCT(('Sales Entry'!J5:J504=B28)*('Sales Entry'!E5:E504="Dairy")*('Sales Entry'!M5:M504))&gt;=SUMPRODUCT(('Sales Entry'!J5:J504=B28)*('Sales Entry'!E5:E504="Bakery")*('Sales Entry'!M5:M504)),"Dairy","Bakery"))</f>
        <v/>
      </c>
      <c r="G28" s="8" t="n"/>
      <c r="H28" s="10">
        <f>C28*0.05</f>
        <v/>
      </c>
      <c r="I28" s="10" t="n"/>
      <c r="J28" s="29">
        <f>IFERROR(C28/I28,0)</f>
        <v/>
      </c>
    </row>
    <row r="29" ht="22" customHeight="1">
      <c r="B29" s="4" t="n"/>
      <c r="C29" s="6">
        <f>SUMPRODUCT(('Sales Entry'!J5:J504=B29)*('Sales Entry'!M5:M504))</f>
        <v/>
      </c>
      <c r="D29" s="5">
        <f>SUMPRODUCT(('Sales Entry'!J5:J504=B29)*1)</f>
        <v/>
      </c>
      <c r="E29" s="6">
        <f>IFERROR(C29/D29,0)</f>
        <v/>
      </c>
      <c r="F29" s="4">
        <f>IF(SUMPRODUCT(('Sales Entry'!J5:J504=B29)*('Sales Entry'!E5:E504="Grains")*('Sales Entry'!M5:M504))&gt;=SUMPRODUCT(('Sales Entry'!J5:J504=B29)*('Sales Entry'!E5:E504="Dairy")*('Sales Entry'!M5:M504)),"Grains",IF(SUMPRODUCT(('Sales Entry'!J5:J504=B29)*('Sales Entry'!E5:E504="Dairy")*('Sales Entry'!M5:M504))&gt;=SUMPRODUCT(('Sales Entry'!J5:J504=B29)*('Sales Entry'!E5:E504="Bakery")*('Sales Entry'!M5:M504)),"Dairy","Bakery"))</f>
        <v/>
      </c>
      <c r="G29" s="4" t="n"/>
      <c r="H29" s="6">
        <f>C29*0.05</f>
        <v/>
      </c>
      <c r="I29" s="6" t="n"/>
      <c r="J29" s="28">
        <f>IFERROR(C29/I29,0)</f>
        <v/>
      </c>
    </row>
    <row r="30" ht="26" customHeight="1">
      <c r="B30" s="11" t="inlineStr">
        <is>
          <t>TOTAL</t>
        </is>
      </c>
      <c r="C30" s="14">
        <f>SUM(C5:C29)</f>
        <v/>
      </c>
      <c r="D30" s="13">
        <f>SUM(D5:D29)</f>
        <v/>
      </c>
      <c r="E30" s="14">
        <f>IFERROR(C30/D30,0)</f>
        <v/>
      </c>
      <c r="F30" s="12" t="n"/>
      <c r="G30" s="12" t="n"/>
      <c r="H30" s="14">
        <f>SUM(H5:H29)</f>
        <v/>
      </c>
      <c r="I30" s="12" t="n"/>
      <c r="J30" s="12" t="n"/>
    </row>
  </sheetData>
  <mergeCells count="1">
    <mergeCell ref="B2:J2"/>
  </mergeCells>
  <conditionalFormatting sqref="J5:J29">
    <cfRule type="cellIs" priority="1" operator="greaterThan" dxfId="1">
      <formula>1</formula>
    </cfRule>
    <cfRule type="cellIs" priority="2" operator="between" dxfId="2">
      <formula>0.8</formula>
      <formula>1</formula>
    </cfRule>
    <cfRule type="cellIs" priority="3" operator="lessThan" dxfId="0">
      <formula>0.8</formula>
    </cfRule>
  </conditionalFormatting>
  <conditionalFormatting sqref="C5:C29">
    <cfRule type="dataBar" priority="4">
      <dataBar>
        <cfvo type="min"/>
        <cfvo type="max"/>
        <color rgb="00D6E0EB"/>
      </dataBar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D1B2A"/>
    <outlinePr summaryBelow="1" summaryRight="1"/>
    <pageSetUpPr/>
  </sheetPr>
  <dimension ref="B2:I3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8" customWidth="1" min="3" max="3"/>
    <col width="24" customWidth="1" min="4" max="4"/>
    <col width="14" customWidth="1" min="5" max="5"/>
    <col width="16" customWidth="1" min="6" max="6"/>
    <col width="18" customWidth="1" min="7" max="7"/>
    <col width="14" customWidth="1" min="8" max="8"/>
    <col width="20" customWidth="1" min="9" max="9"/>
  </cols>
  <sheetData>
    <row r="1" ht="15" customHeight="1"/>
    <row r="2" ht="32" customHeight="1">
      <c r="B2" s="1" t="inlineStr">
        <is>
          <t>Expenses — Expense Tracking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Expense Category</t>
        </is>
      </c>
      <c r="D4" s="2" t="inlineStr">
        <is>
          <t>Description</t>
        </is>
      </c>
      <c r="E4" s="2" t="inlineStr">
        <is>
          <t>Amount</t>
        </is>
      </c>
      <c r="F4" s="2" t="inlineStr">
        <is>
          <t>Payment Method</t>
        </is>
      </c>
      <c r="G4" s="2" t="inlineStr">
        <is>
          <t>Vendor</t>
        </is>
      </c>
      <c r="H4" s="2" t="inlineStr">
        <is>
          <t>Receipt #</t>
        </is>
      </c>
      <c r="I4" s="2" t="inlineStr">
        <is>
          <t>Notes</t>
        </is>
      </c>
    </row>
    <row r="5" ht="22" customHeight="1">
      <c r="B5" s="3" t="n"/>
      <c r="C5" s="4" t="n"/>
      <c r="D5" s="4" t="n"/>
      <c r="E5" s="6" t="n"/>
      <c r="F5" s="4" t="n"/>
      <c r="G5" s="4" t="n"/>
      <c r="H5" s="4" t="n"/>
      <c r="I5" s="4" t="n"/>
    </row>
    <row r="6" ht="22" customHeight="1">
      <c r="B6" s="7" t="n"/>
      <c r="C6" s="8" t="n"/>
      <c r="D6" s="8" t="n"/>
      <c r="E6" s="10" t="n"/>
      <c r="F6" s="8" t="n"/>
      <c r="G6" s="8" t="n"/>
      <c r="H6" s="8" t="n"/>
      <c r="I6" s="8" t="n"/>
    </row>
    <row r="7" ht="22" customHeight="1">
      <c r="B7" s="3" t="n"/>
      <c r="C7" s="4" t="n"/>
      <c r="D7" s="4" t="n"/>
      <c r="E7" s="6" t="n"/>
      <c r="F7" s="4" t="n"/>
      <c r="G7" s="4" t="n"/>
      <c r="H7" s="4" t="n"/>
      <c r="I7" s="4" t="n"/>
    </row>
    <row r="8" ht="22" customHeight="1">
      <c r="B8" s="7" t="n"/>
      <c r="C8" s="8" t="n"/>
      <c r="D8" s="8" t="n"/>
      <c r="E8" s="10" t="n"/>
      <c r="F8" s="8" t="n"/>
      <c r="G8" s="8" t="n"/>
      <c r="H8" s="8" t="n"/>
      <c r="I8" s="8" t="n"/>
    </row>
    <row r="9" ht="22" customHeight="1">
      <c r="B9" s="3" t="n"/>
      <c r="C9" s="4" t="n"/>
      <c r="D9" s="4" t="n"/>
      <c r="E9" s="6" t="n"/>
      <c r="F9" s="4" t="n"/>
      <c r="G9" s="4" t="n"/>
      <c r="H9" s="4" t="n"/>
      <c r="I9" s="4" t="n"/>
    </row>
    <row r="10" ht="22" customHeight="1">
      <c r="B10" s="7" t="n"/>
      <c r="C10" s="8" t="n"/>
      <c r="D10" s="8" t="n"/>
      <c r="E10" s="10" t="n"/>
      <c r="F10" s="8" t="n"/>
      <c r="G10" s="8" t="n"/>
      <c r="H10" s="8" t="n"/>
      <c r="I10" s="8" t="n"/>
    </row>
    <row r="11" ht="22" customHeight="1">
      <c r="B11" s="3" t="n"/>
      <c r="C11" s="4" t="n"/>
      <c r="D11" s="4" t="n"/>
      <c r="E11" s="6" t="n"/>
      <c r="F11" s="4" t="n"/>
      <c r="G11" s="4" t="n"/>
      <c r="H11" s="4" t="n"/>
      <c r="I11" s="4" t="n"/>
    </row>
    <row r="12" ht="22" customHeight="1">
      <c r="B12" s="7" t="n"/>
      <c r="C12" s="8" t="n"/>
      <c r="D12" s="8" t="n"/>
      <c r="E12" s="10" t="n"/>
      <c r="F12" s="8" t="n"/>
      <c r="G12" s="8" t="n"/>
      <c r="H12" s="8" t="n"/>
      <c r="I12" s="8" t="n"/>
    </row>
    <row r="13" ht="22" customHeight="1">
      <c r="B13" s="3" t="n"/>
      <c r="C13" s="4" t="n"/>
      <c r="D13" s="4" t="n"/>
      <c r="E13" s="6" t="n"/>
      <c r="F13" s="4" t="n"/>
      <c r="G13" s="4" t="n"/>
      <c r="H13" s="4" t="n"/>
      <c r="I13" s="4" t="n"/>
    </row>
    <row r="14" ht="22" customHeight="1">
      <c r="B14" s="7" t="n"/>
      <c r="C14" s="8" t="n"/>
      <c r="D14" s="8" t="n"/>
      <c r="E14" s="10" t="n"/>
      <c r="F14" s="8" t="n"/>
      <c r="G14" s="8" t="n"/>
      <c r="H14" s="8" t="n"/>
      <c r="I14" s="8" t="n"/>
    </row>
    <row r="15" ht="22" customHeight="1">
      <c r="B15" s="3" t="n"/>
      <c r="C15" s="4" t="n"/>
      <c r="D15" s="4" t="n"/>
      <c r="E15" s="6" t="n"/>
      <c r="F15" s="4" t="n"/>
      <c r="G15" s="4" t="n"/>
      <c r="H15" s="4" t="n"/>
      <c r="I15" s="4" t="n"/>
    </row>
    <row r="16" ht="22" customHeight="1">
      <c r="B16" s="7" t="n"/>
      <c r="C16" s="8" t="n"/>
      <c r="D16" s="8" t="n"/>
      <c r="E16" s="10" t="n"/>
      <c r="F16" s="8" t="n"/>
      <c r="G16" s="8" t="n"/>
      <c r="H16" s="8" t="n"/>
      <c r="I16" s="8" t="n"/>
    </row>
    <row r="17" ht="22" customHeight="1">
      <c r="B17" s="3" t="n"/>
      <c r="C17" s="4" t="n"/>
      <c r="D17" s="4" t="n"/>
      <c r="E17" s="6" t="n"/>
      <c r="F17" s="4" t="n"/>
      <c r="G17" s="4" t="n"/>
      <c r="H17" s="4" t="n"/>
      <c r="I17" s="4" t="n"/>
    </row>
    <row r="18" ht="22" customHeight="1">
      <c r="B18" s="7" t="n"/>
      <c r="C18" s="8" t="n"/>
      <c r="D18" s="8" t="n"/>
      <c r="E18" s="10" t="n"/>
      <c r="F18" s="8" t="n"/>
      <c r="G18" s="8" t="n"/>
      <c r="H18" s="8" t="n"/>
      <c r="I18" s="8" t="n"/>
    </row>
    <row r="19" ht="22" customHeight="1">
      <c r="B19" s="3" t="n"/>
      <c r="C19" s="4" t="n"/>
      <c r="D19" s="4" t="n"/>
      <c r="E19" s="6" t="n"/>
      <c r="F19" s="4" t="n"/>
      <c r="G19" s="4" t="n"/>
      <c r="H19" s="4" t="n"/>
      <c r="I19" s="4" t="n"/>
    </row>
    <row r="20" ht="22" customHeight="1">
      <c r="B20" s="7" t="n"/>
      <c r="C20" s="8" t="n"/>
      <c r="D20" s="8" t="n"/>
      <c r="E20" s="10" t="n"/>
      <c r="F20" s="8" t="n"/>
      <c r="G20" s="8" t="n"/>
      <c r="H20" s="8" t="n"/>
      <c r="I20" s="8" t="n"/>
    </row>
    <row r="21" ht="22" customHeight="1">
      <c r="B21" s="3" t="n"/>
      <c r="C21" s="4" t="n"/>
      <c r="D21" s="4" t="n"/>
      <c r="E21" s="6" t="n"/>
      <c r="F21" s="4" t="n"/>
      <c r="G21" s="4" t="n"/>
      <c r="H21" s="4" t="n"/>
      <c r="I21" s="4" t="n"/>
    </row>
    <row r="22" ht="22" customHeight="1">
      <c r="B22" s="7" t="n"/>
      <c r="C22" s="8" t="n"/>
      <c r="D22" s="8" t="n"/>
      <c r="E22" s="10" t="n"/>
      <c r="F22" s="8" t="n"/>
      <c r="G22" s="8" t="n"/>
      <c r="H22" s="8" t="n"/>
      <c r="I22" s="8" t="n"/>
    </row>
    <row r="23" ht="22" customHeight="1">
      <c r="B23" s="3" t="n"/>
      <c r="C23" s="4" t="n"/>
      <c r="D23" s="4" t="n"/>
      <c r="E23" s="6" t="n"/>
      <c r="F23" s="4" t="n"/>
      <c r="G23" s="4" t="n"/>
      <c r="H23" s="4" t="n"/>
      <c r="I23" s="4" t="n"/>
    </row>
    <row r="24" ht="22" customHeight="1">
      <c r="B24" s="7" t="n"/>
      <c r="C24" s="8" t="n"/>
      <c r="D24" s="8" t="n"/>
      <c r="E24" s="10" t="n"/>
      <c r="F24" s="8" t="n"/>
      <c r="G24" s="8" t="n"/>
      <c r="H24" s="8" t="n"/>
      <c r="I24" s="8" t="n"/>
    </row>
    <row r="25" ht="22" customHeight="1">
      <c r="B25" s="3" t="n"/>
      <c r="C25" s="4" t="n"/>
      <c r="D25" s="4" t="n"/>
      <c r="E25" s="6" t="n"/>
      <c r="F25" s="4" t="n"/>
      <c r="G25" s="4" t="n"/>
      <c r="H25" s="4" t="n"/>
      <c r="I25" s="4" t="n"/>
    </row>
    <row r="26" ht="22" customHeight="1">
      <c r="B26" s="7" t="n"/>
      <c r="C26" s="8" t="n"/>
      <c r="D26" s="8" t="n"/>
      <c r="E26" s="10" t="n"/>
      <c r="F26" s="8" t="n"/>
      <c r="G26" s="8" t="n"/>
      <c r="H26" s="8" t="n"/>
      <c r="I26" s="8" t="n"/>
    </row>
    <row r="27" ht="22" customHeight="1">
      <c r="B27" s="3" t="n"/>
      <c r="C27" s="4" t="n"/>
      <c r="D27" s="4" t="n"/>
      <c r="E27" s="6" t="n"/>
      <c r="F27" s="4" t="n"/>
      <c r="G27" s="4" t="n"/>
      <c r="H27" s="4" t="n"/>
      <c r="I27" s="4" t="n"/>
    </row>
    <row r="28" ht="22" customHeight="1">
      <c r="B28" s="7" t="n"/>
      <c r="C28" s="8" t="n"/>
      <c r="D28" s="8" t="n"/>
      <c r="E28" s="10" t="n"/>
      <c r="F28" s="8" t="n"/>
      <c r="G28" s="8" t="n"/>
      <c r="H28" s="8" t="n"/>
      <c r="I28" s="8" t="n"/>
    </row>
    <row r="29" ht="22" customHeight="1">
      <c r="B29" s="3" t="n"/>
      <c r="C29" s="4" t="n"/>
      <c r="D29" s="4" t="n"/>
      <c r="E29" s="6" t="n"/>
      <c r="F29" s="4" t="n"/>
      <c r="G29" s="4" t="n"/>
      <c r="H29" s="4" t="n"/>
      <c r="I29" s="4" t="n"/>
    </row>
    <row r="30" ht="22" customHeight="1">
      <c r="B30" s="7" t="n"/>
      <c r="C30" s="8" t="n"/>
      <c r="D30" s="8" t="n"/>
      <c r="E30" s="10" t="n"/>
      <c r="F30" s="8" t="n"/>
      <c r="G30" s="8" t="n"/>
      <c r="H30" s="8" t="n"/>
      <c r="I30" s="8" t="n"/>
    </row>
    <row r="31" ht="22" customHeight="1">
      <c r="B31" s="3" t="n"/>
      <c r="C31" s="4" t="n"/>
      <c r="D31" s="4" t="n"/>
      <c r="E31" s="6" t="n"/>
      <c r="F31" s="4" t="n"/>
      <c r="G31" s="4" t="n"/>
      <c r="H31" s="4" t="n"/>
      <c r="I31" s="4" t="n"/>
    </row>
    <row r="32" ht="22" customHeight="1">
      <c r="B32" s="7" t="n"/>
      <c r="C32" s="8" t="n"/>
      <c r="D32" s="8" t="n"/>
      <c r="E32" s="10" t="n"/>
      <c r="F32" s="8" t="n"/>
      <c r="G32" s="8" t="n"/>
      <c r="H32" s="8" t="n"/>
      <c r="I32" s="8" t="n"/>
    </row>
    <row r="33" ht="22" customHeight="1">
      <c r="B33" s="3" t="n"/>
      <c r="C33" s="4" t="n"/>
      <c r="D33" s="4" t="n"/>
      <c r="E33" s="6" t="n"/>
      <c r="F33" s="4" t="n"/>
      <c r="G33" s="4" t="n"/>
      <c r="H33" s="4" t="n"/>
      <c r="I33" s="4" t="n"/>
    </row>
    <row r="34" ht="22" customHeight="1">
      <c r="B34" s="7" t="n"/>
      <c r="C34" s="8" t="n"/>
      <c r="D34" s="8" t="n"/>
      <c r="E34" s="10" t="n"/>
      <c r="F34" s="8" t="n"/>
      <c r="G34" s="8" t="n"/>
      <c r="H34" s="8" t="n"/>
      <c r="I34" s="8" t="n"/>
    </row>
    <row r="35" ht="22" customHeight="1">
      <c r="B35" s="3" t="n"/>
      <c r="C35" s="4" t="n"/>
      <c r="D35" s="4" t="n"/>
      <c r="E35" s="6" t="n"/>
      <c r="F35" s="4" t="n"/>
      <c r="G35" s="4" t="n"/>
      <c r="H35" s="4" t="n"/>
      <c r="I35" s="4" t="n"/>
    </row>
    <row r="36" ht="22" customHeight="1">
      <c r="B36" s="7" t="n"/>
      <c r="C36" s="8" t="n"/>
      <c r="D36" s="8" t="n"/>
      <c r="E36" s="10" t="n"/>
      <c r="F36" s="8" t="n"/>
      <c r="G36" s="8" t="n"/>
      <c r="H36" s="8" t="n"/>
      <c r="I36" s="8" t="n"/>
    </row>
    <row r="37" ht="22" customHeight="1">
      <c r="B37" s="3" t="n"/>
      <c r="C37" s="4" t="n"/>
      <c r="D37" s="4" t="n"/>
      <c r="E37" s="6" t="n"/>
      <c r="F37" s="4" t="n"/>
      <c r="G37" s="4" t="n"/>
      <c r="H37" s="4" t="n"/>
      <c r="I37" s="4" t="n"/>
    </row>
    <row r="38" ht="22" customHeight="1">
      <c r="B38" s="7" t="n"/>
      <c r="C38" s="8" t="n"/>
      <c r="D38" s="8" t="n"/>
      <c r="E38" s="10" t="n"/>
      <c r="F38" s="8" t="n"/>
      <c r="G38" s="8" t="n"/>
      <c r="H38" s="8" t="n"/>
      <c r="I38" s="8" t="n"/>
    </row>
    <row r="39" ht="22" customHeight="1">
      <c r="B39" s="3" t="n"/>
      <c r="C39" s="4" t="n"/>
      <c r="D39" s="4" t="n"/>
      <c r="E39" s="6" t="n"/>
      <c r="F39" s="4" t="n"/>
      <c r="G39" s="4" t="n"/>
      <c r="H39" s="4" t="n"/>
      <c r="I39" s="4" t="n"/>
    </row>
    <row r="40" ht="22" customHeight="1">
      <c r="B40" s="7" t="n"/>
      <c r="C40" s="8" t="n"/>
      <c r="D40" s="8" t="n"/>
      <c r="E40" s="10" t="n"/>
      <c r="F40" s="8" t="n"/>
      <c r="G40" s="8" t="n"/>
      <c r="H40" s="8" t="n"/>
      <c r="I40" s="8" t="n"/>
    </row>
    <row r="41" ht="22" customHeight="1">
      <c r="B41" s="3" t="n"/>
      <c r="C41" s="4" t="n"/>
      <c r="D41" s="4" t="n"/>
      <c r="E41" s="6" t="n"/>
      <c r="F41" s="4" t="n"/>
      <c r="G41" s="4" t="n"/>
      <c r="H41" s="4" t="n"/>
      <c r="I41" s="4" t="n"/>
    </row>
    <row r="42" ht="22" customHeight="1">
      <c r="B42" s="7" t="n"/>
      <c r="C42" s="8" t="n"/>
      <c r="D42" s="8" t="n"/>
      <c r="E42" s="10" t="n"/>
      <c r="F42" s="8" t="n"/>
      <c r="G42" s="8" t="n"/>
      <c r="H42" s="8" t="n"/>
      <c r="I42" s="8" t="n"/>
    </row>
    <row r="43" ht="22" customHeight="1">
      <c r="B43" s="3" t="n"/>
      <c r="C43" s="4" t="n"/>
      <c r="D43" s="4" t="n"/>
      <c r="E43" s="6" t="n"/>
      <c r="F43" s="4" t="n"/>
      <c r="G43" s="4" t="n"/>
      <c r="H43" s="4" t="n"/>
      <c r="I43" s="4" t="n"/>
    </row>
    <row r="44" ht="22" customHeight="1">
      <c r="B44" s="7" t="n"/>
      <c r="C44" s="8" t="n"/>
      <c r="D44" s="8" t="n"/>
      <c r="E44" s="10" t="n"/>
      <c r="F44" s="8" t="n"/>
      <c r="G44" s="8" t="n"/>
      <c r="H44" s="8" t="n"/>
      <c r="I44" s="8" t="n"/>
    </row>
    <row r="45" ht="22" customHeight="1">
      <c r="B45" s="3" t="n"/>
      <c r="C45" s="4" t="n"/>
      <c r="D45" s="4" t="n"/>
      <c r="E45" s="6" t="n"/>
      <c r="F45" s="4" t="n"/>
      <c r="G45" s="4" t="n"/>
      <c r="H45" s="4" t="n"/>
      <c r="I45" s="4" t="n"/>
    </row>
    <row r="46" ht="22" customHeight="1">
      <c r="B46" s="7" t="n"/>
      <c r="C46" s="8" t="n"/>
      <c r="D46" s="8" t="n"/>
      <c r="E46" s="10" t="n"/>
      <c r="F46" s="8" t="n"/>
      <c r="G46" s="8" t="n"/>
      <c r="H46" s="8" t="n"/>
      <c r="I46" s="8" t="n"/>
    </row>
    <row r="47" ht="22" customHeight="1">
      <c r="B47" s="3" t="n"/>
      <c r="C47" s="4" t="n"/>
      <c r="D47" s="4" t="n"/>
      <c r="E47" s="6" t="n"/>
      <c r="F47" s="4" t="n"/>
      <c r="G47" s="4" t="n"/>
      <c r="H47" s="4" t="n"/>
      <c r="I47" s="4" t="n"/>
    </row>
    <row r="48" ht="22" customHeight="1">
      <c r="B48" s="7" t="n"/>
      <c r="C48" s="8" t="n"/>
      <c r="D48" s="8" t="n"/>
      <c r="E48" s="10" t="n"/>
      <c r="F48" s="8" t="n"/>
      <c r="G48" s="8" t="n"/>
      <c r="H48" s="8" t="n"/>
      <c r="I48" s="8" t="n"/>
    </row>
    <row r="49" ht="22" customHeight="1">
      <c r="B49" s="3" t="n"/>
      <c r="C49" s="4" t="n"/>
      <c r="D49" s="4" t="n"/>
      <c r="E49" s="6" t="n"/>
      <c r="F49" s="4" t="n"/>
      <c r="G49" s="4" t="n"/>
      <c r="H49" s="4" t="n"/>
      <c r="I49" s="4" t="n"/>
    </row>
    <row r="50" ht="22" customHeight="1">
      <c r="B50" s="7" t="n"/>
      <c r="C50" s="8" t="n"/>
      <c r="D50" s="8" t="n"/>
      <c r="E50" s="10" t="n"/>
      <c r="F50" s="8" t="n"/>
      <c r="G50" s="8" t="n"/>
      <c r="H50" s="8" t="n"/>
      <c r="I50" s="8" t="n"/>
    </row>
    <row r="51" ht="22" customHeight="1">
      <c r="B51" s="3" t="n"/>
      <c r="C51" s="4" t="n"/>
      <c r="D51" s="4" t="n"/>
      <c r="E51" s="6" t="n"/>
      <c r="F51" s="4" t="n"/>
      <c r="G51" s="4" t="n"/>
      <c r="H51" s="4" t="n"/>
      <c r="I51" s="4" t="n"/>
    </row>
    <row r="52" ht="22" customHeight="1">
      <c r="B52" s="7" t="n"/>
      <c r="C52" s="8" t="n"/>
      <c r="D52" s="8" t="n"/>
      <c r="E52" s="10" t="n"/>
      <c r="F52" s="8" t="n"/>
      <c r="G52" s="8" t="n"/>
      <c r="H52" s="8" t="n"/>
      <c r="I52" s="8" t="n"/>
    </row>
    <row r="53" ht="22" customHeight="1">
      <c r="B53" s="3" t="n"/>
      <c r="C53" s="4" t="n"/>
      <c r="D53" s="4" t="n"/>
      <c r="E53" s="6" t="n"/>
      <c r="F53" s="4" t="n"/>
      <c r="G53" s="4" t="n"/>
      <c r="H53" s="4" t="n"/>
      <c r="I53" s="4" t="n"/>
    </row>
    <row r="54" ht="22" customHeight="1">
      <c r="B54" s="7" t="n"/>
      <c r="C54" s="8" t="n"/>
      <c r="D54" s="8" t="n"/>
      <c r="E54" s="10" t="n"/>
      <c r="F54" s="8" t="n"/>
      <c r="G54" s="8" t="n"/>
      <c r="H54" s="8" t="n"/>
      <c r="I54" s="8" t="n"/>
    </row>
    <row r="55" ht="22" customHeight="1">
      <c r="B55" s="3" t="n"/>
      <c r="C55" s="4" t="n"/>
      <c r="D55" s="4" t="n"/>
      <c r="E55" s="6" t="n"/>
      <c r="F55" s="4" t="n"/>
      <c r="G55" s="4" t="n"/>
      <c r="H55" s="4" t="n"/>
      <c r="I55" s="4" t="n"/>
    </row>
    <row r="56" ht="22" customHeight="1">
      <c r="B56" s="7" t="n"/>
      <c r="C56" s="8" t="n"/>
      <c r="D56" s="8" t="n"/>
      <c r="E56" s="10" t="n"/>
      <c r="F56" s="8" t="n"/>
      <c r="G56" s="8" t="n"/>
      <c r="H56" s="8" t="n"/>
      <c r="I56" s="8" t="n"/>
    </row>
    <row r="57" ht="22" customHeight="1">
      <c r="B57" s="3" t="n"/>
      <c r="C57" s="4" t="n"/>
      <c r="D57" s="4" t="n"/>
      <c r="E57" s="6" t="n"/>
      <c r="F57" s="4" t="n"/>
      <c r="G57" s="4" t="n"/>
      <c r="H57" s="4" t="n"/>
      <c r="I57" s="4" t="n"/>
    </row>
    <row r="58" ht="22" customHeight="1">
      <c r="B58" s="7" t="n"/>
      <c r="C58" s="8" t="n"/>
      <c r="D58" s="8" t="n"/>
      <c r="E58" s="10" t="n"/>
      <c r="F58" s="8" t="n"/>
      <c r="G58" s="8" t="n"/>
      <c r="H58" s="8" t="n"/>
      <c r="I58" s="8" t="n"/>
    </row>
    <row r="59" ht="22" customHeight="1">
      <c r="B59" s="3" t="n"/>
      <c r="C59" s="4" t="n"/>
      <c r="D59" s="4" t="n"/>
      <c r="E59" s="6" t="n"/>
      <c r="F59" s="4" t="n"/>
      <c r="G59" s="4" t="n"/>
      <c r="H59" s="4" t="n"/>
      <c r="I59" s="4" t="n"/>
    </row>
    <row r="60" ht="22" customHeight="1">
      <c r="B60" s="7" t="n"/>
      <c r="C60" s="8" t="n"/>
      <c r="D60" s="8" t="n"/>
      <c r="E60" s="10" t="n"/>
      <c r="F60" s="8" t="n"/>
      <c r="G60" s="8" t="n"/>
      <c r="H60" s="8" t="n"/>
      <c r="I60" s="8" t="n"/>
    </row>
    <row r="61" ht="22" customHeight="1">
      <c r="B61" s="3" t="n"/>
      <c r="C61" s="4" t="n"/>
      <c r="D61" s="4" t="n"/>
      <c r="E61" s="6" t="n"/>
      <c r="F61" s="4" t="n"/>
      <c r="G61" s="4" t="n"/>
      <c r="H61" s="4" t="n"/>
      <c r="I61" s="4" t="n"/>
    </row>
    <row r="62" ht="22" customHeight="1">
      <c r="B62" s="7" t="n"/>
      <c r="C62" s="8" t="n"/>
      <c r="D62" s="8" t="n"/>
      <c r="E62" s="10" t="n"/>
      <c r="F62" s="8" t="n"/>
      <c r="G62" s="8" t="n"/>
      <c r="H62" s="8" t="n"/>
      <c r="I62" s="8" t="n"/>
    </row>
    <row r="63" ht="22" customHeight="1">
      <c r="B63" s="3" t="n"/>
      <c r="C63" s="4" t="n"/>
      <c r="D63" s="4" t="n"/>
      <c r="E63" s="6" t="n"/>
      <c r="F63" s="4" t="n"/>
      <c r="G63" s="4" t="n"/>
      <c r="H63" s="4" t="n"/>
      <c r="I63" s="4" t="n"/>
    </row>
    <row r="64" ht="22" customHeight="1">
      <c r="B64" s="7" t="n"/>
      <c r="C64" s="8" t="n"/>
      <c r="D64" s="8" t="n"/>
      <c r="E64" s="10" t="n"/>
      <c r="F64" s="8" t="n"/>
      <c r="G64" s="8" t="n"/>
      <c r="H64" s="8" t="n"/>
      <c r="I64" s="8" t="n"/>
    </row>
    <row r="65" ht="22" customHeight="1">
      <c r="B65" s="3" t="n"/>
      <c r="C65" s="4" t="n"/>
      <c r="D65" s="4" t="n"/>
      <c r="E65" s="6" t="n"/>
      <c r="F65" s="4" t="n"/>
      <c r="G65" s="4" t="n"/>
      <c r="H65" s="4" t="n"/>
      <c r="I65" s="4" t="n"/>
    </row>
    <row r="66" ht="22" customHeight="1">
      <c r="B66" s="7" t="n"/>
      <c r="C66" s="8" t="n"/>
      <c r="D66" s="8" t="n"/>
      <c r="E66" s="10" t="n"/>
      <c r="F66" s="8" t="n"/>
      <c r="G66" s="8" t="n"/>
      <c r="H66" s="8" t="n"/>
      <c r="I66" s="8" t="n"/>
    </row>
    <row r="67" ht="22" customHeight="1">
      <c r="B67" s="3" t="n"/>
      <c r="C67" s="4" t="n"/>
      <c r="D67" s="4" t="n"/>
      <c r="E67" s="6" t="n"/>
      <c r="F67" s="4" t="n"/>
      <c r="G67" s="4" t="n"/>
      <c r="H67" s="4" t="n"/>
      <c r="I67" s="4" t="n"/>
    </row>
    <row r="68" ht="22" customHeight="1">
      <c r="B68" s="7" t="n"/>
      <c r="C68" s="8" t="n"/>
      <c r="D68" s="8" t="n"/>
      <c r="E68" s="10" t="n"/>
      <c r="F68" s="8" t="n"/>
      <c r="G68" s="8" t="n"/>
      <c r="H68" s="8" t="n"/>
      <c r="I68" s="8" t="n"/>
    </row>
    <row r="69" ht="22" customHeight="1">
      <c r="B69" s="3" t="n"/>
      <c r="C69" s="4" t="n"/>
      <c r="D69" s="4" t="n"/>
      <c r="E69" s="6" t="n"/>
      <c r="F69" s="4" t="n"/>
      <c r="G69" s="4" t="n"/>
      <c r="H69" s="4" t="n"/>
      <c r="I69" s="4" t="n"/>
    </row>
    <row r="70" ht="22" customHeight="1">
      <c r="B70" s="7" t="n"/>
      <c r="C70" s="8" t="n"/>
      <c r="D70" s="8" t="n"/>
      <c r="E70" s="10" t="n"/>
      <c r="F70" s="8" t="n"/>
      <c r="G70" s="8" t="n"/>
      <c r="H70" s="8" t="n"/>
      <c r="I70" s="8" t="n"/>
    </row>
    <row r="71" ht="22" customHeight="1">
      <c r="B71" s="3" t="n"/>
      <c r="C71" s="4" t="n"/>
      <c r="D71" s="4" t="n"/>
      <c r="E71" s="6" t="n"/>
      <c r="F71" s="4" t="n"/>
      <c r="G71" s="4" t="n"/>
      <c r="H71" s="4" t="n"/>
      <c r="I71" s="4" t="n"/>
    </row>
    <row r="72" ht="22" customHeight="1">
      <c r="B72" s="7" t="n"/>
      <c r="C72" s="8" t="n"/>
      <c r="D72" s="8" t="n"/>
      <c r="E72" s="10" t="n"/>
      <c r="F72" s="8" t="n"/>
      <c r="G72" s="8" t="n"/>
      <c r="H72" s="8" t="n"/>
      <c r="I72" s="8" t="n"/>
    </row>
    <row r="73" ht="22" customHeight="1">
      <c r="B73" s="3" t="n"/>
      <c r="C73" s="4" t="n"/>
      <c r="D73" s="4" t="n"/>
      <c r="E73" s="6" t="n"/>
      <c r="F73" s="4" t="n"/>
      <c r="G73" s="4" t="n"/>
      <c r="H73" s="4" t="n"/>
      <c r="I73" s="4" t="n"/>
    </row>
    <row r="74" ht="22" customHeight="1">
      <c r="B74" s="7" t="n"/>
      <c r="C74" s="8" t="n"/>
      <c r="D74" s="8" t="n"/>
      <c r="E74" s="10" t="n"/>
      <c r="F74" s="8" t="n"/>
      <c r="G74" s="8" t="n"/>
      <c r="H74" s="8" t="n"/>
      <c r="I74" s="8" t="n"/>
    </row>
    <row r="75" ht="22" customHeight="1">
      <c r="B75" s="3" t="n"/>
      <c r="C75" s="4" t="n"/>
      <c r="D75" s="4" t="n"/>
      <c r="E75" s="6" t="n"/>
      <c r="F75" s="4" t="n"/>
      <c r="G75" s="4" t="n"/>
      <c r="H75" s="4" t="n"/>
      <c r="I75" s="4" t="n"/>
    </row>
    <row r="76" ht="22" customHeight="1">
      <c r="B76" s="7" t="n"/>
      <c r="C76" s="8" t="n"/>
      <c r="D76" s="8" t="n"/>
      <c r="E76" s="10" t="n"/>
      <c r="F76" s="8" t="n"/>
      <c r="G76" s="8" t="n"/>
      <c r="H76" s="8" t="n"/>
      <c r="I76" s="8" t="n"/>
    </row>
    <row r="77" ht="22" customHeight="1">
      <c r="B77" s="3" t="n"/>
      <c r="C77" s="4" t="n"/>
      <c r="D77" s="4" t="n"/>
      <c r="E77" s="6" t="n"/>
      <c r="F77" s="4" t="n"/>
      <c r="G77" s="4" t="n"/>
      <c r="H77" s="4" t="n"/>
      <c r="I77" s="4" t="n"/>
    </row>
    <row r="78" ht="22" customHeight="1">
      <c r="B78" s="7" t="n"/>
      <c r="C78" s="8" t="n"/>
      <c r="D78" s="8" t="n"/>
      <c r="E78" s="10" t="n"/>
      <c r="F78" s="8" t="n"/>
      <c r="G78" s="8" t="n"/>
      <c r="H78" s="8" t="n"/>
      <c r="I78" s="8" t="n"/>
    </row>
    <row r="79" ht="22" customHeight="1">
      <c r="B79" s="3" t="n"/>
      <c r="C79" s="4" t="n"/>
      <c r="D79" s="4" t="n"/>
      <c r="E79" s="6" t="n"/>
      <c r="F79" s="4" t="n"/>
      <c r="G79" s="4" t="n"/>
      <c r="H79" s="4" t="n"/>
      <c r="I79" s="4" t="n"/>
    </row>
    <row r="80" ht="22" customHeight="1">
      <c r="B80" s="7" t="n"/>
      <c r="C80" s="8" t="n"/>
      <c r="D80" s="8" t="n"/>
      <c r="E80" s="10" t="n"/>
      <c r="F80" s="8" t="n"/>
      <c r="G80" s="8" t="n"/>
      <c r="H80" s="8" t="n"/>
      <c r="I80" s="8" t="n"/>
    </row>
    <row r="81" ht="22" customHeight="1">
      <c r="B81" s="3" t="n"/>
      <c r="C81" s="4" t="n"/>
      <c r="D81" s="4" t="n"/>
      <c r="E81" s="6" t="n"/>
      <c r="F81" s="4" t="n"/>
      <c r="G81" s="4" t="n"/>
      <c r="H81" s="4" t="n"/>
      <c r="I81" s="4" t="n"/>
    </row>
    <row r="82" ht="22" customHeight="1">
      <c r="B82" s="7" t="n"/>
      <c r="C82" s="8" t="n"/>
      <c r="D82" s="8" t="n"/>
      <c r="E82" s="10" t="n"/>
      <c r="F82" s="8" t="n"/>
      <c r="G82" s="8" t="n"/>
      <c r="H82" s="8" t="n"/>
      <c r="I82" s="8" t="n"/>
    </row>
    <row r="83" ht="22" customHeight="1">
      <c r="B83" s="3" t="n"/>
      <c r="C83" s="4" t="n"/>
      <c r="D83" s="4" t="n"/>
      <c r="E83" s="6" t="n"/>
      <c r="F83" s="4" t="n"/>
      <c r="G83" s="4" t="n"/>
      <c r="H83" s="4" t="n"/>
      <c r="I83" s="4" t="n"/>
    </row>
    <row r="84" ht="22" customHeight="1">
      <c r="B84" s="7" t="n"/>
      <c r="C84" s="8" t="n"/>
      <c r="D84" s="8" t="n"/>
      <c r="E84" s="10" t="n"/>
      <c r="F84" s="8" t="n"/>
      <c r="G84" s="8" t="n"/>
      <c r="H84" s="8" t="n"/>
      <c r="I84" s="8" t="n"/>
    </row>
    <row r="85" ht="22" customHeight="1">
      <c r="B85" s="3" t="n"/>
      <c r="C85" s="4" t="n"/>
      <c r="D85" s="4" t="n"/>
      <c r="E85" s="6" t="n"/>
      <c r="F85" s="4" t="n"/>
      <c r="G85" s="4" t="n"/>
      <c r="H85" s="4" t="n"/>
      <c r="I85" s="4" t="n"/>
    </row>
    <row r="86" ht="22" customHeight="1">
      <c r="B86" s="7" t="n"/>
      <c r="C86" s="8" t="n"/>
      <c r="D86" s="8" t="n"/>
      <c r="E86" s="10" t="n"/>
      <c r="F86" s="8" t="n"/>
      <c r="G86" s="8" t="n"/>
      <c r="H86" s="8" t="n"/>
      <c r="I86" s="8" t="n"/>
    </row>
    <row r="87" ht="22" customHeight="1">
      <c r="B87" s="3" t="n"/>
      <c r="C87" s="4" t="n"/>
      <c r="D87" s="4" t="n"/>
      <c r="E87" s="6" t="n"/>
      <c r="F87" s="4" t="n"/>
      <c r="G87" s="4" t="n"/>
      <c r="H87" s="4" t="n"/>
      <c r="I87" s="4" t="n"/>
    </row>
    <row r="88" ht="22" customHeight="1">
      <c r="B88" s="7" t="n"/>
      <c r="C88" s="8" t="n"/>
      <c r="D88" s="8" t="n"/>
      <c r="E88" s="10" t="n"/>
      <c r="F88" s="8" t="n"/>
      <c r="G88" s="8" t="n"/>
      <c r="H88" s="8" t="n"/>
      <c r="I88" s="8" t="n"/>
    </row>
    <row r="89" ht="22" customHeight="1">
      <c r="B89" s="3" t="n"/>
      <c r="C89" s="4" t="n"/>
      <c r="D89" s="4" t="n"/>
      <c r="E89" s="6" t="n"/>
      <c r="F89" s="4" t="n"/>
      <c r="G89" s="4" t="n"/>
      <c r="H89" s="4" t="n"/>
      <c r="I89" s="4" t="n"/>
    </row>
    <row r="90" ht="22" customHeight="1">
      <c r="B90" s="7" t="n"/>
      <c r="C90" s="8" t="n"/>
      <c r="D90" s="8" t="n"/>
      <c r="E90" s="10" t="n"/>
      <c r="F90" s="8" t="n"/>
      <c r="G90" s="8" t="n"/>
      <c r="H90" s="8" t="n"/>
      <c r="I90" s="8" t="n"/>
    </row>
    <row r="91" ht="22" customHeight="1">
      <c r="B91" s="3" t="n"/>
      <c r="C91" s="4" t="n"/>
      <c r="D91" s="4" t="n"/>
      <c r="E91" s="6" t="n"/>
      <c r="F91" s="4" t="n"/>
      <c r="G91" s="4" t="n"/>
      <c r="H91" s="4" t="n"/>
      <c r="I91" s="4" t="n"/>
    </row>
    <row r="92" ht="22" customHeight="1">
      <c r="B92" s="7" t="n"/>
      <c r="C92" s="8" t="n"/>
      <c r="D92" s="8" t="n"/>
      <c r="E92" s="10" t="n"/>
      <c r="F92" s="8" t="n"/>
      <c r="G92" s="8" t="n"/>
      <c r="H92" s="8" t="n"/>
      <c r="I92" s="8" t="n"/>
    </row>
    <row r="93" ht="22" customHeight="1">
      <c r="B93" s="3" t="n"/>
      <c r="C93" s="4" t="n"/>
      <c r="D93" s="4" t="n"/>
      <c r="E93" s="6" t="n"/>
      <c r="F93" s="4" t="n"/>
      <c r="G93" s="4" t="n"/>
      <c r="H93" s="4" t="n"/>
      <c r="I93" s="4" t="n"/>
    </row>
    <row r="94" ht="22" customHeight="1">
      <c r="B94" s="7" t="n"/>
      <c r="C94" s="8" t="n"/>
      <c r="D94" s="8" t="n"/>
      <c r="E94" s="10" t="n"/>
      <c r="F94" s="8" t="n"/>
      <c r="G94" s="8" t="n"/>
      <c r="H94" s="8" t="n"/>
      <c r="I94" s="8" t="n"/>
    </row>
    <row r="95" ht="22" customHeight="1">
      <c r="B95" s="3" t="n"/>
      <c r="C95" s="4" t="n"/>
      <c r="D95" s="4" t="n"/>
      <c r="E95" s="6" t="n"/>
      <c r="F95" s="4" t="n"/>
      <c r="G95" s="4" t="n"/>
      <c r="H95" s="4" t="n"/>
      <c r="I95" s="4" t="n"/>
    </row>
    <row r="96" ht="22" customHeight="1">
      <c r="B96" s="7" t="n"/>
      <c r="C96" s="8" t="n"/>
      <c r="D96" s="8" t="n"/>
      <c r="E96" s="10" t="n"/>
      <c r="F96" s="8" t="n"/>
      <c r="G96" s="8" t="n"/>
      <c r="H96" s="8" t="n"/>
      <c r="I96" s="8" t="n"/>
    </row>
    <row r="97" ht="22" customHeight="1">
      <c r="B97" s="3" t="n"/>
      <c r="C97" s="4" t="n"/>
      <c r="D97" s="4" t="n"/>
      <c r="E97" s="6" t="n"/>
      <c r="F97" s="4" t="n"/>
      <c r="G97" s="4" t="n"/>
      <c r="H97" s="4" t="n"/>
      <c r="I97" s="4" t="n"/>
    </row>
    <row r="98" ht="22" customHeight="1">
      <c r="B98" s="7" t="n"/>
      <c r="C98" s="8" t="n"/>
      <c r="D98" s="8" t="n"/>
      <c r="E98" s="10" t="n"/>
      <c r="F98" s="8" t="n"/>
      <c r="G98" s="8" t="n"/>
      <c r="H98" s="8" t="n"/>
      <c r="I98" s="8" t="n"/>
    </row>
    <row r="99" ht="22" customHeight="1">
      <c r="B99" s="3" t="n"/>
      <c r="C99" s="4" t="n"/>
      <c r="D99" s="4" t="n"/>
      <c r="E99" s="6" t="n"/>
      <c r="F99" s="4" t="n"/>
      <c r="G99" s="4" t="n"/>
      <c r="H99" s="4" t="n"/>
      <c r="I99" s="4" t="n"/>
    </row>
    <row r="100" ht="22" customHeight="1">
      <c r="B100" s="7" t="n"/>
      <c r="C100" s="8" t="n"/>
      <c r="D100" s="8" t="n"/>
      <c r="E100" s="10" t="n"/>
      <c r="F100" s="8" t="n"/>
      <c r="G100" s="8" t="n"/>
      <c r="H100" s="8" t="n"/>
      <c r="I100" s="8" t="n"/>
    </row>
    <row r="101" ht="22" customHeight="1">
      <c r="B101" s="3" t="n"/>
      <c r="C101" s="4" t="n"/>
      <c r="D101" s="4" t="n"/>
      <c r="E101" s="6" t="n"/>
      <c r="F101" s="4" t="n"/>
      <c r="G101" s="4" t="n"/>
      <c r="H101" s="4" t="n"/>
      <c r="I101" s="4" t="n"/>
    </row>
    <row r="102" ht="22" customHeight="1">
      <c r="B102" s="7" t="n"/>
      <c r="C102" s="8" t="n"/>
      <c r="D102" s="8" t="n"/>
      <c r="E102" s="10" t="n"/>
      <c r="F102" s="8" t="n"/>
      <c r="G102" s="8" t="n"/>
      <c r="H102" s="8" t="n"/>
      <c r="I102" s="8" t="n"/>
    </row>
    <row r="103" ht="22" customHeight="1">
      <c r="B103" s="3" t="n"/>
      <c r="C103" s="4" t="n"/>
      <c r="D103" s="4" t="n"/>
      <c r="E103" s="6" t="n"/>
      <c r="F103" s="4" t="n"/>
      <c r="G103" s="4" t="n"/>
      <c r="H103" s="4" t="n"/>
      <c r="I103" s="4" t="n"/>
    </row>
    <row r="104" ht="22" customHeight="1">
      <c r="B104" s="7" t="n"/>
      <c r="C104" s="8" t="n"/>
      <c r="D104" s="8" t="n"/>
      <c r="E104" s="10" t="n"/>
      <c r="F104" s="8" t="n"/>
      <c r="G104" s="8" t="n"/>
      <c r="H104" s="8" t="n"/>
      <c r="I104" s="8" t="n"/>
    </row>
    <row r="105" ht="22" customHeight="1">
      <c r="B105" s="3" t="n"/>
      <c r="C105" s="4" t="n"/>
      <c r="D105" s="4" t="n"/>
      <c r="E105" s="6" t="n"/>
      <c r="F105" s="4" t="n"/>
      <c r="G105" s="4" t="n"/>
      <c r="H105" s="4" t="n"/>
      <c r="I105" s="4" t="n"/>
    </row>
    <row r="106" ht="22" customHeight="1">
      <c r="B106" s="7" t="n"/>
      <c r="C106" s="8" t="n"/>
      <c r="D106" s="8" t="n"/>
      <c r="E106" s="10" t="n"/>
      <c r="F106" s="8" t="n"/>
      <c r="G106" s="8" t="n"/>
      <c r="H106" s="8" t="n"/>
      <c r="I106" s="8" t="n"/>
    </row>
    <row r="107" ht="22" customHeight="1">
      <c r="B107" s="3" t="n"/>
      <c r="C107" s="4" t="n"/>
      <c r="D107" s="4" t="n"/>
      <c r="E107" s="6" t="n"/>
      <c r="F107" s="4" t="n"/>
      <c r="G107" s="4" t="n"/>
      <c r="H107" s="4" t="n"/>
      <c r="I107" s="4" t="n"/>
    </row>
    <row r="108" ht="22" customHeight="1">
      <c r="B108" s="7" t="n"/>
      <c r="C108" s="8" t="n"/>
      <c r="D108" s="8" t="n"/>
      <c r="E108" s="10" t="n"/>
      <c r="F108" s="8" t="n"/>
      <c r="G108" s="8" t="n"/>
      <c r="H108" s="8" t="n"/>
      <c r="I108" s="8" t="n"/>
    </row>
    <row r="109" ht="22" customHeight="1">
      <c r="B109" s="3" t="n"/>
      <c r="C109" s="4" t="n"/>
      <c r="D109" s="4" t="n"/>
      <c r="E109" s="6" t="n"/>
      <c r="F109" s="4" t="n"/>
      <c r="G109" s="4" t="n"/>
      <c r="H109" s="4" t="n"/>
      <c r="I109" s="4" t="n"/>
    </row>
    <row r="110" ht="22" customHeight="1">
      <c r="B110" s="7" t="n"/>
      <c r="C110" s="8" t="n"/>
      <c r="D110" s="8" t="n"/>
      <c r="E110" s="10" t="n"/>
      <c r="F110" s="8" t="n"/>
      <c r="G110" s="8" t="n"/>
      <c r="H110" s="8" t="n"/>
      <c r="I110" s="8" t="n"/>
    </row>
    <row r="111" ht="22" customHeight="1">
      <c r="B111" s="3" t="n"/>
      <c r="C111" s="4" t="n"/>
      <c r="D111" s="4" t="n"/>
      <c r="E111" s="6" t="n"/>
      <c r="F111" s="4" t="n"/>
      <c r="G111" s="4" t="n"/>
      <c r="H111" s="4" t="n"/>
      <c r="I111" s="4" t="n"/>
    </row>
    <row r="112" ht="22" customHeight="1">
      <c r="B112" s="7" t="n"/>
      <c r="C112" s="8" t="n"/>
      <c r="D112" s="8" t="n"/>
      <c r="E112" s="10" t="n"/>
      <c r="F112" s="8" t="n"/>
      <c r="G112" s="8" t="n"/>
      <c r="H112" s="8" t="n"/>
      <c r="I112" s="8" t="n"/>
    </row>
    <row r="113" ht="22" customHeight="1">
      <c r="B113" s="3" t="n"/>
      <c r="C113" s="4" t="n"/>
      <c r="D113" s="4" t="n"/>
      <c r="E113" s="6" t="n"/>
      <c r="F113" s="4" t="n"/>
      <c r="G113" s="4" t="n"/>
      <c r="H113" s="4" t="n"/>
      <c r="I113" s="4" t="n"/>
    </row>
    <row r="114" ht="22" customHeight="1">
      <c r="B114" s="7" t="n"/>
      <c r="C114" s="8" t="n"/>
      <c r="D114" s="8" t="n"/>
      <c r="E114" s="10" t="n"/>
      <c r="F114" s="8" t="n"/>
      <c r="G114" s="8" t="n"/>
      <c r="H114" s="8" t="n"/>
      <c r="I114" s="8" t="n"/>
    </row>
    <row r="115" ht="22" customHeight="1">
      <c r="B115" s="3" t="n"/>
      <c r="C115" s="4" t="n"/>
      <c r="D115" s="4" t="n"/>
      <c r="E115" s="6" t="n"/>
      <c r="F115" s="4" t="n"/>
      <c r="G115" s="4" t="n"/>
      <c r="H115" s="4" t="n"/>
      <c r="I115" s="4" t="n"/>
    </row>
    <row r="116" ht="22" customHeight="1">
      <c r="B116" s="7" t="n"/>
      <c r="C116" s="8" t="n"/>
      <c r="D116" s="8" t="n"/>
      <c r="E116" s="10" t="n"/>
      <c r="F116" s="8" t="n"/>
      <c r="G116" s="8" t="n"/>
      <c r="H116" s="8" t="n"/>
      <c r="I116" s="8" t="n"/>
    </row>
    <row r="117" ht="22" customHeight="1">
      <c r="B117" s="3" t="n"/>
      <c r="C117" s="4" t="n"/>
      <c r="D117" s="4" t="n"/>
      <c r="E117" s="6" t="n"/>
      <c r="F117" s="4" t="n"/>
      <c r="G117" s="4" t="n"/>
      <c r="H117" s="4" t="n"/>
      <c r="I117" s="4" t="n"/>
    </row>
    <row r="118" ht="22" customHeight="1">
      <c r="B118" s="7" t="n"/>
      <c r="C118" s="8" t="n"/>
      <c r="D118" s="8" t="n"/>
      <c r="E118" s="10" t="n"/>
      <c r="F118" s="8" t="n"/>
      <c r="G118" s="8" t="n"/>
      <c r="H118" s="8" t="n"/>
      <c r="I118" s="8" t="n"/>
    </row>
    <row r="119" ht="22" customHeight="1">
      <c r="B119" s="3" t="n"/>
      <c r="C119" s="4" t="n"/>
      <c r="D119" s="4" t="n"/>
      <c r="E119" s="6" t="n"/>
      <c r="F119" s="4" t="n"/>
      <c r="G119" s="4" t="n"/>
      <c r="H119" s="4" t="n"/>
      <c r="I119" s="4" t="n"/>
    </row>
    <row r="120" ht="22" customHeight="1">
      <c r="B120" s="7" t="n"/>
      <c r="C120" s="8" t="n"/>
      <c r="D120" s="8" t="n"/>
      <c r="E120" s="10" t="n"/>
      <c r="F120" s="8" t="n"/>
      <c r="G120" s="8" t="n"/>
      <c r="H120" s="8" t="n"/>
      <c r="I120" s="8" t="n"/>
    </row>
    <row r="121" ht="22" customHeight="1">
      <c r="B121" s="3" t="n"/>
      <c r="C121" s="4" t="n"/>
      <c r="D121" s="4" t="n"/>
      <c r="E121" s="6" t="n"/>
      <c r="F121" s="4" t="n"/>
      <c r="G121" s="4" t="n"/>
      <c r="H121" s="4" t="n"/>
      <c r="I121" s="4" t="n"/>
    </row>
    <row r="122" ht="22" customHeight="1">
      <c r="B122" s="7" t="n"/>
      <c r="C122" s="8" t="n"/>
      <c r="D122" s="8" t="n"/>
      <c r="E122" s="10" t="n"/>
      <c r="F122" s="8" t="n"/>
      <c r="G122" s="8" t="n"/>
      <c r="H122" s="8" t="n"/>
      <c r="I122" s="8" t="n"/>
    </row>
    <row r="123" ht="22" customHeight="1">
      <c r="B123" s="3" t="n"/>
      <c r="C123" s="4" t="n"/>
      <c r="D123" s="4" t="n"/>
      <c r="E123" s="6" t="n"/>
      <c r="F123" s="4" t="n"/>
      <c r="G123" s="4" t="n"/>
      <c r="H123" s="4" t="n"/>
      <c r="I123" s="4" t="n"/>
    </row>
    <row r="124" ht="22" customHeight="1">
      <c r="B124" s="7" t="n"/>
      <c r="C124" s="8" t="n"/>
      <c r="D124" s="8" t="n"/>
      <c r="E124" s="10" t="n"/>
      <c r="F124" s="8" t="n"/>
      <c r="G124" s="8" t="n"/>
      <c r="H124" s="8" t="n"/>
      <c r="I124" s="8" t="n"/>
    </row>
    <row r="125" ht="22" customHeight="1">
      <c r="B125" s="3" t="n"/>
      <c r="C125" s="4" t="n"/>
      <c r="D125" s="4" t="n"/>
      <c r="E125" s="6" t="n"/>
      <c r="F125" s="4" t="n"/>
      <c r="G125" s="4" t="n"/>
      <c r="H125" s="4" t="n"/>
      <c r="I125" s="4" t="n"/>
    </row>
    <row r="126" ht="22" customHeight="1">
      <c r="B126" s="7" t="n"/>
      <c r="C126" s="8" t="n"/>
      <c r="D126" s="8" t="n"/>
      <c r="E126" s="10" t="n"/>
      <c r="F126" s="8" t="n"/>
      <c r="G126" s="8" t="n"/>
      <c r="H126" s="8" t="n"/>
      <c r="I126" s="8" t="n"/>
    </row>
    <row r="127" ht="22" customHeight="1">
      <c r="B127" s="3" t="n"/>
      <c r="C127" s="4" t="n"/>
      <c r="D127" s="4" t="n"/>
      <c r="E127" s="6" t="n"/>
      <c r="F127" s="4" t="n"/>
      <c r="G127" s="4" t="n"/>
      <c r="H127" s="4" t="n"/>
      <c r="I127" s="4" t="n"/>
    </row>
    <row r="128" ht="22" customHeight="1">
      <c r="B128" s="7" t="n"/>
      <c r="C128" s="8" t="n"/>
      <c r="D128" s="8" t="n"/>
      <c r="E128" s="10" t="n"/>
      <c r="F128" s="8" t="n"/>
      <c r="G128" s="8" t="n"/>
      <c r="H128" s="8" t="n"/>
      <c r="I128" s="8" t="n"/>
    </row>
    <row r="129" ht="22" customHeight="1">
      <c r="B129" s="3" t="n"/>
      <c r="C129" s="4" t="n"/>
      <c r="D129" s="4" t="n"/>
      <c r="E129" s="6" t="n"/>
      <c r="F129" s="4" t="n"/>
      <c r="G129" s="4" t="n"/>
      <c r="H129" s="4" t="n"/>
      <c r="I129" s="4" t="n"/>
    </row>
    <row r="130" ht="22" customHeight="1">
      <c r="B130" s="7" t="n"/>
      <c r="C130" s="8" t="n"/>
      <c r="D130" s="8" t="n"/>
      <c r="E130" s="10" t="n"/>
      <c r="F130" s="8" t="n"/>
      <c r="G130" s="8" t="n"/>
      <c r="H130" s="8" t="n"/>
      <c r="I130" s="8" t="n"/>
    </row>
    <row r="131" ht="22" customHeight="1">
      <c r="B131" s="3" t="n"/>
      <c r="C131" s="4" t="n"/>
      <c r="D131" s="4" t="n"/>
      <c r="E131" s="6" t="n"/>
      <c r="F131" s="4" t="n"/>
      <c r="G131" s="4" t="n"/>
      <c r="H131" s="4" t="n"/>
      <c r="I131" s="4" t="n"/>
    </row>
    <row r="132" ht="22" customHeight="1">
      <c r="B132" s="7" t="n"/>
      <c r="C132" s="8" t="n"/>
      <c r="D132" s="8" t="n"/>
      <c r="E132" s="10" t="n"/>
      <c r="F132" s="8" t="n"/>
      <c r="G132" s="8" t="n"/>
      <c r="H132" s="8" t="n"/>
      <c r="I132" s="8" t="n"/>
    </row>
    <row r="133" ht="22" customHeight="1">
      <c r="B133" s="3" t="n"/>
      <c r="C133" s="4" t="n"/>
      <c r="D133" s="4" t="n"/>
      <c r="E133" s="6" t="n"/>
      <c r="F133" s="4" t="n"/>
      <c r="G133" s="4" t="n"/>
      <c r="H133" s="4" t="n"/>
      <c r="I133" s="4" t="n"/>
    </row>
    <row r="134" ht="22" customHeight="1">
      <c r="B134" s="7" t="n"/>
      <c r="C134" s="8" t="n"/>
      <c r="D134" s="8" t="n"/>
      <c r="E134" s="10" t="n"/>
      <c r="F134" s="8" t="n"/>
      <c r="G134" s="8" t="n"/>
      <c r="H134" s="8" t="n"/>
      <c r="I134" s="8" t="n"/>
    </row>
    <row r="135" ht="22" customHeight="1">
      <c r="B135" s="3" t="n"/>
      <c r="C135" s="4" t="n"/>
      <c r="D135" s="4" t="n"/>
      <c r="E135" s="6" t="n"/>
      <c r="F135" s="4" t="n"/>
      <c r="G135" s="4" t="n"/>
      <c r="H135" s="4" t="n"/>
      <c r="I135" s="4" t="n"/>
    </row>
    <row r="136" ht="22" customHeight="1">
      <c r="B136" s="7" t="n"/>
      <c r="C136" s="8" t="n"/>
      <c r="D136" s="8" t="n"/>
      <c r="E136" s="10" t="n"/>
      <c r="F136" s="8" t="n"/>
      <c r="G136" s="8" t="n"/>
      <c r="H136" s="8" t="n"/>
      <c r="I136" s="8" t="n"/>
    </row>
    <row r="137" ht="22" customHeight="1">
      <c r="B137" s="3" t="n"/>
      <c r="C137" s="4" t="n"/>
      <c r="D137" s="4" t="n"/>
      <c r="E137" s="6" t="n"/>
      <c r="F137" s="4" t="n"/>
      <c r="G137" s="4" t="n"/>
      <c r="H137" s="4" t="n"/>
      <c r="I137" s="4" t="n"/>
    </row>
    <row r="138" ht="22" customHeight="1">
      <c r="B138" s="7" t="n"/>
      <c r="C138" s="8" t="n"/>
      <c r="D138" s="8" t="n"/>
      <c r="E138" s="10" t="n"/>
      <c r="F138" s="8" t="n"/>
      <c r="G138" s="8" t="n"/>
      <c r="H138" s="8" t="n"/>
      <c r="I138" s="8" t="n"/>
    </row>
    <row r="139" ht="22" customHeight="1">
      <c r="B139" s="3" t="n"/>
      <c r="C139" s="4" t="n"/>
      <c r="D139" s="4" t="n"/>
      <c r="E139" s="6" t="n"/>
      <c r="F139" s="4" t="n"/>
      <c r="G139" s="4" t="n"/>
      <c r="H139" s="4" t="n"/>
      <c r="I139" s="4" t="n"/>
    </row>
    <row r="140" ht="22" customHeight="1">
      <c r="B140" s="7" t="n"/>
      <c r="C140" s="8" t="n"/>
      <c r="D140" s="8" t="n"/>
      <c r="E140" s="10" t="n"/>
      <c r="F140" s="8" t="n"/>
      <c r="G140" s="8" t="n"/>
      <c r="H140" s="8" t="n"/>
      <c r="I140" s="8" t="n"/>
    </row>
    <row r="141" ht="22" customHeight="1">
      <c r="B141" s="3" t="n"/>
      <c r="C141" s="4" t="n"/>
      <c r="D141" s="4" t="n"/>
      <c r="E141" s="6" t="n"/>
      <c r="F141" s="4" t="n"/>
      <c r="G141" s="4" t="n"/>
      <c r="H141" s="4" t="n"/>
      <c r="I141" s="4" t="n"/>
    </row>
    <row r="142" ht="22" customHeight="1">
      <c r="B142" s="7" t="n"/>
      <c r="C142" s="8" t="n"/>
      <c r="D142" s="8" t="n"/>
      <c r="E142" s="10" t="n"/>
      <c r="F142" s="8" t="n"/>
      <c r="G142" s="8" t="n"/>
      <c r="H142" s="8" t="n"/>
      <c r="I142" s="8" t="n"/>
    </row>
    <row r="143" ht="22" customHeight="1">
      <c r="B143" s="3" t="n"/>
      <c r="C143" s="4" t="n"/>
      <c r="D143" s="4" t="n"/>
      <c r="E143" s="6" t="n"/>
      <c r="F143" s="4" t="n"/>
      <c r="G143" s="4" t="n"/>
      <c r="H143" s="4" t="n"/>
      <c r="I143" s="4" t="n"/>
    </row>
    <row r="144" ht="22" customHeight="1">
      <c r="B144" s="7" t="n"/>
      <c r="C144" s="8" t="n"/>
      <c r="D144" s="8" t="n"/>
      <c r="E144" s="10" t="n"/>
      <c r="F144" s="8" t="n"/>
      <c r="G144" s="8" t="n"/>
      <c r="H144" s="8" t="n"/>
      <c r="I144" s="8" t="n"/>
    </row>
    <row r="145" ht="22" customHeight="1">
      <c r="B145" s="3" t="n"/>
      <c r="C145" s="4" t="n"/>
      <c r="D145" s="4" t="n"/>
      <c r="E145" s="6" t="n"/>
      <c r="F145" s="4" t="n"/>
      <c r="G145" s="4" t="n"/>
      <c r="H145" s="4" t="n"/>
      <c r="I145" s="4" t="n"/>
    </row>
    <row r="146" ht="22" customHeight="1">
      <c r="B146" s="7" t="n"/>
      <c r="C146" s="8" t="n"/>
      <c r="D146" s="8" t="n"/>
      <c r="E146" s="10" t="n"/>
      <c r="F146" s="8" t="n"/>
      <c r="G146" s="8" t="n"/>
      <c r="H146" s="8" t="n"/>
      <c r="I146" s="8" t="n"/>
    </row>
    <row r="147" ht="22" customHeight="1">
      <c r="B147" s="3" t="n"/>
      <c r="C147" s="4" t="n"/>
      <c r="D147" s="4" t="n"/>
      <c r="E147" s="6" t="n"/>
      <c r="F147" s="4" t="n"/>
      <c r="G147" s="4" t="n"/>
      <c r="H147" s="4" t="n"/>
      <c r="I147" s="4" t="n"/>
    </row>
    <row r="148" ht="22" customHeight="1">
      <c r="B148" s="7" t="n"/>
      <c r="C148" s="8" t="n"/>
      <c r="D148" s="8" t="n"/>
      <c r="E148" s="10" t="n"/>
      <c r="F148" s="8" t="n"/>
      <c r="G148" s="8" t="n"/>
      <c r="H148" s="8" t="n"/>
      <c r="I148" s="8" t="n"/>
    </row>
    <row r="149" ht="22" customHeight="1">
      <c r="B149" s="3" t="n"/>
      <c r="C149" s="4" t="n"/>
      <c r="D149" s="4" t="n"/>
      <c r="E149" s="6" t="n"/>
      <c r="F149" s="4" t="n"/>
      <c r="G149" s="4" t="n"/>
      <c r="H149" s="4" t="n"/>
      <c r="I149" s="4" t="n"/>
    </row>
    <row r="150" ht="22" customHeight="1">
      <c r="B150" s="7" t="n"/>
      <c r="C150" s="8" t="n"/>
      <c r="D150" s="8" t="n"/>
      <c r="E150" s="10" t="n"/>
      <c r="F150" s="8" t="n"/>
      <c r="G150" s="8" t="n"/>
      <c r="H150" s="8" t="n"/>
      <c r="I150" s="8" t="n"/>
    </row>
    <row r="151" ht="22" customHeight="1">
      <c r="B151" s="3" t="n"/>
      <c r="C151" s="4" t="n"/>
      <c r="D151" s="4" t="n"/>
      <c r="E151" s="6" t="n"/>
      <c r="F151" s="4" t="n"/>
      <c r="G151" s="4" t="n"/>
      <c r="H151" s="4" t="n"/>
      <c r="I151" s="4" t="n"/>
    </row>
    <row r="152" ht="22" customHeight="1">
      <c r="B152" s="7" t="n"/>
      <c r="C152" s="8" t="n"/>
      <c r="D152" s="8" t="n"/>
      <c r="E152" s="10" t="n"/>
      <c r="F152" s="8" t="n"/>
      <c r="G152" s="8" t="n"/>
      <c r="H152" s="8" t="n"/>
      <c r="I152" s="8" t="n"/>
    </row>
    <row r="153" ht="22" customHeight="1">
      <c r="B153" s="3" t="n"/>
      <c r="C153" s="4" t="n"/>
      <c r="D153" s="4" t="n"/>
      <c r="E153" s="6" t="n"/>
      <c r="F153" s="4" t="n"/>
      <c r="G153" s="4" t="n"/>
      <c r="H153" s="4" t="n"/>
      <c r="I153" s="4" t="n"/>
    </row>
    <row r="154" ht="22" customHeight="1">
      <c r="B154" s="7" t="n"/>
      <c r="C154" s="8" t="n"/>
      <c r="D154" s="8" t="n"/>
      <c r="E154" s="10" t="n"/>
      <c r="F154" s="8" t="n"/>
      <c r="G154" s="8" t="n"/>
      <c r="H154" s="8" t="n"/>
      <c r="I154" s="8" t="n"/>
    </row>
    <row r="155" ht="22" customHeight="1">
      <c r="B155" s="3" t="n"/>
      <c r="C155" s="4" t="n"/>
      <c r="D155" s="4" t="n"/>
      <c r="E155" s="6" t="n"/>
      <c r="F155" s="4" t="n"/>
      <c r="G155" s="4" t="n"/>
      <c r="H155" s="4" t="n"/>
      <c r="I155" s="4" t="n"/>
    </row>
    <row r="156" ht="22" customHeight="1">
      <c r="B156" s="7" t="n"/>
      <c r="C156" s="8" t="n"/>
      <c r="D156" s="8" t="n"/>
      <c r="E156" s="10" t="n"/>
      <c r="F156" s="8" t="n"/>
      <c r="G156" s="8" t="n"/>
      <c r="H156" s="8" t="n"/>
      <c r="I156" s="8" t="n"/>
    </row>
    <row r="157" ht="22" customHeight="1">
      <c r="B157" s="3" t="n"/>
      <c r="C157" s="4" t="n"/>
      <c r="D157" s="4" t="n"/>
      <c r="E157" s="6" t="n"/>
      <c r="F157" s="4" t="n"/>
      <c r="G157" s="4" t="n"/>
      <c r="H157" s="4" t="n"/>
      <c r="I157" s="4" t="n"/>
    </row>
    <row r="158" ht="22" customHeight="1">
      <c r="B158" s="7" t="n"/>
      <c r="C158" s="8" t="n"/>
      <c r="D158" s="8" t="n"/>
      <c r="E158" s="10" t="n"/>
      <c r="F158" s="8" t="n"/>
      <c r="G158" s="8" t="n"/>
      <c r="H158" s="8" t="n"/>
      <c r="I158" s="8" t="n"/>
    </row>
    <row r="159" ht="22" customHeight="1">
      <c r="B159" s="3" t="n"/>
      <c r="C159" s="4" t="n"/>
      <c r="D159" s="4" t="n"/>
      <c r="E159" s="6" t="n"/>
      <c r="F159" s="4" t="n"/>
      <c r="G159" s="4" t="n"/>
      <c r="H159" s="4" t="n"/>
      <c r="I159" s="4" t="n"/>
    </row>
    <row r="160" ht="22" customHeight="1">
      <c r="B160" s="7" t="n"/>
      <c r="C160" s="8" t="n"/>
      <c r="D160" s="8" t="n"/>
      <c r="E160" s="10" t="n"/>
      <c r="F160" s="8" t="n"/>
      <c r="G160" s="8" t="n"/>
      <c r="H160" s="8" t="n"/>
      <c r="I160" s="8" t="n"/>
    </row>
    <row r="161" ht="22" customHeight="1">
      <c r="B161" s="3" t="n"/>
      <c r="C161" s="4" t="n"/>
      <c r="D161" s="4" t="n"/>
      <c r="E161" s="6" t="n"/>
      <c r="F161" s="4" t="n"/>
      <c r="G161" s="4" t="n"/>
      <c r="H161" s="4" t="n"/>
      <c r="I161" s="4" t="n"/>
    </row>
    <row r="162" ht="22" customHeight="1">
      <c r="B162" s="7" t="n"/>
      <c r="C162" s="8" t="n"/>
      <c r="D162" s="8" t="n"/>
      <c r="E162" s="10" t="n"/>
      <c r="F162" s="8" t="n"/>
      <c r="G162" s="8" t="n"/>
      <c r="H162" s="8" t="n"/>
      <c r="I162" s="8" t="n"/>
    </row>
    <row r="163" ht="22" customHeight="1">
      <c r="B163" s="3" t="n"/>
      <c r="C163" s="4" t="n"/>
      <c r="D163" s="4" t="n"/>
      <c r="E163" s="6" t="n"/>
      <c r="F163" s="4" t="n"/>
      <c r="G163" s="4" t="n"/>
      <c r="H163" s="4" t="n"/>
      <c r="I163" s="4" t="n"/>
    </row>
    <row r="164" ht="22" customHeight="1">
      <c r="B164" s="7" t="n"/>
      <c r="C164" s="8" t="n"/>
      <c r="D164" s="8" t="n"/>
      <c r="E164" s="10" t="n"/>
      <c r="F164" s="8" t="n"/>
      <c r="G164" s="8" t="n"/>
      <c r="H164" s="8" t="n"/>
      <c r="I164" s="8" t="n"/>
    </row>
    <row r="165" ht="22" customHeight="1">
      <c r="B165" s="3" t="n"/>
      <c r="C165" s="4" t="n"/>
      <c r="D165" s="4" t="n"/>
      <c r="E165" s="6" t="n"/>
      <c r="F165" s="4" t="n"/>
      <c r="G165" s="4" t="n"/>
      <c r="H165" s="4" t="n"/>
      <c r="I165" s="4" t="n"/>
    </row>
    <row r="166" ht="22" customHeight="1">
      <c r="B166" s="7" t="n"/>
      <c r="C166" s="8" t="n"/>
      <c r="D166" s="8" t="n"/>
      <c r="E166" s="10" t="n"/>
      <c r="F166" s="8" t="n"/>
      <c r="G166" s="8" t="n"/>
      <c r="H166" s="8" t="n"/>
      <c r="I166" s="8" t="n"/>
    </row>
    <row r="167" ht="22" customHeight="1">
      <c r="B167" s="3" t="n"/>
      <c r="C167" s="4" t="n"/>
      <c r="D167" s="4" t="n"/>
      <c r="E167" s="6" t="n"/>
      <c r="F167" s="4" t="n"/>
      <c r="G167" s="4" t="n"/>
      <c r="H167" s="4" t="n"/>
      <c r="I167" s="4" t="n"/>
    </row>
    <row r="168" ht="22" customHeight="1">
      <c r="B168" s="7" t="n"/>
      <c r="C168" s="8" t="n"/>
      <c r="D168" s="8" t="n"/>
      <c r="E168" s="10" t="n"/>
      <c r="F168" s="8" t="n"/>
      <c r="G168" s="8" t="n"/>
      <c r="H168" s="8" t="n"/>
      <c r="I168" s="8" t="n"/>
    </row>
    <row r="169" ht="22" customHeight="1">
      <c r="B169" s="3" t="n"/>
      <c r="C169" s="4" t="n"/>
      <c r="D169" s="4" t="n"/>
      <c r="E169" s="6" t="n"/>
      <c r="F169" s="4" t="n"/>
      <c r="G169" s="4" t="n"/>
      <c r="H169" s="4" t="n"/>
      <c r="I169" s="4" t="n"/>
    </row>
    <row r="170" ht="22" customHeight="1">
      <c r="B170" s="7" t="n"/>
      <c r="C170" s="8" t="n"/>
      <c r="D170" s="8" t="n"/>
      <c r="E170" s="10" t="n"/>
      <c r="F170" s="8" t="n"/>
      <c r="G170" s="8" t="n"/>
      <c r="H170" s="8" t="n"/>
      <c r="I170" s="8" t="n"/>
    </row>
    <row r="171" ht="22" customHeight="1">
      <c r="B171" s="3" t="n"/>
      <c r="C171" s="4" t="n"/>
      <c r="D171" s="4" t="n"/>
      <c r="E171" s="6" t="n"/>
      <c r="F171" s="4" t="n"/>
      <c r="G171" s="4" t="n"/>
      <c r="H171" s="4" t="n"/>
      <c r="I171" s="4" t="n"/>
    </row>
    <row r="172" ht="22" customHeight="1">
      <c r="B172" s="7" t="n"/>
      <c r="C172" s="8" t="n"/>
      <c r="D172" s="8" t="n"/>
      <c r="E172" s="10" t="n"/>
      <c r="F172" s="8" t="n"/>
      <c r="G172" s="8" t="n"/>
      <c r="H172" s="8" t="n"/>
      <c r="I172" s="8" t="n"/>
    </row>
    <row r="173" ht="22" customHeight="1">
      <c r="B173" s="3" t="n"/>
      <c r="C173" s="4" t="n"/>
      <c r="D173" s="4" t="n"/>
      <c r="E173" s="6" t="n"/>
      <c r="F173" s="4" t="n"/>
      <c r="G173" s="4" t="n"/>
      <c r="H173" s="4" t="n"/>
      <c r="I173" s="4" t="n"/>
    </row>
    <row r="174" ht="22" customHeight="1">
      <c r="B174" s="7" t="n"/>
      <c r="C174" s="8" t="n"/>
      <c r="D174" s="8" t="n"/>
      <c r="E174" s="10" t="n"/>
      <c r="F174" s="8" t="n"/>
      <c r="G174" s="8" t="n"/>
      <c r="H174" s="8" t="n"/>
      <c r="I174" s="8" t="n"/>
    </row>
    <row r="175" ht="22" customHeight="1">
      <c r="B175" s="3" t="n"/>
      <c r="C175" s="4" t="n"/>
      <c r="D175" s="4" t="n"/>
      <c r="E175" s="6" t="n"/>
      <c r="F175" s="4" t="n"/>
      <c r="G175" s="4" t="n"/>
      <c r="H175" s="4" t="n"/>
      <c r="I175" s="4" t="n"/>
    </row>
    <row r="176" ht="22" customHeight="1">
      <c r="B176" s="7" t="n"/>
      <c r="C176" s="8" t="n"/>
      <c r="D176" s="8" t="n"/>
      <c r="E176" s="10" t="n"/>
      <c r="F176" s="8" t="n"/>
      <c r="G176" s="8" t="n"/>
      <c r="H176" s="8" t="n"/>
      <c r="I176" s="8" t="n"/>
    </row>
    <row r="177" ht="22" customHeight="1">
      <c r="B177" s="3" t="n"/>
      <c r="C177" s="4" t="n"/>
      <c r="D177" s="4" t="n"/>
      <c r="E177" s="6" t="n"/>
      <c r="F177" s="4" t="n"/>
      <c r="G177" s="4" t="n"/>
      <c r="H177" s="4" t="n"/>
      <c r="I177" s="4" t="n"/>
    </row>
    <row r="178" ht="22" customHeight="1">
      <c r="B178" s="7" t="n"/>
      <c r="C178" s="8" t="n"/>
      <c r="D178" s="8" t="n"/>
      <c r="E178" s="10" t="n"/>
      <c r="F178" s="8" t="n"/>
      <c r="G178" s="8" t="n"/>
      <c r="H178" s="8" t="n"/>
      <c r="I178" s="8" t="n"/>
    </row>
    <row r="179" ht="22" customHeight="1">
      <c r="B179" s="3" t="n"/>
      <c r="C179" s="4" t="n"/>
      <c r="D179" s="4" t="n"/>
      <c r="E179" s="6" t="n"/>
      <c r="F179" s="4" t="n"/>
      <c r="G179" s="4" t="n"/>
      <c r="H179" s="4" t="n"/>
      <c r="I179" s="4" t="n"/>
    </row>
    <row r="180" ht="22" customHeight="1">
      <c r="B180" s="7" t="n"/>
      <c r="C180" s="8" t="n"/>
      <c r="D180" s="8" t="n"/>
      <c r="E180" s="10" t="n"/>
      <c r="F180" s="8" t="n"/>
      <c r="G180" s="8" t="n"/>
      <c r="H180" s="8" t="n"/>
      <c r="I180" s="8" t="n"/>
    </row>
    <row r="181" ht="22" customHeight="1">
      <c r="B181" s="3" t="n"/>
      <c r="C181" s="4" t="n"/>
      <c r="D181" s="4" t="n"/>
      <c r="E181" s="6" t="n"/>
      <c r="F181" s="4" t="n"/>
      <c r="G181" s="4" t="n"/>
      <c r="H181" s="4" t="n"/>
      <c r="I181" s="4" t="n"/>
    </row>
    <row r="182" ht="22" customHeight="1">
      <c r="B182" s="7" t="n"/>
      <c r="C182" s="8" t="n"/>
      <c r="D182" s="8" t="n"/>
      <c r="E182" s="10" t="n"/>
      <c r="F182" s="8" t="n"/>
      <c r="G182" s="8" t="n"/>
      <c r="H182" s="8" t="n"/>
      <c r="I182" s="8" t="n"/>
    </row>
    <row r="183" ht="22" customHeight="1">
      <c r="B183" s="3" t="n"/>
      <c r="C183" s="4" t="n"/>
      <c r="D183" s="4" t="n"/>
      <c r="E183" s="6" t="n"/>
      <c r="F183" s="4" t="n"/>
      <c r="G183" s="4" t="n"/>
      <c r="H183" s="4" t="n"/>
      <c r="I183" s="4" t="n"/>
    </row>
    <row r="184" ht="22" customHeight="1">
      <c r="B184" s="7" t="n"/>
      <c r="C184" s="8" t="n"/>
      <c r="D184" s="8" t="n"/>
      <c r="E184" s="10" t="n"/>
      <c r="F184" s="8" t="n"/>
      <c r="G184" s="8" t="n"/>
      <c r="H184" s="8" t="n"/>
      <c r="I184" s="8" t="n"/>
    </row>
    <row r="185" ht="22" customHeight="1">
      <c r="B185" s="3" t="n"/>
      <c r="C185" s="4" t="n"/>
      <c r="D185" s="4" t="n"/>
      <c r="E185" s="6" t="n"/>
      <c r="F185" s="4" t="n"/>
      <c r="G185" s="4" t="n"/>
      <c r="H185" s="4" t="n"/>
      <c r="I185" s="4" t="n"/>
    </row>
    <row r="186" ht="22" customHeight="1">
      <c r="B186" s="7" t="n"/>
      <c r="C186" s="8" t="n"/>
      <c r="D186" s="8" t="n"/>
      <c r="E186" s="10" t="n"/>
      <c r="F186" s="8" t="n"/>
      <c r="G186" s="8" t="n"/>
      <c r="H186" s="8" t="n"/>
      <c r="I186" s="8" t="n"/>
    </row>
    <row r="187" ht="22" customHeight="1">
      <c r="B187" s="3" t="n"/>
      <c r="C187" s="4" t="n"/>
      <c r="D187" s="4" t="n"/>
      <c r="E187" s="6" t="n"/>
      <c r="F187" s="4" t="n"/>
      <c r="G187" s="4" t="n"/>
      <c r="H187" s="4" t="n"/>
      <c r="I187" s="4" t="n"/>
    </row>
    <row r="188" ht="22" customHeight="1">
      <c r="B188" s="7" t="n"/>
      <c r="C188" s="8" t="n"/>
      <c r="D188" s="8" t="n"/>
      <c r="E188" s="10" t="n"/>
      <c r="F188" s="8" t="n"/>
      <c r="G188" s="8" t="n"/>
      <c r="H188" s="8" t="n"/>
      <c r="I188" s="8" t="n"/>
    </row>
    <row r="189" ht="22" customHeight="1">
      <c r="B189" s="3" t="n"/>
      <c r="C189" s="4" t="n"/>
      <c r="D189" s="4" t="n"/>
      <c r="E189" s="6" t="n"/>
      <c r="F189" s="4" t="n"/>
      <c r="G189" s="4" t="n"/>
      <c r="H189" s="4" t="n"/>
      <c r="I189" s="4" t="n"/>
    </row>
    <row r="190" ht="22" customHeight="1">
      <c r="B190" s="7" t="n"/>
      <c r="C190" s="8" t="n"/>
      <c r="D190" s="8" t="n"/>
      <c r="E190" s="10" t="n"/>
      <c r="F190" s="8" t="n"/>
      <c r="G190" s="8" t="n"/>
      <c r="H190" s="8" t="n"/>
      <c r="I190" s="8" t="n"/>
    </row>
    <row r="191" ht="22" customHeight="1">
      <c r="B191" s="3" t="n"/>
      <c r="C191" s="4" t="n"/>
      <c r="D191" s="4" t="n"/>
      <c r="E191" s="6" t="n"/>
      <c r="F191" s="4" t="n"/>
      <c r="G191" s="4" t="n"/>
      <c r="H191" s="4" t="n"/>
      <c r="I191" s="4" t="n"/>
    </row>
    <row r="192" ht="22" customHeight="1">
      <c r="B192" s="7" t="n"/>
      <c r="C192" s="8" t="n"/>
      <c r="D192" s="8" t="n"/>
      <c r="E192" s="10" t="n"/>
      <c r="F192" s="8" t="n"/>
      <c r="G192" s="8" t="n"/>
      <c r="H192" s="8" t="n"/>
      <c r="I192" s="8" t="n"/>
    </row>
    <row r="193" ht="22" customHeight="1">
      <c r="B193" s="3" t="n"/>
      <c r="C193" s="4" t="n"/>
      <c r="D193" s="4" t="n"/>
      <c r="E193" s="6" t="n"/>
      <c r="F193" s="4" t="n"/>
      <c r="G193" s="4" t="n"/>
      <c r="H193" s="4" t="n"/>
      <c r="I193" s="4" t="n"/>
    </row>
    <row r="194" ht="22" customHeight="1">
      <c r="B194" s="7" t="n"/>
      <c r="C194" s="8" t="n"/>
      <c r="D194" s="8" t="n"/>
      <c r="E194" s="10" t="n"/>
      <c r="F194" s="8" t="n"/>
      <c r="G194" s="8" t="n"/>
      <c r="H194" s="8" t="n"/>
      <c r="I194" s="8" t="n"/>
    </row>
    <row r="195" ht="22" customHeight="1">
      <c r="B195" s="3" t="n"/>
      <c r="C195" s="4" t="n"/>
      <c r="D195" s="4" t="n"/>
      <c r="E195" s="6" t="n"/>
      <c r="F195" s="4" t="n"/>
      <c r="G195" s="4" t="n"/>
      <c r="H195" s="4" t="n"/>
      <c r="I195" s="4" t="n"/>
    </row>
    <row r="196" ht="22" customHeight="1">
      <c r="B196" s="7" t="n"/>
      <c r="C196" s="8" t="n"/>
      <c r="D196" s="8" t="n"/>
      <c r="E196" s="10" t="n"/>
      <c r="F196" s="8" t="n"/>
      <c r="G196" s="8" t="n"/>
      <c r="H196" s="8" t="n"/>
      <c r="I196" s="8" t="n"/>
    </row>
    <row r="197" ht="22" customHeight="1">
      <c r="B197" s="3" t="n"/>
      <c r="C197" s="4" t="n"/>
      <c r="D197" s="4" t="n"/>
      <c r="E197" s="6" t="n"/>
      <c r="F197" s="4" t="n"/>
      <c r="G197" s="4" t="n"/>
      <c r="H197" s="4" t="n"/>
      <c r="I197" s="4" t="n"/>
    </row>
    <row r="198" ht="22" customHeight="1">
      <c r="B198" s="7" t="n"/>
      <c r="C198" s="8" t="n"/>
      <c r="D198" s="8" t="n"/>
      <c r="E198" s="10" t="n"/>
      <c r="F198" s="8" t="n"/>
      <c r="G198" s="8" t="n"/>
      <c r="H198" s="8" t="n"/>
      <c r="I198" s="8" t="n"/>
    </row>
    <row r="199" ht="22" customHeight="1">
      <c r="B199" s="3" t="n"/>
      <c r="C199" s="4" t="n"/>
      <c r="D199" s="4" t="n"/>
      <c r="E199" s="6" t="n"/>
      <c r="F199" s="4" t="n"/>
      <c r="G199" s="4" t="n"/>
      <c r="H199" s="4" t="n"/>
      <c r="I199" s="4" t="n"/>
    </row>
    <row r="200" ht="22" customHeight="1">
      <c r="B200" s="7" t="n"/>
      <c r="C200" s="8" t="n"/>
      <c r="D200" s="8" t="n"/>
      <c r="E200" s="10" t="n"/>
      <c r="F200" s="8" t="n"/>
      <c r="G200" s="8" t="n"/>
      <c r="H200" s="8" t="n"/>
      <c r="I200" s="8" t="n"/>
    </row>
    <row r="201" ht="22" customHeight="1">
      <c r="B201" s="3" t="n"/>
      <c r="C201" s="4" t="n"/>
      <c r="D201" s="4" t="n"/>
      <c r="E201" s="6" t="n"/>
      <c r="F201" s="4" t="n"/>
      <c r="G201" s="4" t="n"/>
      <c r="H201" s="4" t="n"/>
      <c r="I201" s="4" t="n"/>
    </row>
    <row r="202" ht="22" customHeight="1">
      <c r="B202" s="7" t="n"/>
      <c r="C202" s="8" t="n"/>
      <c r="D202" s="8" t="n"/>
      <c r="E202" s="10" t="n"/>
      <c r="F202" s="8" t="n"/>
      <c r="G202" s="8" t="n"/>
      <c r="H202" s="8" t="n"/>
      <c r="I202" s="8" t="n"/>
    </row>
    <row r="203" ht="22" customHeight="1">
      <c r="B203" s="3" t="n"/>
      <c r="C203" s="4" t="n"/>
      <c r="D203" s="4" t="n"/>
      <c r="E203" s="6" t="n"/>
      <c r="F203" s="4" t="n"/>
      <c r="G203" s="4" t="n"/>
      <c r="H203" s="4" t="n"/>
      <c r="I203" s="4" t="n"/>
    </row>
    <row r="204" ht="22" customHeight="1">
      <c r="B204" s="7" t="n"/>
      <c r="C204" s="8" t="n"/>
      <c r="D204" s="8" t="n"/>
      <c r="E204" s="10" t="n"/>
      <c r="F204" s="8" t="n"/>
      <c r="G204" s="8" t="n"/>
      <c r="H204" s="8" t="n"/>
      <c r="I204" s="8" t="n"/>
    </row>
    <row r="205" ht="22" customHeight="1">
      <c r="B205" s="3" t="n"/>
      <c r="C205" s="4" t="n"/>
      <c r="D205" s="4" t="n"/>
      <c r="E205" s="6" t="n"/>
      <c r="F205" s="4" t="n"/>
      <c r="G205" s="4" t="n"/>
      <c r="H205" s="4" t="n"/>
      <c r="I205" s="4" t="n"/>
    </row>
    <row r="206" ht="22" customHeight="1">
      <c r="B206" s="7" t="n"/>
      <c r="C206" s="8" t="n"/>
      <c r="D206" s="8" t="n"/>
      <c r="E206" s="10" t="n"/>
      <c r="F206" s="8" t="n"/>
      <c r="G206" s="8" t="n"/>
      <c r="H206" s="8" t="n"/>
      <c r="I206" s="8" t="n"/>
    </row>
    <row r="207" ht="22" customHeight="1">
      <c r="B207" s="3" t="n"/>
      <c r="C207" s="4" t="n"/>
      <c r="D207" s="4" t="n"/>
      <c r="E207" s="6" t="n"/>
      <c r="F207" s="4" t="n"/>
      <c r="G207" s="4" t="n"/>
      <c r="H207" s="4" t="n"/>
      <c r="I207" s="4" t="n"/>
    </row>
    <row r="208" ht="22" customHeight="1">
      <c r="B208" s="7" t="n"/>
      <c r="C208" s="8" t="n"/>
      <c r="D208" s="8" t="n"/>
      <c r="E208" s="10" t="n"/>
      <c r="F208" s="8" t="n"/>
      <c r="G208" s="8" t="n"/>
      <c r="H208" s="8" t="n"/>
      <c r="I208" s="8" t="n"/>
    </row>
    <row r="209" ht="22" customHeight="1">
      <c r="B209" s="3" t="n"/>
      <c r="C209" s="4" t="n"/>
      <c r="D209" s="4" t="n"/>
      <c r="E209" s="6" t="n"/>
      <c r="F209" s="4" t="n"/>
      <c r="G209" s="4" t="n"/>
      <c r="H209" s="4" t="n"/>
      <c r="I209" s="4" t="n"/>
    </row>
    <row r="210" ht="22" customHeight="1">
      <c r="B210" s="7" t="n"/>
      <c r="C210" s="8" t="n"/>
      <c r="D210" s="8" t="n"/>
      <c r="E210" s="10" t="n"/>
      <c r="F210" s="8" t="n"/>
      <c r="G210" s="8" t="n"/>
      <c r="H210" s="8" t="n"/>
      <c r="I210" s="8" t="n"/>
    </row>
    <row r="211" ht="22" customHeight="1">
      <c r="B211" s="3" t="n"/>
      <c r="C211" s="4" t="n"/>
      <c r="D211" s="4" t="n"/>
      <c r="E211" s="6" t="n"/>
      <c r="F211" s="4" t="n"/>
      <c r="G211" s="4" t="n"/>
      <c r="H211" s="4" t="n"/>
      <c r="I211" s="4" t="n"/>
    </row>
    <row r="212" ht="22" customHeight="1">
      <c r="B212" s="7" t="n"/>
      <c r="C212" s="8" t="n"/>
      <c r="D212" s="8" t="n"/>
      <c r="E212" s="10" t="n"/>
      <c r="F212" s="8" t="n"/>
      <c r="G212" s="8" t="n"/>
      <c r="H212" s="8" t="n"/>
      <c r="I212" s="8" t="n"/>
    </row>
    <row r="213" ht="22" customHeight="1">
      <c r="B213" s="3" t="n"/>
      <c r="C213" s="4" t="n"/>
      <c r="D213" s="4" t="n"/>
      <c r="E213" s="6" t="n"/>
      <c r="F213" s="4" t="n"/>
      <c r="G213" s="4" t="n"/>
      <c r="H213" s="4" t="n"/>
      <c r="I213" s="4" t="n"/>
    </row>
    <row r="214" ht="22" customHeight="1">
      <c r="B214" s="7" t="n"/>
      <c r="C214" s="8" t="n"/>
      <c r="D214" s="8" t="n"/>
      <c r="E214" s="10" t="n"/>
      <c r="F214" s="8" t="n"/>
      <c r="G214" s="8" t="n"/>
      <c r="H214" s="8" t="n"/>
      <c r="I214" s="8" t="n"/>
    </row>
    <row r="215" ht="22" customHeight="1">
      <c r="B215" s="3" t="n"/>
      <c r="C215" s="4" t="n"/>
      <c r="D215" s="4" t="n"/>
      <c r="E215" s="6" t="n"/>
      <c r="F215" s="4" t="n"/>
      <c r="G215" s="4" t="n"/>
      <c r="H215" s="4" t="n"/>
      <c r="I215" s="4" t="n"/>
    </row>
    <row r="216" ht="22" customHeight="1">
      <c r="B216" s="7" t="n"/>
      <c r="C216" s="8" t="n"/>
      <c r="D216" s="8" t="n"/>
      <c r="E216" s="10" t="n"/>
      <c r="F216" s="8" t="n"/>
      <c r="G216" s="8" t="n"/>
      <c r="H216" s="8" t="n"/>
      <c r="I216" s="8" t="n"/>
    </row>
    <row r="217" ht="22" customHeight="1">
      <c r="B217" s="3" t="n"/>
      <c r="C217" s="4" t="n"/>
      <c r="D217" s="4" t="n"/>
      <c r="E217" s="6" t="n"/>
      <c r="F217" s="4" t="n"/>
      <c r="G217" s="4" t="n"/>
      <c r="H217" s="4" t="n"/>
      <c r="I217" s="4" t="n"/>
    </row>
    <row r="218" ht="22" customHeight="1">
      <c r="B218" s="7" t="n"/>
      <c r="C218" s="8" t="n"/>
      <c r="D218" s="8" t="n"/>
      <c r="E218" s="10" t="n"/>
      <c r="F218" s="8" t="n"/>
      <c r="G218" s="8" t="n"/>
      <c r="H218" s="8" t="n"/>
      <c r="I218" s="8" t="n"/>
    </row>
    <row r="219" ht="22" customHeight="1">
      <c r="B219" s="3" t="n"/>
      <c r="C219" s="4" t="n"/>
      <c r="D219" s="4" t="n"/>
      <c r="E219" s="6" t="n"/>
      <c r="F219" s="4" t="n"/>
      <c r="G219" s="4" t="n"/>
      <c r="H219" s="4" t="n"/>
      <c r="I219" s="4" t="n"/>
    </row>
    <row r="220" ht="22" customHeight="1">
      <c r="B220" s="7" t="n"/>
      <c r="C220" s="8" t="n"/>
      <c r="D220" s="8" t="n"/>
      <c r="E220" s="10" t="n"/>
      <c r="F220" s="8" t="n"/>
      <c r="G220" s="8" t="n"/>
      <c r="H220" s="8" t="n"/>
      <c r="I220" s="8" t="n"/>
    </row>
    <row r="221" ht="22" customHeight="1">
      <c r="B221" s="3" t="n"/>
      <c r="C221" s="4" t="n"/>
      <c r="D221" s="4" t="n"/>
      <c r="E221" s="6" t="n"/>
      <c r="F221" s="4" t="n"/>
      <c r="G221" s="4" t="n"/>
      <c r="H221" s="4" t="n"/>
      <c r="I221" s="4" t="n"/>
    </row>
    <row r="222" ht="22" customHeight="1">
      <c r="B222" s="7" t="n"/>
      <c r="C222" s="8" t="n"/>
      <c r="D222" s="8" t="n"/>
      <c r="E222" s="10" t="n"/>
      <c r="F222" s="8" t="n"/>
      <c r="G222" s="8" t="n"/>
      <c r="H222" s="8" t="n"/>
      <c r="I222" s="8" t="n"/>
    </row>
    <row r="223" ht="22" customHeight="1">
      <c r="B223" s="3" t="n"/>
      <c r="C223" s="4" t="n"/>
      <c r="D223" s="4" t="n"/>
      <c r="E223" s="6" t="n"/>
      <c r="F223" s="4" t="n"/>
      <c r="G223" s="4" t="n"/>
      <c r="H223" s="4" t="n"/>
      <c r="I223" s="4" t="n"/>
    </row>
    <row r="224" ht="22" customHeight="1">
      <c r="B224" s="7" t="n"/>
      <c r="C224" s="8" t="n"/>
      <c r="D224" s="8" t="n"/>
      <c r="E224" s="10" t="n"/>
      <c r="F224" s="8" t="n"/>
      <c r="G224" s="8" t="n"/>
      <c r="H224" s="8" t="n"/>
      <c r="I224" s="8" t="n"/>
    </row>
    <row r="225" ht="22" customHeight="1">
      <c r="B225" s="3" t="n"/>
      <c r="C225" s="4" t="n"/>
      <c r="D225" s="4" t="n"/>
      <c r="E225" s="6" t="n"/>
      <c r="F225" s="4" t="n"/>
      <c r="G225" s="4" t="n"/>
      <c r="H225" s="4" t="n"/>
      <c r="I225" s="4" t="n"/>
    </row>
    <row r="226" ht="22" customHeight="1">
      <c r="B226" s="7" t="n"/>
      <c r="C226" s="8" t="n"/>
      <c r="D226" s="8" t="n"/>
      <c r="E226" s="10" t="n"/>
      <c r="F226" s="8" t="n"/>
      <c r="G226" s="8" t="n"/>
      <c r="H226" s="8" t="n"/>
      <c r="I226" s="8" t="n"/>
    </row>
    <row r="227" ht="22" customHeight="1">
      <c r="B227" s="3" t="n"/>
      <c r="C227" s="4" t="n"/>
      <c r="D227" s="4" t="n"/>
      <c r="E227" s="6" t="n"/>
      <c r="F227" s="4" t="n"/>
      <c r="G227" s="4" t="n"/>
      <c r="H227" s="4" t="n"/>
      <c r="I227" s="4" t="n"/>
    </row>
    <row r="228" ht="22" customHeight="1">
      <c r="B228" s="7" t="n"/>
      <c r="C228" s="8" t="n"/>
      <c r="D228" s="8" t="n"/>
      <c r="E228" s="10" t="n"/>
      <c r="F228" s="8" t="n"/>
      <c r="G228" s="8" t="n"/>
      <c r="H228" s="8" t="n"/>
      <c r="I228" s="8" t="n"/>
    </row>
    <row r="229" ht="22" customHeight="1">
      <c r="B229" s="3" t="n"/>
      <c r="C229" s="4" t="n"/>
      <c r="D229" s="4" t="n"/>
      <c r="E229" s="6" t="n"/>
      <c r="F229" s="4" t="n"/>
      <c r="G229" s="4" t="n"/>
      <c r="H229" s="4" t="n"/>
      <c r="I229" s="4" t="n"/>
    </row>
    <row r="230" ht="22" customHeight="1">
      <c r="B230" s="7" t="n"/>
      <c r="C230" s="8" t="n"/>
      <c r="D230" s="8" t="n"/>
      <c r="E230" s="10" t="n"/>
      <c r="F230" s="8" t="n"/>
      <c r="G230" s="8" t="n"/>
      <c r="H230" s="8" t="n"/>
      <c r="I230" s="8" t="n"/>
    </row>
    <row r="231" ht="22" customHeight="1">
      <c r="B231" s="3" t="n"/>
      <c r="C231" s="4" t="n"/>
      <c r="D231" s="4" t="n"/>
      <c r="E231" s="6" t="n"/>
      <c r="F231" s="4" t="n"/>
      <c r="G231" s="4" t="n"/>
      <c r="H231" s="4" t="n"/>
      <c r="I231" s="4" t="n"/>
    </row>
    <row r="232" ht="22" customHeight="1">
      <c r="B232" s="7" t="n"/>
      <c r="C232" s="8" t="n"/>
      <c r="D232" s="8" t="n"/>
      <c r="E232" s="10" t="n"/>
      <c r="F232" s="8" t="n"/>
      <c r="G232" s="8" t="n"/>
      <c r="H232" s="8" t="n"/>
      <c r="I232" s="8" t="n"/>
    </row>
    <row r="233" ht="22" customHeight="1">
      <c r="B233" s="3" t="n"/>
      <c r="C233" s="4" t="n"/>
      <c r="D233" s="4" t="n"/>
      <c r="E233" s="6" t="n"/>
      <c r="F233" s="4" t="n"/>
      <c r="G233" s="4" t="n"/>
      <c r="H233" s="4" t="n"/>
      <c r="I233" s="4" t="n"/>
    </row>
    <row r="234" ht="22" customHeight="1">
      <c r="B234" s="7" t="n"/>
      <c r="C234" s="8" t="n"/>
      <c r="D234" s="8" t="n"/>
      <c r="E234" s="10" t="n"/>
      <c r="F234" s="8" t="n"/>
      <c r="G234" s="8" t="n"/>
      <c r="H234" s="8" t="n"/>
      <c r="I234" s="8" t="n"/>
    </row>
    <row r="235" ht="22" customHeight="1">
      <c r="B235" s="3" t="n"/>
      <c r="C235" s="4" t="n"/>
      <c r="D235" s="4" t="n"/>
      <c r="E235" s="6" t="n"/>
      <c r="F235" s="4" t="n"/>
      <c r="G235" s="4" t="n"/>
      <c r="H235" s="4" t="n"/>
      <c r="I235" s="4" t="n"/>
    </row>
    <row r="236" ht="22" customHeight="1">
      <c r="B236" s="7" t="n"/>
      <c r="C236" s="8" t="n"/>
      <c r="D236" s="8" t="n"/>
      <c r="E236" s="10" t="n"/>
      <c r="F236" s="8" t="n"/>
      <c r="G236" s="8" t="n"/>
      <c r="H236" s="8" t="n"/>
      <c r="I236" s="8" t="n"/>
    </row>
    <row r="237" ht="22" customHeight="1">
      <c r="B237" s="3" t="n"/>
      <c r="C237" s="4" t="n"/>
      <c r="D237" s="4" t="n"/>
      <c r="E237" s="6" t="n"/>
      <c r="F237" s="4" t="n"/>
      <c r="G237" s="4" t="n"/>
      <c r="H237" s="4" t="n"/>
      <c r="I237" s="4" t="n"/>
    </row>
    <row r="238" ht="22" customHeight="1">
      <c r="B238" s="7" t="n"/>
      <c r="C238" s="8" t="n"/>
      <c r="D238" s="8" t="n"/>
      <c r="E238" s="10" t="n"/>
      <c r="F238" s="8" t="n"/>
      <c r="G238" s="8" t="n"/>
      <c r="H238" s="8" t="n"/>
      <c r="I238" s="8" t="n"/>
    </row>
    <row r="239" ht="22" customHeight="1">
      <c r="B239" s="3" t="n"/>
      <c r="C239" s="4" t="n"/>
      <c r="D239" s="4" t="n"/>
      <c r="E239" s="6" t="n"/>
      <c r="F239" s="4" t="n"/>
      <c r="G239" s="4" t="n"/>
      <c r="H239" s="4" t="n"/>
      <c r="I239" s="4" t="n"/>
    </row>
    <row r="240" ht="22" customHeight="1">
      <c r="B240" s="7" t="n"/>
      <c r="C240" s="8" t="n"/>
      <c r="D240" s="8" t="n"/>
      <c r="E240" s="10" t="n"/>
      <c r="F240" s="8" t="n"/>
      <c r="G240" s="8" t="n"/>
      <c r="H240" s="8" t="n"/>
      <c r="I240" s="8" t="n"/>
    </row>
    <row r="241" ht="22" customHeight="1">
      <c r="B241" s="3" t="n"/>
      <c r="C241" s="4" t="n"/>
      <c r="D241" s="4" t="n"/>
      <c r="E241" s="6" t="n"/>
      <c r="F241" s="4" t="n"/>
      <c r="G241" s="4" t="n"/>
      <c r="H241" s="4" t="n"/>
      <c r="I241" s="4" t="n"/>
    </row>
    <row r="242" ht="22" customHeight="1">
      <c r="B242" s="7" t="n"/>
      <c r="C242" s="8" t="n"/>
      <c r="D242" s="8" t="n"/>
      <c r="E242" s="10" t="n"/>
      <c r="F242" s="8" t="n"/>
      <c r="G242" s="8" t="n"/>
      <c r="H242" s="8" t="n"/>
      <c r="I242" s="8" t="n"/>
    </row>
    <row r="243" ht="22" customHeight="1">
      <c r="B243" s="3" t="n"/>
      <c r="C243" s="4" t="n"/>
      <c r="D243" s="4" t="n"/>
      <c r="E243" s="6" t="n"/>
      <c r="F243" s="4" t="n"/>
      <c r="G243" s="4" t="n"/>
      <c r="H243" s="4" t="n"/>
      <c r="I243" s="4" t="n"/>
    </row>
    <row r="244" ht="22" customHeight="1">
      <c r="B244" s="7" t="n"/>
      <c r="C244" s="8" t="n"/>
      <c r="D244" s="8" t="n"/>
      <c r="E244" s="10" t="n"/>
      <c r="F244" s="8" t="n"/>
      <c r="G244" s="8" t="n"/>
      <c r="H244" s="8" t="n"/>
      <c r="I244" s="8" t="n"/>
    </row>
    <row r="245" ht="22" customHeight="1">
      <c r="B245" s="3" t="n"/>
      <c r="C245" s="4" t="n"/>
      <c r="D245" s="4" t="n"/>
      <c r="E245" s="6" t="n"/>
      <c r="F245" s="4" t="n"/>
      <c r="G245" s="4" t="n"/>
      <c r="H245" s="4" t="n"/>
      <c r="I245" s="4" t="n"/>
    </row>
    <row r="246" ht="22" customHeight="1">
      <c r="B246" s="7" t="n"/>
      <c r="C246" s="8" t="n"/>
      <c r="D246" s="8" t="n"/>
      <c r="E246" s="10" t="n"/>
      <c r="F246" s="8" t="n"/>
      <c r="G246" s="8" t="n"/>
      <c r="H246" s="8" t="n"/>
      <c r="I246" s="8" t="n"/>
    </row>
    <row r="247" ht="22" customHeight="1">
      <c r="B247" s="3" t="n"/>
      <c r="C247" s="4" t="n"/>
      <c r="D247" s="4" t="n"/>
      <c r="E247" s="6" t="n"/>
      <c r="F247" s="4" t="n"/>
      <c r="G247" s="4" t="n"/>
      <c r="H247" s="4" t="n"/>
      <c r="I247" s="4" t="n"/>
    </row>
    <row r="248" ht="22" customHeight="1">
      <c r="B248" s="7" t="n"/>
      <c r="C248" s="8" t="n"/>
      <c r="D248" s="8" t="n"/>
      <c r="E248" s="10" t="n"/>
      <c r="F248" s="8" t="n"/>
      <c r="G248" s="8" t="n"/>
      <c r="H248" s="8" t="n"/>
      <c r="I248" s="8" t="n"/>
    </row>
    <row r="249" ht="22" customHeight="1">
      <c r="B249" s="3" t="n"/>
      <c r="C249" s="4" t="n"/>
      <c r="D249" s="4" t="n"/>
      <c r="E249" s="6" t="n"/>
      <c r="F249" s="4" t="n"/>
      <c r="G249" s="4" t="n"/>
      <c r="H249" s="4" t="n"/>
      <c r="I249" s="4" t="n"/>
    </row>
    <row r="250" ht="22" customHeight="1">
      <c r="B250" s="7" t="n"/>
      <c r="C250" s="8" t="n"/>
      <c r="D250" s="8" t="n"/>
      <c r="E250" s="10" t="n"/>
      <c r="F250" s="8" t="n"/>
      <c r="G250" s="8" t="n"/>
      <c r="H250" s="8" t="n"/>
      <c r="I250" s="8" t="n"/>
    </row>
    <row r="251" ht="22" customHeight="1">
      <c r="B251" s="3" t="n"/>
      <c r="C251" s="4" t="n"/>
      <c r="D251" s="4" t="n"/>
      <c r="E251" s="6" t="n"/>
      <c r="F251" s="4" t="n"/>
      <c r="G251" s="4" t="n"/>
      <c r="H251" s="4" t="n"/>
      <c r="I251" s="4" t="n"/>
    </row>
    <row r="252" ht="22" customHeight="1">
      <c r="B252" s="7" t="n"/>
      <c r="C252" s="8" t="n"/>
      <c r="D252" s="8" t="n"/>
      <c r="E252" s="10" t="n"/>
      <c r="F252" s="8" t="n"/>
      <c r="G252" s="8" t="n"/>
      <c r="H252" s="8" t="n"/>
      <c r="I252" s="8" t="n"/>
    </row>
    <row r="253" ht="22" customHeight="1">
      <c r="B253" s="3" t="n"/>
      <c r="C253" s="4" t="n"/>
      <c r="D253" s="4" t="n"/>
      <c r="E253" s="6" t="n"/>
      <c r="F253" s="4" t="n"/>
      <c r="G253" s="4" t="n"/>
      <c r="H253" s="4" t="n"/>
      <c r="I253" s="4" t="n"/>
    </row>
    <row r="254" ht="22" customHeight="1">
      <c r="B254" s="7" t="n"/>
      <c r="C254" s="8" t="n"/>
      <c r="D254" s="8" t="n"/>
      <c r="E254" s="10" t="n"/>
      <c r="F254" s="8" t="n"/>
      <c r="G254" s="8" t="n"/>
      <c r="H254" s="8" t="n"/>
      <c r="I254" s="8" t="n"/>
    </row>
    <row r="255" ht="22" customHeight="1">
      <c r="B255" s="3" t="n"/>
      <c r="C255" s="4" t="n"/>
      <c r="D255" s="4" t="n"/>
      <c r="E255" s="6" t="n"/>
      <c r="F255" s="4" t="n"/>
      <c r="G255" s="4" t="n"/>
      <c r="H255" s="4" t="n"/>
      <c r="I255" s="4" t="n"/>
    </row>
    <row r="256" ht="22" customHeight="1">
      <c r="B256" s="7" t="n"/>
      <c r="C256" s="8" t="n"/>
      <c r="D256" s="8" t="n"/>
      <c r="E256" s="10" t="n"/>
      <c r="F256" s="8" t="n"/>
      <c r="G256" s="8" t="n"/>
      <c r="H256" s="8" t="n"/>
      <c r="I256" s="8" t="n"/>
    </row>
    <row r="257" ht="22" customHeight="1">
      <c r="B257" s="3" t="n"/>
      <c r="C257" s="4" t="n"/>
      <c r="D257" s="4" t="n"/>
      <c r="E257" s="6" t="n"/>
      <c r="F257" s="4" t="n"/>
      <c r="G257" s="4" t="n"/>
      <c r="H257" s="4" t="n"/>
      <c r="I257" s="4" t="n"/>
    </row>
    <row r="258" ht="22" customHeight="1">
      <c r="B258" s="7" t="n"/>
      <c r="C258" s="8" t="n"/>
      <c r="D258" s="8" t="n"/>
      <c r="E258" s="10" t="n"/>
      <c r="F258" s="8" t="n"/>
      <c r="G258" s="8" t="n"/>
      <c r="H258" s="8" t="n"/>
      <c r="I258" s="8" t="n"/>
    </row>
    <row r="259" ht="22" customHeight="1">
      <c r="B259" s="3" t="n"/>
      <c r="C259" s="4" t="n"/>
      <c r="D259" s="4" t="n"/>
      <c r="E259" s="6" t="n"/>
      <c r="F259" s="4" t="n"/>
      <c r="G259" s="4" t="n"/>
      <c r="H259" s="4" t="n"/>
      <c r="I259" s="4" t="n"/>
    </row>
    <row r="260" ht="22" customHeight="1">
      <c r="B260" s="7" t="n"/>
      <c r="C260" s="8" t="n"/>
      <c r="D260" s="8" t="n"/>
      <c r="E260" s="10" t="n"/>
      <c r="F260" s="8" t="n"/>
      <c r="G260" s="8" t="n"/>
      <c r="H260" s="8" t="n"/>
      <c r="I260" s="8" t="n"/>
    </row>
    <row r="261" ht="22" customHeight="1">
      <c r="B261" s="3" t="n"/>
      <c r="C261" s="4" t="n"/>
      <c r="D261" s="4" t="n"/>
      <c r="E261" s="6" t="n"/>
      <c r="F261" s="4" t="n"/>
      <c r="G261" s="4" t="n"/>
      <c r="H261" s="4" t="n"/>
      <c r="I261" s="4" t="n"/>
    </row>
    <row r="262" ht="22" customHeight="1">
      <c r="B262" s="7" t="n"/>
      <c r="C262" s="8" t="n"/>
      <c r="D262" s="8" t="n"/>
      <c r="E262" s="10" t="n"/>
      <c r="F262" s="8" t="n"/>
      <c r="G262" s="8" t="n"/>
      <c r="H262" s="8" t="n"/>
      <c r="I262" s="8" t="n"/>
    </row>
    <row r="263" ht="22" customHeight="1">
      <c r="B263" s="3" t="n"/>
      <c r="C263" s="4" t="n"/>
      <c r="D263" s="4" t="n"/>
      <c r="E263" s="6" t="n"/>
      <c r="F263" s="4" t="n"/>
      <c r="G263" s="4" t="n"/>
      <c r="H263" s="4" t="n"/>
      <c r="I263" s="4" t="n"/>
    </row>
    <row r="264" ht="22" customHeight="1">
      <c r="B264" s="7" t="n"/>
      <c r="C264" s="8" t="n"/>
      <c r="D264" s="8" t="n"/>
      <c r="E264" s="10" t="n"/>
      <c r="F264" s="8" t="n"/>
      <c r="G264" s="8" t="n"/>
      <c r="H264" s="8" t="n"/>
      <c r="I264" s="8" t="n"/>
    </row>
    <row r="265" ht="22" customHeight="1">
      <c r="B265" s="3" t="n"/>
      <c r="C265" s="4" t="n"/>
      <c r="D265" s="4" t="n"/>
      <c r="E265" s="6" t="n"/>
      <c r="F265" s="4" t="n"/>
      <c r="G265" s="4" t="n"/>
      <c r="H265" s="4" t="n"/>
      <c r="I265" s="4" t="n"/>
    </row>
    <row r="266" ht="22" customHeight="1">
      <c r="B266" s="7" t="n"/>
      <c r="C266" s="8" t="n"/>
      <c r="D266" s="8" t="n"/>
      <c r="E266" s="10" t="n"/>
      <c r="F266" s="8" t="n"/>
      <c r="G266" s="8" t="n"/>
      <c r="H266" s="8" t="n"/>
      <c r="I266" s="8" t="n"/>
    </row>
    <row r="267" ht="22" customHeight="1">
      <c r="B267" s="3" t="n"/>
      <c r="C267" s="4" t="n"/>
      <c r="D267" s="4" t="n"/>
      <c r="E267" s="6" t="n"/>
      <c r="F267" s="4" t="n"/>
      <c r="G267" s="4" t="n"/>
      <c r="H267" s="4" t="n"/>
      <c r="I267" s="4" t="n"/>
    </row>
    <row r="268" ht="22" customHeight="1">
      <c r="B268" s="7" t="n"/>
      <c r="C268" s="8" t="n"/>
      <c r="D268" s="8" t="n"/>
      <c r="E268" s="10" t="n"/>
      <c r="F268" s="8" t="n"/>
      <c r="G268" s="8" t="n"/>
      <c r="H268" s="8" t="n"/>
      <c r="I268" s="8" t="n"/>
    </row>
    <row r="269" ht="22" customHeight="1">
      <c r="B269" s="3" t="n"/>
      <c r="C269" s="4" t="n"/>
      <c r="D269" s="4" t="n"/>
      <c r="E269" s="6" t="n"/>
      <c r="F269" s="4" t="n"/>
      <c r="G269" s="4" t="n"/>
      <c r="H269" s="4" t="n"/>
      <c r="I269" s="4" t="n"/>
    </row>
    <row r="270" ht="22" customHeight="1">
      <c r="B270" s="7" t="n"/>
      <c r="C270" s="8" t="n"/>
      <c r="D270" s="8" t="n"/>
      <c r="E270" s="10" t="n"/>
      <c r="F270" s="8" t="n"/>
      <c r="G270" s="8" t="n"/>
      <c r="H270" s="8" t="n"/>
      <c r="I270" s="8" t="n"/>
    </row>
    <row r="271" ht="22" customHeight="1">
      <c r="B271" s="3" t="n"/>
      <c r="C271" s="4" t="n"/>
      <c r="D271" s="4" t="n"/>
      <c r="E271" s="6" t="n"/>
      <c r="F271" s="4" t="n"/>
      <c r="G271" s="4" t="n"/>
      <c r="H271" s="4" t="n"/>
      <c r="I271" s="4" t="n"/>
    </row>
    <row r="272" ht="22" customHeight="1">
      <c r="B272" s="7" t="n"/>
      <c r="C272" s="8" t="n"/>
      <c r="D272" s="8" t="n"/>
      <c r="E272" s="10" t="n"/>
      <c r="F272" s="8" t="n"/>
      <c r="G272" s="8" t="n"/>
      <c r="H272" s="8" t="n"/>
      <c r="I272" s="8" t="n"/>
    </row>
    <row r="273" ht="22" customHeight="1">
      <c r="B273" s="3" t="n"/>
      <c r="C273" s="4" t="n"/>
      <c r="D273" s="4" t="n"/>
      <c r="E273" s="6" t="n"/>
      <c r="F273" s="4" t="n"/>
      <c r="G273" s="4" t="n"/>
      <c r="H273" s="4" t="n"/>
      <c r="I273" s="4" t="n"/>
    </row>
    <row r="274" ht="22" customHeight="1">
      <c r="B274" s="7" t="n"/>
      <c r="C274" s="8" t="n"/>
      <c r="D274" s="8" t="n"/>
      <c r="E274" s="10" t="n"/>
      <c r="F274" s="8" t="n"/>
      <c r="G274" s="8" t="n"/>
      <c r="H274" s="8" t="n"/>
      <c r="I274" s="8" t="n"/>
    </row>
    <row r="275" ht="22" customHeight="1">
      <c r="B275" s="3" t="n"/>
      <c r="C275" s="4" t="n"/>
      <c r="D275" s="4" t="n"/>
      <c r="E275" s="6" t="n"/>
      <c r="F275" s="4" t="n"/>
      <c r="G275" s="4" t="n"/>
      <c r="H275" s="4" t="n"/>
      <c r="I275" s="4" t="n"/>
    </row>
    <row r="276" ht="22" customHeight="1">
      <c r="B276" s="7" t="n"/>
      <c r="C276" s="8" t="n"/>
      <c r="D276" s="8" t="n"/>
      <c r="E276" s="10" t="n"/>
      <c r="F276" s="8" t="n"/>
      <c r="G276" s="8" t="n"/>
      <c r="H276" s="8" t="n"/>
      <c r="I276" s="8" t="n"/>
    </row>
    <row r="277" ht="22" customHeight="1">
      <c r="B277" s="3" t="n"/>
      <c r="C277" s="4" t="n"/>
      <c r="D277" s="4" t="n"/>
      <c r="E277" s="6" t="n"/>
      <c r="F277" s="4" t="n"/>
      <c r="G277" s="4" t="n"/>
      <c r="H277" s="4" t="n"/>
      <c r="I277" s="4" t="n"/>
    </row>
    <row r="278" ht="22" customHeight="1">
      <c r="B278" s="7" t="n"/>
      <c r="C278" s="8" t="n"/>
      <c r="D278" s="8" t="n"/>
      <c r="E278" s="10" t="n"/>
      <c r="F278" s="8" t="n"/>
      <c r="G278" s="8" t="n"/>
      <c r="H278" s="8" t="n"/>
      <c r="I278" s="8" t="n"/>
    </row>
    <row r="279" ht="22" customHeight="1">
      <c r="B279" s="3" t="n"/>
      <c r="C279" s="4" t="n"/>
      <c r="D279" s="4" t="n"/>
      <c r="E279" s="6" t="n"/>
      <c r="F279" s="4" t="n"/>
      <c r="G279" s="4" t="n"/>
      <c r="H279" s="4" t="n"/>
      <c r="I279" s="4" t="n"/>
    </row>
    <row r="280" ht="22" customHeight="1">
      <c r="B280" s="7" t="n"/>
      <c r="C280" s="8" t="n"/>
      <c r="D280" s="8" t="n"/>
      <c r="E280" s="10" t="n"/>
      <c r="F280" s="8" t="n"/>
      <c r="G280" s="8" t="n"/>
      <c r="H280" s="8" t="n"/>
      <c r="I280" s="8" t="n"/>
    </row>
    <row r="281" ht="22" customHeight="1">
      <c r="B281" s="3" t="n"/>
      <c r="C281" s="4" t="n"/>
      <c r="D281" s="4" t="n"/>
      <c r="E281" s="6" t="n"/>
      <c r="F281" s="4" t="n"/>
      <c r="G281" s="4" t="n"/>
      <c r="H281" s="4" t="n"/>
      <c r="I281" s="4" t="n"/>
    </row>
    <row r="282" ht="22" customHeight="1">
      <c r="B282" s="7" t="n"/>
      <c r="C282" s="8" t="n"/>
      <c r="D282" s="8" t="n"/>
      <c r="E282" s="10" t="n"/>
      <c r="F282" s="8" t="n"/>
      <c r="G282" s="8" t="n"/>
      <c r="H282" s="8" t="n"/>
      <c r="I282" s="8" t="n"/>
    </row>
    <row r="283" ht="22" customHeight="1">
      <c r="B283" s="3" t="n"/>
      <c r="C283" s="4" t="n"/>
      <c r="D283" s="4" t="n"/>
      <c r="E283" s="6" t="n"/>
      <c r="F283" s="4" t="n"/>
      <c r="G283" s="4" t="n"/>
      <c r="H283" s="4" t="n"/>
      <c r="I283" s="4" t="n"/>
    </row>
    <row r="284" ht="22" customHeight="1">
      <c r="B284" s="7" t="n"/>
      <c r="C284" s="8" t="n"/>
      <c r="D284" s="8" t="n"/>
      <c r="E284" s="10" t="n"/>
      <c r="F284" s="8" t="n"/>
      <c r="G284" s="8" t="n"/>
      <c r="H284" s="8" t="n"/>
      <c r="I284" s="8" t="n"/>
    </row>
    <row r="285" ht="22" customHeight="1">
      <c r="B285" s="3" t="n"/>
      <c r="C285" s="4" t="n"/>
      <c r="D285" s="4" t="n"/>
      <c r="E285" s="6" t="n"/>
      <c r="F285" s="4" t="n"/>
      <c r="G285" s="4" t="n"/>
      <c r="H285" s="4" t="n"/>
      <c r="I285" s="4" t="n"/>
    </row>
    <row r="286" ht="22" customHeight="1">
      <c r="B286" s="7" t="n"/>
      <c r="C286" s="8" t="n"/>
      <c r="D286" s="8" t="n"/>
      <c r="E286" s="10" t="n"/>
      <c r="F286" s="8" t="n"/>
      <c r="G286" s="8" t="n"/>
      <c r="H286" s="8" t="n"/>
      <c r="I286" s="8" t="n"/>
    </row>
    <row r="287" ht="22" customHeight="1">
      <c r="B287" s="3" t="n"/>
      <c r="C287" s="4" t="n"/>
      <c r="D287" s="4" t="n"/>
      <c r="E287" s="6" t="n"/>
      <c r="F287" s="4" t="n"/>
      <c r="G287" s="4" t="n"/>
      <c r="H287" s="4" t="n"/>
      <c r="I287" s="4" t="n"/>
    </row>
    <row r="288" ht="22" customHeight="1">
      <c r="B288" s="7" t="n"/>
      <c r="C288" s="8" t="n"/>
      <c r="D288" s="8" t="n"/>
      <c r="E288" s="10" t="n"/>
      <c r="F288" s="8" t="n"/>
      <c r="G288" s="8" t="n"/>
      <c r="H288" s="8" t="n"/>
      <c r="I288" s="8" t="n"/>
    </row>
    <row r="289" ht="22" customHeight="1">
      <c r="B289" s="3" t="n"/>
      <c r="C289" s="4" t="n"/>
      <c r="D289" s="4" t="n"/>
      <c r="E289" s="6" t="n"/>
      <c r="F289" s="4" t="n"/>
      <c r="G289" s="4" t="n"/>
      <c r="H289" s="4" t="n"/>
      <c r="I289" s="4" t="n"/>
    </row>
    <row r="290" ht="22" customHeight="1">
      <c r="B290" s="7" t="n"/>
      <c r="C290" s="8" t="n"/>
      <c r="D290" s="8" t="n"/>
      <c r="E290" s="10" t="n"/>
      <c r="F290" s="8" t="n"/>
      <c r="G290" s="8" t="n"/>
      <c r="H290" s="8" t="n"/>
      <c r="I290" s="8" t="n"/>
    </row>
    <row r="291" ht="22" customHeight="1">
      <c r="B291" s="3" t="n"/>
      <c r="C291" s="4" t="n"/>
      <c r="D291" s="4" t="n"/>
      <c r="E291" s="6" t="n"/>
      <c r="F291" s="4" t="n"/>
      <c r="G291" s="4" t="n"/>
      <c r="H291" s="4" t="n"/>
      <c r="I291" s="4" t="n"/>
    </row>
    <row r="292" ht="22" customHeight="1">
      <c r="B292" s="7" t="n"/>
      <c r="C292" s="8" t="n"/>
      <c r="D292" s="8" t="n"/>
      <c r="E292" s="10" t="n"/>
      <c r="F292" s="8" t="n"/>
      <c r="G292" s="8" t="n"/>
      <c r="H292" s="8" t="n"/>
      <c r="I292" s="8" t="n"/>
    </row>
    <row r="293" ht="22" customHeight="1">
      <c r="B293" s="3" t="n"/>
      <c r="C293" s="4" t="n"/>
      <c r="D293" s="4" t="n"/>
      <c r="E293" s="6" t="n"/>
      <c r="F293" s="4" t="n"/>
      <c r="G293" s="4" t="n"/>
      <c r="H293" s="4" t="n"/>
      <c r="I293" s="4" t="n"/>
    </row>
    <row r="294" ht="22" customHeight="1">
      <c r="B294" s="7" t="n"/>
      <c r="C294" s="8" t="n"/>
      <c r="D294" s="8" t="n"/>
      <c r="E294" s="10" t="n"/>
      <c r="F294" s="8" t="n"/>
      <c r="G294" s="8" t="n"/>
      <c r="H294" s="8" t="n"/>
      <c r="I294" s="8" t="n"/>
    </row>
    <row r="295" ht="22" customHeight="1">
      <c r="B295" s="3" t="n"/>
      <c r="C295" s="4" t="n"/>
      <c r="D295" s="4" t="n"/>
      <c r="E295" s="6" t="n"/>
      <c r="F295" s="4" t="n"/>
      <c r="G295" s="4" t="n"/>
      <c r="H295" s="4" t="n"/>
      <c r="I295" s="4" t="n"/>
    </row>
    <row r="296" ht="22" customHeight="1">
      <c r="B296" s="7" t="n"/>
      <c r="C296" s="8" t="n"/>
      <c r="D296" s="8" t="n"/>
      <c r="E296" s="10" t="n"/>
      <c r="F296" s="8" t="n"/>
      <c r="G296" s="8" t="n"/>
      <c r="H296" s="8" t="n"/>
      <c r="I296" s="8" t="n"/>
    </row>
    <row r="297" ht="22" customHeight="1">
      <c r="B297" s="3" t="n"/>
      <c r="C297" s="4" t="n"/>
      <c r="D297" s="4" t="n"/>
      <c r="E297" s="6" t="n"/>
      <c r="F297" s="4" t="n"/>
      <c r="G297" s="4" t="n"/>
      <c r="H297" s="4" t="n"/>
      <c r="I297" s="4" t="n"/>
    </row>
    <row r="298" ht="22" customHeight="1">
      <c r="B298" s="7" t="n"/>
      <c r="C298" s="8" t="n"/>
      <c r="D298" s="8" t="n"/>
      <c r="E298" s="10" t="n"/>
      <c r="F298" s="8" t="n"/>
      <c r="G298" s="8" t="n"/>
      <c r="H298" s="8" t="n"/>
      <c r="I298" s="8" t="n"/>
    </row>
    <row r="299" ht="22" customHeight="1">
      <c r="B299" s="3" t="n"/>
      <c r="C299" s="4" t="n"/>
      <c r="D299" s="4" t="n"/>
      <c r="E299" s="6" t="n"/>
      <c r="F299" s="4" t="n"/>
      <c r="G299" s="4" t="n"/>
      <c r="H299" s="4" t="n"/>
      <c r="I299" s="4" t="n"/>
    </row>
    <row r="300" ht="22" customHeight="1">
      <c r="B300" s="7" t="n"/>
      <c r="C300" s="8" t="n"/>
      <c r="D300" s="8" t="n"/>
      <c r="E300" s="10" t="n"/>
      <c r="F300" s="8" t="n"/>
      <c r="G300" s="8" t="n"/>
      <c r="H300" s="8" t="n"/>
      <c r="I300" s="8" t="n"/>
    </row>
    <row r="301" ht="22" customHeight="1">
      <c r="B301" s="3" t="n"/>
      <c r="C301" s="4" t="n"/>
      <c r="D301" s="4" t="n"/>
      <c r="E301" s="6" t="n"/>
      <c r="F301" s="4" t="n"/>
      <c r="G301" s="4" t="n"/>
      <c r="H301" s="4" t="n"/>
      <c r="I301" s="4" t="n"/>
    </row>
    <row r="302" ht="22" customHeight="1">
      <c r="B302" s="7" t="n"/>
      <c r="C302" s="8" t="n"/>
      <c r="D302" s="8" t="n"/>
      <c r="E302" s="10" t="n"/>
      <c r="F302" s="8" t="n"/>
      <c r="G302" s="8" t="n"/>
      <c r="H302" s="8" t="n"/>
      <c r="I302" s="8" t="n"/>
    </row>
    <row r="303" ht="22" customHeight="1">
      <c r="B303" s="3" t="n"/>
      <c r="C303" s="4" t="n"/>
      <c r="D303" s="4" t="n"/>
      <c r="E303" s="6" t="n"/>
      <c r="F303" s="4" t="n"/>
      <c r="G303" s="4" t="n"/>
      <c r="H303" s="4" t="n"/>
      <c r="I303" s="4" t="n"/>
    </row>
    <row r="304" ht="22" customHeight="1">
      <c r="B304" s="7" t="n"/>
      <c r="C304" s="8" t="n"/>
      <c r="D304" s="8" t="n"/>
      <c r="E304" s="10" t="n"/>
      <c r="F304" s="8" t="n"/>
      <c r="G304" s="8" t="n"/>
      <c r="H304" s="8" t="n"/>
      <c r="I304" s="8" t="n"/>
    </row>
    <row r="305" ht="26" customHeight="1">
      <c r="B305" s="11" t="inlineStr">
        <is>
          <t>TOTAL</t>
        </is>
      </c>
      <c r="C305" s="12" t="n"/>
      <c r="D305" s="12" t="n"/>
      <c r="E305" s="14">
        <f>SUM(E5:E304)</f>
        <v/>
      </c>
      <c r="F305" s="12" t="n"/>
      <c r="G305" s="12" t="n"/>
      <c r="H305" s="12" t="n"/>
      <c r="I305" s="12" t="n"/>
    </row>
    <row r="308">
      <c r="B308" s="21" t="inlineStr">
        <is>
          <t>Totals by Category</t>
        </is>
      </c>
    </row>
    <row r="309" ht="28" customHeight="1">
      <c r="B309" s="2" t="inlineStr">
        <is>
          <t>Category</t>
        </is>
      </c>
      <c r="C309" s="2" t="inlineStr">
        <is>
          <t>Total Amount</t>
        </is>
      </c>
    </row>
    <row r="310" ht="22" customHeight="1">
      <c r="B310" s="4" t="inlineStr">
        <is>
          <t>Rent</t>
        </is>
      </c>
      <c r="C310" s="6">
        <f>SUMPRODUCT((C5:C304="Rent")*(E5:E304))</f>
        <v/>
      </c>
    </row>
    <row r="311" ht="22" customHeight="1">
      <c r="B311" s="8" t="inlineStr">
        <is>
          <t>Salaries</t>
        </is>
      </c>
      <c r="C311" s="10">
        <f>SUMPRODUCT((C5:C304="Salaries")*(E5:E304))</f>
        <v/>
      </c>
    </row>
    <row r="312" ht="22" customHeight="1">
      <c r="B312" s="4" t="inlineStr">
        <is>
          <t>Utilities</t>
        </is>
      </c>
      <c r="C312" s="6">
        <f>SUMPRODUCT((C5:C304="Utilities")*(E5:E304))</f>
        <v/>
      </c>
    </row>
    <row r="313" ht="22" customHeight="1">
      <c r="B313" s="8" t="inlineStr">
        <is>
          <t>Supplies</t>
        </is>
      </c>
      <c r="C313" s="10">
        <f>SUMPRODUCT((C5:C304="Supplies")*(E5:E304))</f>
        <v/>
      </c>
    </row>
    <row r="314" ht="22" customHeight="1">
      <c r="B314" s="4" t="inlineStr">
        <is>
          <t>Maintenance</t>
        </is>
      </c>
      <c r="C314" s="6">
        <f>SUMPRODUCT((C5:C304="Maintenance")*(E5:E304))</f>
        <v/>
      </c>
    </row>
    <row r="315" ht="22" customHeight="1">
      <c r="B315" s="8" t="inlineStr">
        <is>
          <t>Marketing</t>
        </is>
      </c>
      <c r="C315" s="10">
        <f>SUMPRODUCT((C5:C304="Marketing")*(E5:E304))</f>
        <v/>
      </c>
    </row>
    <row r="316" ht="22" customHeight="1">
      <c r="B316" s="4" t="inlineStr">
        <is>
          <t>Transport</t>
        </is>
      </c>
      <c r="C316" s="6">
        <f>SUMPRODUCT((C5:C304="Transport")*(E5:E304))</f>
        <v/>
      </c>
    </row>
    <row r="317" ht="22" customHeight="1">
      <c r="B317" s="8" t="inlineStr">
        <is>
          <t>Insurance</t>
        </is>
      </c>
      <c r="C317" s="10">
        <f>SUMPRODUCT((C5:C304="Insurance")*(E5:E304))</f>
        <v/>
      </c>
    </row>
    <row r="318" ht="22" customHeight="1">
      <c r="B318" s="4" t="inlineStr">
        <is>
          <t>Miscellaneous</t>
        </is>
      </c>
      <c r="C318" s="6">
        <f>SUMPRODUCT((C5:C304="Miscellaneous")*(E5:E304))</f>
        <v/>
      </c>
    </row>
    <row r="319" ht="26" customHeight="1">
      <c r="B319" s="12" t="inlineStr">
        <is>
          <t>GRAND TOTAL</t>
        </is>
      </c>
      <c r="C319" s="14">
        <f>SUM(C310:C318)</f>
        <v/>
      </c>
    </row>
  </sheetData>
  <mergeCells count="1">
    <mergeCell ref="B2:I2"/>
  </mergeCells>
  <dataValidations count="1">
    <dataValidation sqref="C5:C304" showDropDown="0" showInputMessage="0" showErrorMessage="0" allowBlank="1" errorTitle="Invalid Category" error="Please select a valid expense category" type="list">
      <formula1>"Rent,Salaries,Utilities,Supplies,Maintenance,Marketing,Transport,Insurance,Miscellaneous"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D1B2A"/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8" customWidth="1" min="4" max="4"/>
    <col width="16" customWidth="1" min="5" max="5"/>
    <col width="18" customWidth="1" min="6" max="6"/>
    <col width="16" customWidth="1" min="7" max="7"/>
    <col width="16" customWidth="1" min="8" max="8"/>
  </cols>
  <sheetData>
    <row r="1" ht="15" customHeight="1"/>
    <row r="2" ht="32" customHeight="1">
      <c r="B2" s="1" t="inlineStr">
        <is>
          <t>Profit Analysis — P&amp;L Statement</t>
        </is>
      </c>
    </row>
    <row r="3" ht="8" customHeight="1"/>
    <row r="4" ht="28" customHeight="1">
      <c r="B4" s="30" t="inlineStr">
        <is>
          <t>REVENUE</t>
        </is>
      </c>
    </row>
    <row r="5" ht="28" customHeight="1">
      <c r="B5" s="2" t="inlineStr">
        <is>
          <t>Month</t>
        </is>
      </c>
      <c r="C5" s="2" t="inlineStr">
        <is>
          <t>Revenue</t>
        </is>
      </c>
      <c r="D5" s="2" t="inlineStr">
        <is>
          <t>COGS (est. 70%)</t>
        </is>
      </c>
      <c r="E5" s="2" t="inlineStr">
        <is>
          <t>Gross Profit</t>
        </is>
      </c>
      <c r="F5" s="2" t="inlineStr">
        <is>
          <t>Operating Expenses</t>
        </is>
      </c>
      <c r="G5" s="2" t="inlineStr">
        <is>
          <t>Net Profit</t>
        </is>
      </c>
      <c r="H5" s="2" t="inlineStr">
        <is>
          <t>Profit Margin %</t>
        </is>
      </c>
    </row>
    <row r="6" ht="22" customHeight="1">
      <c r="B6" s="4" t="inlineStr">
        <is>
          <t>January</t>
        </is>
      </c>
      <c r="C6" s="6">
        <f>'Monthly Summary'!C5</f>
        <v/>
      </c>
      <c r="D6" s="6">
        <f>C6*0.7</f>
        <v/>
      </c>
      <c r="E6" s="6">
        <f>C6-D6</f>
        <v/>
      </c>
      <c r="F6" s="6">
        <f>'Monthly Summary'!H5</f>
        <v/>
      </c>
      <c r="G6" s="6">
        <f>E6-F6</f>
        <v/>
      </c>
      <c r="H6" s="28">
        <f>IFERROR(G6/C6,0)</f>
        <v/>
      </c>
    </row>
    <row r="7" ht="22" customHeight="1">
      <c r="B7" s="8" t="inlineStr">
        <is>
          <t>February</t>
        </is>
      </c>
      <c r="C7" s="10">
        <f>'Monthly Summary'!C6</f>
        <v/>
      </c>
      <c r="D7" s="10">
        <f>C7*0.7</f>
        <v/>
      </c>
      <c r="E7" s="10">
        <f>C7-D7</f>
        <v/>
      </c>
      <c r="F7" s="10">
        <f>'Monthly Summary'!H6</f>
        <v/>
      </c>
      <c r="G7" s="10">
        <f>E7-F7</f>
        <v/>
      </c>
      <c r="H7" s="29">
        <f>IFERROR(G7/C7,0)</f>
        <v/>
      </c>
    </row>
    <row r="8" ht="22" customHeight="1">
      <c r="B8" s="4" t="inlineStr">
        <is>
          <t>March</t>
        </is>
      </c>
      <c r="C8" s="6">
        <f>'Monthly Summary'!C7</f>
        <v/>
      </c>
      <c r="D8" s="6">
        <f>C8*0.7</f>
        <v/>
      </c>
      <c r="E8" s="6">
        <f>C8-D8</f>
        <v/>
      </c>
      <c r="F8" s="6">
        <f>'Monthly Summary'!H7</f>
        <v/>
      </c>
      <c r="G8" s="6">
        <f>E8-F8</f>
        <v/>
      </c>
      <c r="H8" s="28">
        <f>IFERROR(G8/C8,0)</f>
        <v/>
      </c>
    </row>
    <row r="9" ht="22" customHeight="1">
      <c r="B9" s="8" t="inlineStr">
        <is>
          <t>April</t>
        </is>
      </c>
      <c r="C9" s="10">
        <f>'Monthly Summary'!C8</f>
        <v/>
      </c>
      <c r="D9" s="10">
        <f>C9*0.7</f>
        <v/>
      </c>
      <c r="E9" s="10">
        <f>C9-D9</f>
        <v/>
      </c>
      <c r="F9" s="10">
        <f>'Monthly Summary'!H8</f>
        <v/>
      </c>
      <c r="G9" s="10">
        <f>E9-F9</f>
        <v/>
      </c>
      <c r="H9" s="29">
        <f>IFERROR(G9/C9,0)</f>
        <v/>
      </c>
    </row>
    <row r="10" ht="22" customHeight="1">
      <c r="B10" s="4" t="inlineStr">
        <is>
          <t>May</t>
        </is>
      </c>
      <c r="C10" s="6">
        <f>'Monthly Summary'!C9</f>
        <v/>
      </c>
      <c r="D10" s="6">
        <f>C10*0.7</f>
        <v/>
      </c>
      <c r="E10" s="6">
        <f>C10-D10</f>
        <v/>
      </c>
      <c r="F10" s="6">
        <f>'Monthly Summary'!H9</f>
        <v/>
      </c>
      <c r="G10" s="6">
        <f>E10-F10</f>
        <v/>
      </c>
      <c r="H10" s="28">
        <f>IFERROR(G10/C10,0)</f>
        <v/>
      </c>
    </row>
    <row r="11" ht="22" customHeight="1">
      <c r="B11" s="8" t="inlineStr">
        <is>
          <t>June</t>
        </is>
      </c>
      <c r="C11" s="10">
        <f>'Monthly Summary'!C10</f>
        <v/>
      </c>
      <c r="D11" s="10">
        <f>C11*0.7</f>
        <v/>
      </c>
      <c r="E11" s="10">
        <f>C11-D11</f>
        <v/>
      </c>
      <c r="F11" s="10">
        <f>'Monthly Summary'!H10</f>
        <v/>
      </c>
      <c r="G11" s="10">
        <f>E11-F11</f>
        <v/>
      </c>
      <c r="H11" s="29">
        <f>IFERROR(G11/C11,0)</f>
        <v/>
      </c>
    </row>
    <row r="12" ht="22" customHeight="1">
      <c r="B12" s="4" t="inlineStr">
        <is>
          <t>July</t>
        </is>
      </c>
      <c r="C12" s="6">
        <f>'Monthly Summary'!C11</f>
        <v/>
      </c>
      <c r="D12" s="6">
        <f>C12*0.7</f>
        <v/>
      </c>
      <c r="E12" s="6">
        <f>C12-D12</f>
        <v/>
      </c>
      <c r="F12" s="6">
        <f>'Monthly Summary'!H11</f>
        <v/>
      </c>
      <c r="G12" s="6">
        <f>E12-F12</f>
        <v/>
      </c>
      <c r="H12" s="28">
        <f>IFERROR(G12/C12,0)</f>
        <v/>
      </c>
    </row>
    <row r="13" ht="22" customHeight="1">
      <c r="B13" s="8" t="inlineStr">
        <is>
          <t>August</t>
        </is>
      </c>
      <c r="C13" s="10">
        <f>'Monthly Summary'!C12</f>
        <v/>
      </c>
      <c r="D13" s="10">
        <f>C13*0.7</f>
        <v/>
      </c>
      <c r="E13" s="10">
        <f>C13-D13</f>
        <v/>
      </c>
      <c r="F13" s="10">
        <f>'Monthly Summary'!H12</f>
        <v/>
      </c>
      <c r="G13" s="10">
        <f>E13-F13</f>
        <v/>
      </c>
      <c r="H13" s="29">
        <f>IFERROR(G13/C13,0)</f>
        <v/>
      </c>
    </row>
    <row r="14" ht="22" customHeight="1">
      <c r="B14" s="4" t="inlineStr">
        <is>
          <t>September</t>
        </is>
      </c>
      <c r="C14" s="6">
        <f>'Monthly Summary'!C13</f>
        <v/>
      </c>
      <c r="D14" s="6">
        <f>C14*0.7</f>
        <v/>
      </c>
      <c r="E14" s="6">
        <f>C14-D14</f>
        <v/>
      </c>
      <c r="F14" s="6">
        <f>'Monthly Summary'!H13</f>
        <v/>
      </c>
      <c r="G14" s="6">
        <f>E14-F14</f>
        <v/>
      </c>
      <c r="H14" s="28">
        <f>IFERROR(G14/C14,0)</f>
        <v/>
      </c>
    </row>
    <row r="15" ht="22" customHeight="1">
      <c r="B15" s="8" t="inlineStr">
        <is>
          <t>October</t>
        </is>
      </c>
      <c r="C15" s="10">
        <f>'Monthly Summary'!C14</f>
        <v/>
      </c>
      <c r="D15" s="10">
        <f>C15*0.7</f>
        <v/>
      </c>
      <c r="E15" s="10">
        <f>C15-D15</f>
        <v/>
      </c>
      <c r="F15" s="10">
        <f>'Monthly Summary'!H14</f>
        <v/>
      </c>
      <c r="G15" s="10">
        <f>E15-F15</f>
        <v/>
      </c>
      <c r="H15" s="29">
        <f>IFERROR(G15/C15,0)</f>
        <v/>
      </c>
    </row>
    <row r="16" ht="22" customHeight="1">
      <c r="B16" s="4" t="inlineStr">
        <is>
          <t>November</t>
        </is>
      </c>
      <c r="C16" s="6">
        <f>'Monthly Summary'!C15</f>
        <v/>
      </c>
      <c r="D16" s="6">
        <f>C16*0.7</f>
        <v/>
      </c>
      <c r="E16" s="6">
        <f>C16-D16</f>
        <v/>
      </c>
      <c r="F16" s="6">
        <f>'Monthly Summary'!H15</f>
        <v/>
      </c>
      <c r="G16" s="6">
        <f>E16-F16</f>
        <v/>
      </c>
      <c r="H16" s="28">
        <f>IFERROR(G16/C16,0)</f>
        <v/>
      </c>
    </row>
    <row r="17" ht="22" customHeight="1">
      <c r="B17" s="8" t="inlineStr">
        <is>
          <t>December</t>
        </is>
      </c>
      <c r="C17" s="10">
        <f>'Monthly Summary'!C16</f>
        <v/>
      </c>
      <c r="D17" s="10">
        <f>C17*0.7</f>
        <v/>
      </c>
      <c r="E17" s="10">
        <f>C17-D17</f>
        <v/>
      </c>
      <c r="F17" s="10">
        <f>'Monthly Summary'!H16</f>
        <v/>
      </c>
      <c r="G17" s="10">
        <f>E17-F17</f>
        <v/>
      </c>
      <c r="H17" s="29">
        <f>IFERROR(G17/C17,0)</f>
        <v/>
      </c>
    </row>
    <row r="18" ht="26" customHeight="1">
      <c r="B18" s="11" t="inlineStr">
        <is>
          <t>TOTAL</t>
        </is>
      </c>
      <c r="C18" s="14">
        <f>SUM(C6:C17)</f>
        <v/>
      </c>
      <c r="D18" s="14">
        <f>SUM(D6:D17)</f>
        <v/>
      </c>
      <c r="E18" s="14">
        <f>SUM(E6:E17)</f>
        <v/>
      </c>
      <c r="F18" s="14">
        <f>SUM(F6:F17)</f>
        <v/>
      </c>
      <c r="G18" s="14">
        <f>SUM(G6:G17)</f>
        <v/>
      </c>
      <c r="H18" s="31">
        <f>IFERROR(G18/C18,0)</f>
        <v/>
      </c>
    </row>
  </sheetData>
  <mergeCells count="2">
    <mergeCell ref="B4:H4"/>
    <mergeCell ref="B2:H2"/>
  </mergeCells>
  <conditionalFormatting sqref="G6:G18">
    <cfRule type="cellIs" priority="1" operator="greaterThan" dxfId="1">
      <formula>0</formula>
    </cfRule>
    <cfRule type="cellIs" priority="2" operator="lessThan" dxfId="0">
      <formula>0</formula>
    </cfRule>
  </conditionalFormatting>
  <conditionalFormatting sqref="H6:H18">
    <cfRule type="cellIs" priority="3" operator="greaterThan" dxfId="1">
      <formula>0</formula>
    </cfRule>
    <cfRule type="cellIs" priority="4" operator="lessThan" dxfId="0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0D1B2A"/>
    <outlinePr summaryBelow="1" summaryRight="1"/>
    <pageSetUpPr/>
  </sheetPr>
  <dimension ref="B2:N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15" customHeight="1"/>
    <row r="2" ht="40" customHeight="1">
      <c r="B2" s="32" t="inlineStr">
        <is>
          <t>Premium POS Dashboard</t>
        </is>
      </c>
    </row>
    <row r="3" ht="8" customHeight="1">
      <c r="B3" s="33" t="inlineStr">
        <is>
          <t>Real-time KPI overview with cross-sheet analytics</t>
        </is>
      </c>
    </row>
    <row r="5" ht="18" customHeight="1">
      <c r="B5" s="34" t="inlineStr">
        <is>
          <t>Total Revenue</t>
        </is>
      </c>
      <c r="D5" s="34" t="inlineStr">
        <is>
          <t>Total Expenses</t>
        </is>
      </c>
      <c r="F5" s="34" t="inlineStr">
        <is>
          <t>Net Profit</t>
        </is>
      </c>
      <c r="H5" s="34" t="inlineStr">
        <is>
          <t>Profit Margin %</t>
        </is>
      </c>
      <c r="J5" s="34" t="inlineStr">
        <is>
          <t># Transactions</t>
        </is>
      </c>
      <c r="L5" s="34" t="inlineStr">
        <is>
          <t>Avg Transaction</t>
        </is>
      </c>
    </row>
    <row r="6" ht="42" customHeight="1">
      <c r="B6" s="35">
        <f>'Monthly Summary'!C17</f>
        <v/>
      </c>
      <c r="D6" s="35">
        <f>'Monthly Summary'!H17</f>
        <v/>
      </c>
      <c r="F6" s="35">
        <f>'Profit Analysis'!G18</f>
        <v/>
      </c>
      <c r="H6" s="36">
        <f>'Profit Analysis'!H18</f>
        <v/>
      </c>
      <c r="J6" s="37">
        <f>'Monthly Summary'!D17</f>
        <v/>
      </c>
      <c r="L6" s="35">
        <f>'Monthly Summary'!E17</f>
        <v/>
      </c>
    </row>
    <row r="7" ht="6" customHeight="1">
      <c r="B7" s="38" t="n"/>
      <c r="C7" s="38" t="n"/>
      <c r="D7" s="38" t="n"/>
      <c r="E7" s="38" t="n"/>
      <c r="F7" s="38" t="n"/>
      <c r="G7" s="38" t="n"/>
      <c r="H7" s="38" t="n"/>
      <c r="I7" s="38" t="n"/>
      <c r="J7" s="38" t="n"/>
      <c r="K7" s="38" t="n"/>
      <c r="L7" s="38" t="n"/>
      <c r="M7" s="38" t="n"/>
    </row>
  </sheetData>
  <mergeCells count="14">
    <mergeCell ref="D6:E6"/>
    <mergeCell ref="B6:C6"/>
    <mergeCell ref="H6:I6"/>
    <mergeCell ref="J5:K5"/>
    <mergeCell ref="J6:K6"/>
    <mergeCell ref="L6:M6"/>
    <mergeCell ref="B5:C5"/>
    <mergeCell ref="F5:G5"/>
    <mergeCell ref="D5:E5"/>
    <mergeCell ref="F6:G6"/>
    <mergeCell ref="H5:I5"/>
    <mergeCell ref="L5:M5"/>
    <mergeCell ref="B3:N3"/>
    <mergeCell ref="B2:N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2026-05-23T21:57:27Z</dcterms:created>
  <dcterms:modified xmlns:dcterms="http://purl.org/dc/terms/" xmlns:xsi="http://www.w3.org/2001/XMLSchema-instance" xsi:type="dcterms:W3CDTF">2026-05-23T21:57:27Z</dcterms:modified>
</cp:coreProperties>
</file>