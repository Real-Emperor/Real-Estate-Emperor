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Staff Performance" sheetId="7" state="visible" r:id="rId7"/>
    <sheet xmlns:r="http://schemas.openxmlformats.org/officeDocument/2006/relationships" name="Product List" sheetId="8" state="visible" r:id="rId8"/>
  </sheets>
  <definedNames>
    <definedName name="_xlnm.Print_Titles" localSheetId="0">'Sales Entry'!$4:$4</definedName>
    <definedName name="_xlnm.Print_Area" localSheetId="0">'Sales Entry'!$A$1:$L$90</definedName>
    <definedName name="_xlnm.Print_Titles" localSheetId="1">'Daily Summary'!$4:$4</definedName>
    <definedName name="_xlnm.Print_Area" localSheetId="1">'Daily Summary'!$A$1:$I$33</definedName>
    <definedName name="_xlnm.Print_Area" localSheetId="2">'Weekly Summary'!$A$1:$H$9</definedName>
    <definedName name="_xlnm.Print_Area" localSheetId="3">'Monthly Summary'!$A$1:$G$6</definedName>
    <definedName name="_xlnm.Print_Titles" localSheetId="5">'Inventory'!$4:$4</definedName>
    <definedName name="_xlnm.Print_Area" localSheetId="5">'Inventory'!$A$1:$J$32</definedName>
    <definedName name="_xlnm.Print_Area" localSheetId="6">'Staff Performance'!$A$1:$H$10</definedName>
    <definedName name="_xlnm.Print_Titles" localSheetId="7">'Product List'!$4:$4</definedName>
    <definedName name="_xlnm.Print_Area" localSheetId="7">'Product List'!$A$1:$I$33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Arial"/>
      <b val="1"/>
      <color rgb="001B2A4A"/>
      <sz val="20"/>
    </font>
    <font>
      <name val="Arial"/>
      <color rgb="008C8A84"/>
      <sz val="10"/>
    </font>
    <font>
      <name val="Arial"/>
      <color rgb="008C8A84"/>
      <sz val="9"/>
    </font>
    <font>
      <color rgb="00C0392B"/>
      <sz val="11"/>
    </font>
    <font>
      <b val="1"/>
      <color rgb="001B2A4A"/>
      <sz val="13"/>
    </font>
    <font>
      <i val="1"/>
      <color rgb="008C8A84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  <border>
      <bottom style="medium">
        <color rgb="001B2A4A"/>
      </bottom>
    </border>
    <border>
      <top style="medium">
        <color rgb="001B2A4A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3" fillId="3" borderId="0" pivotButton="0" quotePrefix="0" xfId="0"/>
    <xf numFmtId="3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center" vertical="center"/>
    </xf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3" fontId="4" fillId="5" borderId="2" pivotButton="0" quotePrefix="0" xfId="0"/>
    <xf numFmtId="4" fontId="4" fillId="5" borderId="2" pivotButton="0" quotePrefix="0" xfId="0"/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9" fillId="0" borderId="4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color rgb="00C0392B"/>
      </font>
      <fill>
        <patternFill>
          <bgColor rgb="00FDEDEC"/>
        </patternFill>
      </fill>
    </dxf>
    <dxf>
      <font>
        <color rgb="001B7D46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Daily Sales — February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Summary'!C4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'Daily Summary'!$B$5:$B$32</f>
            </numRef>
          </cat>
          <val>
            <numRef>
              <f>'Daily Summary'!$C$5:$C$32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L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0" customWidth="1" min="4" max="4"/>
    <col width="14" customWidth="1" min="5" max="5"/>
    <col width="8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</cols>
  <sheetData>
    <row r="1" ht="15" customHeight="1"/>
    <row r="2" ht="32" customHeight="1">
      <c r="B2" s="1" t="inlineStr">
        <is>
          <t>Sales Entry — Al Noor Supermarket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Invoice #</t>
        </is>
      </c>
      <c r="D4" s="2" t="inlineStr">
        <is>
          <t>Item/Service</t>
        </is>
      </c>
      <c r="E4" s="2" t="inlineStr">
        <is>
          <t>Category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Total</t>
        </is>
      </c>
      <c r="I4" s="2" t="inlineStr">
        <is>
          <t>Payment Method</t>
        </is>
      </c>
      <c r="J4" s="2" t="inlineStr">
        <is>
          <t>Staff Name</t>
        </is>
      </c>
      <c r="K4" s="2" t="inlineStr">
        <is>
          <t>Customer Name</t>
        </is>
      </c>
      <c r="L4" s="2" t="inlineStr">
        <is>
          <t>Notes</t>
        </is>
      </c>
    </row>
    <row r="5" ht="22" customHeight="1">
      <c r="B5" s="3" t="n">
        <v>45689</v>
      </c>
      <c r="C5" s="4" t="inlineStr">
        <is>
          <t>INV-1001</t>
        </is>
      </c>
      <c r="D5" s="4" t="inlineStr">
        <is>
          <t>Biscuits (200g)</t>
        </is>
      </c>
      <c r="E5" s="4" t="inlineStr">
        <is>
          <t>Snacks</t>
        </is>
      </c>
      <c r="F5" s="5" t="n">
        <v>3</v>
      </c>
      <c r="G5" s="6" t="n">
        <v>4</v>
      </c>
      <c r="H5" s="6" t="n">
        <v>12</v>
      </c>
      <c r="I5" s="4" t="inlineStr">
        <is>
          <t>Cash</t>
        </is>
      </c>
      <c r="J5" s="4" t="inlineStr">
        <is>
          <t>Ahmed</t>
        </is>
      </c>
      <c r="K5" s="4" t="inlineStr">
        <is>
          <t>Walk-in</t>
        </is>
      </c>
      <c r="L5" s="4" t="inlineStr"/>
    </row>
    <row r="6" ht="22" customHeight="1">
      <c r="B6" s="7" t="n">
        <v>45689</v>
      </c>
      <c r="C6" s="8" t="inlineStr">
        <is>
          <t>INV-1002</t>
        </is>
      </c>
      <c r="D6" s="8" t="inlineStr">
        <is>
          <t>Butter (200g)</t>
        </is>
      </c>
      <c r="E6" s="8" t="inlineStr">
        <is>
          <t>Dairy</t>
        </is>
      </c>
      <c r="F6" s="9" t="n">
        <v>4</v>
      </c>
      <c r="G6" s="10" t="n">
        <v>11</v>
      </c>
      <c r="H6" s="10" t="n">
        <v>44</v>
      </c>
      <c r="I6" s="8" t="inlineStr">
        <is>
          <t>Cash</t>
        </is>
      </c>
      <c r="J6" s="8" t="inlineStr">
        <is>
          <t>Ahmed</t>
        </is>
      </c>
      <c r="K6" s="8" t="inlineStr">
        <is>
          <t>Regular Customer</t>
        </is>
      </c>
      <c r="L6" s="8" t="inlineStr"/>
    </row>
    <row r="7" ht="22" customHeight="1">
      <c r="B7" s="3" t="n">
        <v>45689</v>
      </c>
      <c r="C7" s="4" t="inlineStr">
        <is>
          <t>INV-1003</t>
        </is>
      </c>
      <c r="D7" s="4" t="inlineStr">
        <is>
          <t>Tea (25 bags)</t>
        </is>
      </c>
      <c r="E7" s="4" t="inlineStr">
        <is>
          <t>Beverages</t>
        </is>
      </c>
      <c r="F7" s="5" t="n">
        <v>5</v>
      </c>
      <c r="G7" s="6" t="n">
        <v>10</v>
      </c>
      <c r="H7" s="6" t="n">
        <v>50</v>
      </c>
      <c r="I7" s="4" t="inlineStr">
        <is>
          <t>Cash</t>
        </is>
      </c>
      <c r="J7" s="4" t="inlineStr">
        <is>
          <t>Fatima</t>
        </is>
      </c>
      <c r="K7" s="4" t="inlineStr">
        <is>
          <t>Online Customer</t>
        </is>
      </c>
      <c r="L7" s="4" t="inlineStr"/>
    </row>
    <row r="8" ht="22" customHeight="1">
      <c r="B8" s="7" t="n">
        <v>45689</v>
      </c>
      <c r="C8" s="8" t="inlineStr">
        <is>
          <t>INV-1003</t>
        </is>
      </c>
      <c r="D8" s="8" t="inlineStr">
        <is>
          <t>Chocolate Bar</t>
        </is>
      </c>
      <c r="E8" s="8" t="inlineStr">
        <is>
          <t>Snacks</t>
        </is>
      </c>
      <c r="F8" s="9" t="n">
        <v>5</v>
      </c>
      <c r="G8" s="10" t="n">
        <v>7</v>
      </c>
      <c r="H8" s="10" t="n">
        <v>35</v>
      </c>
      <c r="I8" s="8" t="inlineStr">
        <is>
          <t>Card</t>
        </is>
      </c>
      <c r="J8" s="8" t="inlineStr">
        <is>
          <t>Fatima</t>
        </is>
      </c>
      <c r="K8" s="8" t="inlineStr">
        <is>
          <t>Walk-in</t>
        </is>
      </c>
      <c r="L8" s="8" t="inlineStr">
        <is>
          <t>Bulk</t>
        </is>
      </c>
    </row>
    <row r="9" ht="22" customHeight="1">
      <c r="B9" s="3" t="n">
        <v>45689</v>
      </c>
      <c r="C9" s="4" t="inlineStr">
        <is>
          <t>INV-1004</t>
        </is>
      </c>
      <c r="D9" s="4" t="inlineStr">
        <is>
          <t>Canned Beans</t>
        </is>
      </c>
      <c r="E9" s="4" t="inlineStr">
        <is>
          <t>Grains</t>
        </is>
      </c>
      <c r="F9" s="5" t="n">
        <v>1</v>
      </c>
      <c r="G9" s="6" t="n">
        <v>3</v>
      </c>
      <c r="H9" s="6" t="n">
        <v>3</v>
      </c>
      <c r="I9" s="4" t="inlineStr">
        <is>
          <t>Cash</t>
        </is>
      </c>
      <c r="J9" s="4" t="inlineStr">
        <is>
          <t>Khalid</t>
        </is>
      </c>
      <c r="K9" s="4" t="inlineStr">
        <is>
          <t>Regular Customer</t>
        </is>
      </c>
      <c r="L9" s="4" t="inlineStr"/>
    </row>
    <row r="10" ht="22" customHeight="1">
      <c r="B10" s="7" t="n">
        <v>45689</v>
      </c>
      <c r="C10" s="8" t="inlineStr">
        <is>
          <t>INV-1004</t>
        </is>
      </c>
      <c r="D10" s="8" t="inlineStr">
        <is>
          <t>Pasta (500g)</t>
        </is>
      </c>
      <c r="E10" s="8" t="inlineStr">
        <is>
          <t>Grains</t>
        </is>
      </c>
      <c r="F10" s="9" t="n">
        <v>2</v>
      </c>
      <c r="G10" s="10" t="n">
        <v>4</v>
      </c>
      <c r="H10" s="10" t="n">
        <v>8</v>
      </c>
      <c r="I10" s="8" t="inlineStr">
        <is>
          <t>Cash</t>
        </is>
      </c>
      <c r="J10" s="8" t="inlineStr">
        <is>
          <t>Khalid</t>
        </is>
      </c>
      <c r="K10" s="8" t="inlineStr">
        <is>
          <t>Regular Customer</t>
        </is>
      </c>
      <c r="L10" s="8" t="inlineStr"/>
    </row>
    <row r="11" ht="22" customHeight="1">
      <c r="B11" s="3" t="n">
        <v>45689</v>
      </c>
      <c r="C11" s="4" t="inlineStr">
        <is>
          <t>INV-1004</t>
        </is>
      </c>
      <c r="D11" s="4" t="inlineStr">
        <is>
          <t>Bread</t>
        </is>
      </c>
      <c r="E11" s="4" t="inlineStr">
        <is>
          <t>Bakery</t>
        </is>
      </c>
      <c r="F11" s="5" t="n">
        <v>4</v>
      </c>
      <c r="G11" s="6" t="n">
        <v>5</v>
      </c>
      <c r="H11" s="6" t="n">
        <v>20</v>
      </c>
      <c r="I11" s="4" t="inlineStr">
        <is>
          <t>Cash</t>
        </is>
      </c>
      <c r="J11" s="4" t="inlineStr">
        <is>
          <t>Khalid</t>
        </is>
      </c>
      <c r="K11" s="4" t="inlineStr">
        <is>
          <t>Regular Customer</t>
        </is>
      </c>
      <c r="L11" s="4" t="inlineStr"/>
    </row>
    <row r="12" ht="22" customHeight="1">
      <c r="B12" s="7" t="n">
        <v>45689</v>
      </c>
      <c r="C12" s="8" t="inlineStr">
        <is>
          <t>INV-1005</t>
        </is>
      </c>
      <c r="D12" s="8" t="inlineStr">
        <is>
          <t>Canned Beans</t>
        </is>
      </c>
      <c r="E12" s="8" t="inlineStr">
        <is>
          <t>Grains</t>
        </is>
      </c>
      <c r="F12" s="9" t="n">
        <v>1</v>
      </c>
      <c r="G12" s="10" t="n">
        <v>3</v>
      </c>
      <c r="H12" s="10" t="n">
        <v>3</v>
      </c>
      <c r="I12" s="8" t="inlineStr">
        <is>
          <t>Online</t>
        </is>
      </c>
      <c r="J12" s="8" t="inlineStr">
        <is>
          <t>Khalid</t>
        </is>
      </c>
      <c r="K12" s="8" t="inlineStr">
        <is>
          <t>Regular Customer</t>
        </is>
      </c>
      <c r="L12" s="8" t="inlineStr">
        <is>
          <t>Express</t>
        </is>
      </c>
    </row>
    <row r="13" ht="22" customHeight="1">
      <c r="B13" s="3" t="n">
        <v>45689</v>
      </c>
      <c r="C13" s="4" t="inlineStr">
        <is>
          <t>INV-1005</t>
        </is>
      </c>
      <c r="D13" s="4" t="inlineStr">
        <is>
          <t>Eggs (12pc)</t>
        </is>
      </c>
      <c r="E13" s="4" t="inlineStr">
        <is>
          <t>Dairy</t>
        </is>
      </c>
      <c r="F13" s="5" t="n">
        <v>4</v>
      </c>
      <c r="G13" s="6" t="n">
        <v>12</v>
      </c>
      <c r="H13" s="6" t="n">
        <v>48</v>
      </c>
      <c r="I13" s="4" t="inlineStr">
        <is>
          <t>Cash</t>
        </is>
      </c>
      <c r="J13" s="4" t="inlineStr">
        <is>
          <t>Khalid</t>
        </is>
      </c>
      <c r="K13" s="4" t="inlineStr">
        <is>
          <t>Online Customer</t>
        </is>
      </c>
      <c r="L13" s="4" t="inlineStr"/>
    </row>
    <row r="14" ht="22" customHeight="1">
      <c r="B14" s="7" t="n">
        <v>45689</v>
      </c>
      <c r="C14" s="8" t="inlineStr">
        <is>
          <t>INV-1005</t>
        </is>
      </c>
      <c r="D14" s="8" t="inlineStr">
        <is>
          <t>Lamb (kg)</t>
        </is>
      </c>
      <c r="E14" s="8" t="inlineStr">
        <is>
          <t>Meat</t>
        </is>
      </c>
      <c r="F14" s="9" t="n">
        <v>5</v>
      </c>
      <c r="G14" s="10" t="n">
        <v>55</v>
      </c>
      <c r="H14" s="10" t="n">
        <v>275</v>
      </c>
      <c r="I14" s="8" t="inlineStr">
        <is>
          <t>Card</t>
        </is>
      </c>
      <c r="J14" s="8" t="inlineStr">
        <is>
          <t>Khalid</t>
        </is>
      </c>
      <c r="K14" s="8" t="inlineStr">
        <is>
          <t>Online Customer</t>
        </is>
      </c>
      <c r="L14" s="8" t="inlineStr"/>
    </row>
    <row r="15" ht="22" customHeight="1">
      <c r="B15" s="3" t="n">
        <v>45690</v>
      </c>
      <c r="C15" s="4" t="inlineStr">
        <is>
          <t>INV-1006</t>
        </is>
      </c>
      <c r="D15" s="4" t="inlineStr">
        <is>
          <t>Chips (150g)</t>
        </is>
      </c>
      <c r="E15" s="4" t="inlineStr">
        <is>
          <t>Snacks</t>
        </is>
      </c>
      <c r="F15" s="5" t="n">
        <v>2</v>
      </c>
      <c r="G15" s="6" t="n">
        <v>5</v>
      </c>
      <c r="H15" s="6" t="n">
        <v>10</v>
      </c>
      <c r="I15" s="4" t="inlineStr">
        <is>
          <t>Card</t>
        </is>
      </c>
      <c r="J15" s="4" t="inlineStr">
        <is>
          <t>Ahmed</t>
        </is>
      </c>
      <c r="K15" s="4" t="inlineStr">
        <is>
          <t>Regular Customer</t>
        </is>
      </c>
      <c r="L15" s="4" t="inlineStr"/>
    </row>
    <row r="16" ht="22" customHeight="1">
      <c r="B16" s="7" t="n">
        <v>45690</v>
      </c>
      <c r="C16" s="8" t="inlineStr">
        <is>
          <t>INV-1007</t>
        </is>
      </c>
      <c r="D16" s="8" t="inlineStr">
        <is>
          <t>Pasta (500g)</t>
        </is>
      </c>
      <c r="E16" s="8" t="inlineStr">
        <is>
          <t>Grains</t>
        </is>
      </c>
      <c r="F16" s="9" t="n">
        <v>4</v>
      </c>
      <c r="G16" s="10" t="n">
        <v>4</v>
      </c>
      <c r="H16" s="10" t="n">
        <v>16</v>
      </c>
      <c r="I16" s="8" t="inlineStr">
        <is>
          <t>Online</t>
        </is>
      </c>
      <c r="J16" s="8" t="inlineStr">
        <is>
          <t>Ahmed</t>
        </is>
      </c>
      <c r="K16" s="8" t="inlineStr">
        <is>
          <t>Regular Customer</t>
        </is>
      </c>
      <c r="L16" s="8" t="inlineStr"/>
    </row>
    <row r="17" ht="22" customHeight="1">
      <c r="B17" s="3" t="n">
        <v>45690</v>
      </c>
      <c r="C17" s="4" t="inlineStr">
        <is>
          <t>INV-1007</t>
        </is>
      </c>
      <c r="D17" s="4" t="inlineStr">
        <is>
          <t>Onions (kg)</t>
        </is>
      </c>
      <c r="E17" s="4" t="inlineStr">
        <is>
          <t>Produce</t>
        </is>
      </c>
      <c r="F17" s="5" t="n">
        <v>3</v>
      </c>
      <c r="G17" s="6" t="n">
        <v>3</v>
      </c>
      <c r="H17" s="6" t="n">
        <v>9</v>
      </c>
      <c r="I17" s="4" t="inlineStr">
        <is>
          <t>Cash</t>
        </is>
      </c>
      <c r="J17" s="4" t="inlineStr">
        <is>
          <t>Ahmed</t>
        </is>
      </c>
      <c r="K17" s="4" t="inlineStr">
        <is>
          <t>Regular Customer</t>
        </is>
      </c>
      <c r="L17" s="4" t="inlineStr"/>
    </row>
    <row r="18" ht="22" customHeight="1">
      <c r="B18" s="7" t="n">
        <v>45690</v>
      </c>
      <c r="C18" s="8" t="inlineStr">
        <is>
          <t>INV-1007</t>
        </is>
      </c>
      <c r="D18" s="8" t="inlineStr">
        <is>
          <t>Chips (150g)</t>
        </is>
      </c>
      <c r="E18" s="8" t="inlineStr">
        <is>
          <t>Snacks</t>
        </is>
      </c>
      <c r="F18" s="9" t="n">
        <v>1</v>
      </c>
      <c r="G18" s="10" t="n">
        <v>5</v>
      </c>
      <c r="H18" s="10" t="n">
        <v>5</v>
      </c>
      <c r="I18" s="8" t="inlineStr">
        <is>
          <t>Online</t>
        </is>
      </c>
      <c r="J18" s="8" t="inlineStr">
        <is>
          <t>Ahmed</t>
        </is>
      </c>
      <c r="K18" s="8" t="inlineStr">
        <is>
          <t>Walk-in</t>
        </is>
      </c>
      <c r="L18" s="8" t="inlineStr">
        <is>
          <t>Express</t>
        </is>
      </c>
    </row>
    <row r="19" ht="22" customHeight="1">
      <c r="B19" s="3" t="n">
        <v>45690</v>
      </c>
      <c r="C19" s="4" t="inlineStr">
        <is>
          <t>INV-1007</t>
        </is>
      </c>
      <c r="D19" s="4" t="inlineStr">
        <is>
          <t>Biscuits (200g)</t>
        </is>
      </c>
      <c r="E19" s="4" t="inlineStr">
        <is>
          <t>Snacks</t>
        </is>
      </c>
      <c r="F19" s="5" t="n">
        <v>2</v>
      </c>
      <c r="G19" s="6" t="n">
        <v>4</v>
      </c>
      <c r="H19" s="6" t="n">
        <v>8</v>
      </c>
      <c r="I19" s="4" t="inlineStr">
        <is>
          <t>Cash</t>
        </is>
      </c>
      <c r="J19" s="4" t="inlineStr">
        <is>
          <t>Ahmed</t>
        </is>
      </c>
      <c r="K19" s="4" t="inlineStr">
        <is>
          <t>Regular Customer</t>
        </is>
      </c>
      <c r="L19" s="4" t="inlineStr">
        <is>
          <t>Bulk</t>
        </is>
      </c>
    </row>
    <row r="20" ht="22" customHeight="1">
      <c r="B20" s="7" t="n">
        <v>45690</v>
      </c>
      <c r="C20" s="8" t="inlineStr">
        <is>
          <t>INV-1008</t>
        </is>
      </c>
      <c r="D20" s="8" t="inlineStr">
        <is>
          <t>Chips (150g)</t>
        </is>
      </c>
      <c r="E20" s="8" t="inlineStr">
        <is>
          <t>Snacks</t>
        </is>
      </c>
      <c r="F20" s="9" t="n">
        <v>3</v>
      </c>
      <c r="G20" s="10" t="n">
        <v>5</v>
      </c>
      <c r="H20" s="10" t="n">
        <v>15</v>
      </c>
      <c r="I20" s="8" t="inlineStr">
        <is>
          <t>Cash</t>
        </is>
      </c>
      <c r="J20" s="8" t="inlineStr">
        <is>
          <t>Omar</t>
        </is>
      </c>
      <c r="K20" s="8" t="inlineStr">
        <is>
          <t>Walk-in</t>
        </is>
      </c>
      <c r="L20" s="8" t="inlineStr"/>
    </row>
    <row r="21" ht="22" customHeight="1">
      <c r="B21" s="3" t="n">
        <v>45690</v>
      </c>
      <c r="C21" s="4" t="inlineStr">
        <is>
          <t>INV-1008</t>
        </is>
      </c>
      <c r="D21" s="4" t="inlineStr">
        <is>
          <t>Canned Beans</t>
        </is>
      </c>
      <c r="E21" s="4" t="inlineStr">
        <is>
          <t>Grains</t>
        </is>
      </c>
      <c r="F21" s="5" t="n">
        <v>3</v>
      </c>
      <c r="G21" s="6" t="n">
        <v>3</v>
      </c>
      <c r="H21" s="6" t="n">
        <v>9</v>
      </c>
      <c r="I21" s="4" t="inlineStr">
        <is>
          <t>Card</t>
        </is>
      </c>
      <c r="J21" s="4" t="inlineStr">
        <is>
          <t>Omar</t>
        </is>
      </c>
      <c r="K21" s="4" t="inlineStr">
        <is>
          <t>Regular Customer</t>
        </is>
      </c>
      <c r="L21" s="4" t="inlineStr"/>
    </row>
    <row r="22" ht="22" customHeight="1">
      <c r="B22" s="7" t="n">
        <v>45690</v>
      </c>
      <c r="C22" s="8" t="inlineStr">
        <is>
          <t>INV-1009</t>
        </is>
      </c>
      <c r="D22" s="8" t="inlineStr">
        <is>
          <t>Water (6pk)</t>
        </is>
      </c>
      <c r="E22" s="8" t="inlineStr">
        <is>
          <t>Beverages</t>
        </is>
      </c>
      <c r="F22" s="9" t="n">
        <v>4</v>
      </c>
      <c r="G22" s="10" t="n">
        <v>2</v>
      </c>
      <c r="H22" s="10" t="n">
        <v>8</v>
      </c>
      <c r="I22" s="8" t="inlineStr">
        <is>
          <t>Card</t>
        </is>
      </c>
      <c r="J22" s="8" t="inlineStr">
        <is>
          <t>Fatima</t>
        </is>
      </c>
      <c r="K22" s="8" t="inlineStr">
        <is>
          <t>Regular Customer</t>
        </is>
      </c>
      <c r="L22" s="8" t="inlineStr"/>
    </row>
    <row r="23" ht="22" customHeight="1">
      <c r="B23" s="3" t="n">
        <v>45690</v>
      </c>
      <c r="C23" s="4" t="inlineStr">
        <is>
          <t>INV-1009</t>
        </is>
      </c>
      <c r="D23" s="4" t="inlineStr">
        <is>
          <t>Pasta (500g)</t>
        </is>
      </c>
      <c r="E23" s="4" t="inlineStr">
        <is>
          <t>Grains</t>
        </is>
      </c>
      <c r="F23" s="5" t="n">
        <v>2</v>
      </c>
      <c r="G23" s="6" t="n">
        <v>4</v>
      </c>
      <c r="H23" s="6" t="n">
        <v>8</v>
      </c>
      <c r="I23" s="4" t="inlineStr">
        <is>
          <t>Cash</t>
        </is>
      </c>
      <c r="J23" s="4" t="inlineStr">
        <is>
          <t>Fatima</t>
        </is>
      </c>
      <c r="K23" s="4" t="inlineStr">
        <is>
          <t>Online Customer</t>
        </is>
      </c>
      <c r="L23" s="4" t="inlineStr">
        <is>
          <t>Express</t>
        </is>
      </c>
    </row>
    <row r="24" ht="22" customHeight="1">
      <c r="B24" s="7" t="n">
        <v>45690</v>
      </c>
      <c r="C24" s="8" t="inlineStr">
        <is>
          <t>INV-1009</t>
        </is>
      </c>
      <c r="D24" s="8" t="inlineStr">
        <is>
          <t>Pasta (500g)</t>
        </is>
      </c>
      <c r="E24" s="8" t="inlineStr">
        <is>
          <t>Grains</t>
        </is>
      </c>
      <c r="F24" s="9" t="n">
        <v>5</v>
      </c>
      <c r="G24" s="10" t="n">
        <v>4</v>
      </c>
      <c r="H24" s="10" t="n">
        <v>20</v>
      </c>
      <c r="I24" s="8" t="inlineStr">
        <is>
          <t>Card</t>
        </is>
      </c>
      <c r="J24" s="8" t="inlineStr">
        <is>
          <t>Fatima</t>
        </is>
      </c>
      <c r="K24" s="8" t="inlineStr">
        <is>
          <t>Online Customer</t>
        </is>
      </c>
      <c r="L24" s="8" t="inlineStr">
        <is>
          <t>Bulk</t>
        </is>
      </c>
    </row>
    <row r="25" ht="22" customHeight="1">
      <c r="B25" s="3" t="n">
        <v>45690</v>
      </c>
      <c r="C25" s="4" t="inlineStr">
        <is>
          <t>INV-1010</t>
        </is>
      </c>
      <c r="D25" s="4" t="inlineStr">
        <is>
          <t>Chicken (kg)</t>
        </is>
      </c>
      <c r="E25" s="4" t="inlineStr">
        <is>
          <t>Meat</t>
        </is>
      </c>
      <c r="F25" s="5" t="n">
        <v>5</v>
      </c>
      <c r="G25" s="6" t="n">
        <v>28</v>
      </c>
      <c r="H25" s="6" t="n">
        <v>140</v>
      </c>
      <c r="I25" s="4" t="inlineStr">
        <is>
          <t>Card</t>
        </is>
      </c>
      <c r="J25" s="4" t="inlineStr">
        <is>
          <t>Omar</t>
        </is>
      </c>
      <c r="K25" s="4" t="inlineStr">
        <is>
          <t>Regular Customer</t>
        </is>
      </c>
      <c r="L25" s="4" t="inlineStr"/>
    </row>
    <row r="26" ht="22" customHeight="1">
      <c r="B26" s="7" t="n">
        <v>45690</v>
      </c>
      <c r="C26" s="8" t="inlineStr">
        <is>
          <t>INV-1010</t>
        </is>
      </c>
      <c r="D26" s="8" t="inlineStr">
        <is>
          <t>Fish (kg)</t>
        </is>
      </c>
      <c r="E26" s="8" t="inlineStr">
        <is>
          <t>Meat</t>
        </is>
      </c>
      <c r="F26" s="9" t="n">
        <v>1</v>
      </c>
      <c r="G26" s="10" t="n">
        <v>32</v>
      </c>
      <c r="H26" s="10" t="n">
        <v>32</v>
      </c>
      <c r="I26" s="8" t="inlineStr">
        <is>
          <t>Cash</t>
        </is>
      </c>
      <c r="J26" s="8" t="inlineStr">
        <is>
          <t>Omar</t>
        </is>
      </c>
      <c r="K26" s="8" t="inlineStr">
        <is>
          <t>Walk-in</t>
        </is>
      </c>
      <c r="L26" s="8" t="inlineStr"/>
    </row>
    <row r="27" ht="22" customHeight="1">
      <c r="B27" s="3" t="n">
        <v>45691</v>
      </c>
      <c r="C27" s="4" t="inlineStr">
        <is>
          <t>INV-1011</t>
        </is>
      </c>
      <c r="D27" s="4" t="inlineStr">
        <is>
          <t>Cheese (200g)</t>
        </is>
      </c>
      <c r="E27" s="4" t="inlineStr">
        <is>
          <t>Dairy</t>
        </is>
      </c>
      <c r="F27" s="5" t="n">
        <v>4</v>
      </c>
      <c r="G27" s="6" t="n">
        <v>15</v>
      </c>
      <c r="H27" s="6" t="n">
        <v>60</v>
      </c>
      <c r="I27" s="4" t="inlineStr">
        <is>
          <t>Online</t>
        </is>
      </c>
      <c r="J27" s="4" t="inlineStr">
        <is>
          <t>Khalid</t>
        </is>
      </c>
      <c r="K27" s="4" t="inlineStr">
        <is>
          <t>Regular Customer</t>
        </is>
      </c>
      <c r="L27" s="4" t="inlineStr">
        <is>
          <t>Express</t>
        </is>
      </c>
    </row>
    <row r="28" ht="22" customHeight="1">
      <c r="B28" s="7" t="n">
        <v>45691</v>
      </c>
      <c r="C28" s="8" t="inlineStr">
        <is>
          <t>INV-1012</t>
        </is>
      </c>
      <c r="D28" s="8" t="inlineStr">
        <is>
          <t>Chips (150g)</t>
        </is>
      </c>
      <c r="E28" s="8" t="inlineStr">
        <is>
          <t>Snacks</t>
        </is>
      </c>
      <c r="F28" s="9" t="n">
        <v>1</v>
      </c>
      <c r="G28" s="10" t="n">
        <v>5</v>
      </c>
      <c r="H28" s="10" t="n">
        <v>5</v>
      </c>
      <c r="I28" s="8" t="inlineStr">
        <is>
          <t>Online</t>
        </is>
      </c>
      <c r="J28" s="8" t="inlineStr">
        <is>
          <t>Omar</t>
        </is>
      </c>
      <c r="K28" s="8" t="inlineStr">
        <is>
          <t>Online Customer</t>
        </is>
      </c>
      <c r="L28" s="8" t="inlineStr"/>
    </row>
    <row r="29" ht="22" customHeight="1">
      <c r="B29" s="3" t="n">
        <v>45691</v>
      </c>
      <c r="C29" s="4" t="inlineStr">
        <is>
          <t>INV-1013</t>
        </is>
      </c>
      <c r="D29" s="4" t="inlineStr">
        <is>
          <t>Tomatoes (kg)</t>
        </is>
      </c>
      <c r="E29" s="4" t="inlineStr">
        <is>
          <t>Produce</t>
        </is>
      </c>
      <c r="F29" s="5" t="n">
        <v>4</v>
      </c>
      <c r="G29" s="6" t="n">
        <v>6</v>
      </c>
      <c r="H29" s="6" t="n">
        <v>24</v>
      </c>
      <c r="I29" s="4" t="inlineStr">
        <is>
          <t>Cash</t>
        </is>
      </c>
      <c r="J29" s="4" t="inlineStr">
        <is>
          <t>Omar</t>
        </is>
      </c>
      <c r="K29" s="4" t="inlineStr">
        <is>
          <t>Regular Customer</t>
        </is>
      </c>
      <c r="L29" s="4" t="inlineStr"/>
    </row>
    <row r="30" ht="22" customHeight="1">
      <c r="B30" s="7" t="n">
        <v>45691</v>
      </c>
      <c r="C30" s="8" t="inlineStr">
        <is>
          <t>INV-1014</t>
        </is>
      </c>
      <c r="D30" s="8" t="inlineStr">
        <is>
          <t>Tea (25 bags)</t>
        </is>
      </c>
      <c r="E30" s="8" t="inlineStr">
        <is>
          <t>Beverages</t>
        </is>
      </c>
      <c r="F30" s="9" t="n">
        <v>1</v>
      </c>
      <c r="G30" s="10" t="n">
        <v>10</v>
      </c>
      <c r="H30" s="10" t="n">
        <v>10</v>
      </c>
      <c r="I30" s="8" t="inlineStr">
        <is>
          <t>Online</t>
        </is>
      </c>
      <c r="J30" s="8" t="inlineStr">
        <is>
          <t>Omar</t>
        </is>
      </c>
      <c r="K30" s="8" t="inlineStr">
        <is>
          <t>Regular Customer</t>
        </is>
      </c>
      <c r="L30" s="8" t="inlineStr"/>
    </row>
    <row r="31" ht="22" customHeight="1">
      <c r="B31" s="3" t="n">
        <v>45691</v>
      </c>
      <c r="C31" s="4" t="inlineStr">
        <is>
          <t>INV-1014</t>
        </is>
      </c>
      <c r="D31" s="4" t="inlineStr">
        <is>
          <t>Tea (25 bags)</t>
        </is>
      </c>
      <c r="E31" s="4" t="inlineStr">
        <is>
          <t>Beverages</t>
        </is>
      </c>
      <c r="F31" s="5" t="n">
        <v>5</v>
      </c>
      <c r="G31" s="6" t="n">
        <v>10</v>
      </c>
      <c r="H31" s="6" t="n">
        <v>50</v>
      </c>
      <c r="I31" s="4" t="inlineStr">
        <is>
          <t>Cash</t>
        </is>
      </c>
      <c r="J31" s="4" t="inlineStr">
        <is>
          <t>Omar</t>
        </is>
      </c>
      <c r="K31" s="4" t="inlineStr">
        <is>
          <t>Walk-in</t>
        </is>
      </c>
      <c r="L31" s="4" t="inlineStr"/>
    </row>
    <row r="32" ht="22" customHeight="1">
      <c r="B32" s="7" t="n">
        <v>45692</v>
      </c>
      <c r="C32" s="8" t="inlineStr">
        <is>
          <t>INV-1015</t>
        </is>
      </c>
      <c r="D32" s="8" t="inlineStr">
        <is>
          <t>Detergent (1L)</t>
        </is>
      </c>
      <c r="E32" s="8" t="inlineStr">
        <is>
          <t>Cleaning</t>
        </is>
      </c>
      <c r="F32" s="9" t="n">
        <v>3</v>
      </c>
      <c r="G32" s="10" t="n">
        <v>14</v>
      </c>
      <c r="H32" s="10" t="n">
        <v>42</v>
      </c>
      <c r="I32" s="8" t="inlineStr">
        <is>
          <t>Card</t>
        </is>
      </c>
      <c r="J32" s="8" t="inlineStr">
        <is>
          <t>Khalid</t>
        </is>
      </c>
      <c r="K32" s="8" t="inlineStr">
        <is>
          <t>Regular Customer</t>
        </is>
      </c>
      <c r="L32" s="8" t="inlineStr"/>
    </row>
    <row r="33" ht="22" customHeight="1">
      <c r="B33" s="3" t="n">
        <v>45692</v>
      </c>
      <c r="C33" s="4" t="inlineStr">
        <is>
          <t>INV-1016</t>
        </is>
      </c>
      <c r="D33" s="4" t="inlineStr">
        <is>
          <t>Orange Juice (1L)</t>
        </is>
      </c>
      <c r="E33" s="4" t="inlineStr">
        <is>
          <t>Beverages</t>
        </is>
      </c>
      <c r="F33" s="5" t="n">
        <v>1</v>
      </c>
      <c r="G33" s="6" t="n">
        <v>6</v>
      </c>
      <c r="H33" s="6" t="n">
        <v>6</v>
      </c>
      <c r="I33" s="4" t="inlineStr">
        <is>
          <t>Cash</t>
        </is>
      </c>
      <c r="J33" s="4" t="inlineStr">
        <is>
          <t>Omar</t>
        </is>
      </c>
      <c r="K33" s="4" t="inlineStr">
        <is>
          <t>Online Customer</t>
        </is>
      </c>
      <c r="L33" s="4" t="inlineStr"/>
    </row>
    <row r="34" ht="22" customHeight="1">
      <c r="B34" s="7" t="n">
        <v>45692</v>
      </c>
      <c r="C34" s="8" t="inlineStr">
        <is>
          <t>INV-1016</t>
        </is>
      </c>
      <c r="D34" s="8" t="inlineStr">
        <is>
          <t>Bread</t>
        </is>
      </c>
      <c r="E34" s="8" t="inlineStr">
        <is>
          <t>Bakery</t>
        </is>
      </c>
      <c r="F34" s="9" t="n">
        <v>4</v>
      </c>
      <c r="G34" s="10" t="n">
        <v>5</v>
      </c>
      <c r="H34" s="10" t="n">
        <v>20</v>
      </c>
      <c r="I34" s="8" t="inlineStr">
        <is>
          <t>Cash</t>
        </is>
      </c>
      <c r="J34" s="8" t="inlineStr">
        <is>
          <t>Omar</t>
        </is>
      </c>
      <c r="K34" s="8" t="inlineStr">
        <is>
          <t>Online Customer</t>
        </is>
      </c>
      <c r="L34" s="8" t="inlineStr"/>
    </row>
    <row r="35" ht="22" customHeight="1">
      <c r="B35" s="3" t="n">
        <v>45692</v>
      </c>
      <c r="C35" s="4" t="inlineStr">
        <is>
          <t>INV-1016</t>
        </is>
      </c>
      <c r="D35" s="4" t="inlineStr">
        <is>
          <t>Chicken (kg)</t>
        </is>
      </c>
      <c r="E35" s="4" t="inlineStr">
        <is>
          <t>Meat</t>
        </is>
      </c>
      <c r="F35" s="5" t="n">
        <v>4</v>
      </c>
      <c r="G35" s="6" t="n">
        <v>28</v>
      </c>
      <c r="H35" s="6" t="n">
        <v>112</v>
      </c>
      <c r="I35" s="4" t="inlineStr">
        <is>
          <t>Online</t>
        </is>
      </c>
      <c r="J35" s="4" t="inlineStr">
        <is>
          <t>Omar</t>
        </is>
      </c>
      <c r="K35" s="4" t="inlineStr">
        <is>
          <t>Walk-in</t>
        </is>
      </c>
      <c r="L35" s="4" t="inlineStr"/>
    </row>
    <row r="36" ht="22" customHeight="1">
      <c r="B36" s="7" t="n">
        <v>45692</v>
      </c>
      <c r="C36" s="8" t="inlineStr">
        <is>
          <t>INV-1017</t>
        </is>
      </c>
      <c r="D36" s="8" t="inlineStr">
        <is>
          <t>Water (6pk)</t>
        </is>
      </c>
      <c r="E36" s="8" t="inlineStr">
        <is>
          <t>Beverages</t>
        </is>
      </c>
      <c r="F36" s="9" t="n">
        <v>5</v>
      </c>
      <c r="G36" s="10" t="n">
        <v>2</v>
      </c>
      <c r="H36" s="10" t="n">
        <v>10</v>
      </c>
      <c r="I36" s="8" t="inlineStr">
        <is>
          <t>Online</t>
        </is>
      </c>
      <c r="J36" s="8" t="inlineStr">
        <is>
          <t>Khalid</t>
        </is>
      </c>
      <c r="K36" s="8" t="inlineStr">
        <is>
          <t>Walk-in</t>
        </is>
      </c>
      <c r="L36" s="8" t="inlineStr"/>
    </row>
    <row r="37" ht="22" customHeight="1">
      <c r="B37" s="3" t="n">
        <v>45692</v>
      </c>
      <c r="C37" s="4" t="inlineStr">
        <is>
          <t>INV-1017</t>
        </is>
      </c>
      <c r="D37" s="4" t="inlineStr">
        <is>
          <t>Tomatoes (kg)</t>
        </is>
      </c>
      <c r="E37" s="4" t="inlineStr">
        <is>
          <t>Produce</t>
        </is>
      </c>
      <c r="F37" s="5" t="n">
        <v>4</v>
      </c>
      <c r="G37" s="6" t="n">
        <v>6</v>
      </c>
      <c r="H37" s="6" t="n">
        <v>24</v>
      </c>
      <c r="I37" s="4" t="inlineStr">
        <is>
          <t>Online</t>
        </is>
      </c>
      <c r="J37" s="4" t="inlineStr">
        <is>
          <t>Khalid</t>
        </is>
      </c>
      <c r="K37" s="4" t="inlineStr">
        <is>
          <t>Regular Customer</t>
        </is>
      </c>
      <c r="L37" s="4" t="inlineStr">
        <is>
          <t>Bulk</t>
        </is>
      </c>
    </row>
    <row r="38" ht="22" customHeight="1">
      <c r="B38" s="7" t="n">
        <v>45692</v>
      </c>
      <c r="C38" s="8" t="inlineStr">
        <is>
          <t>INV-1017</t>
        </is>
      </c>
      <c r="D38" s="8" t="inlineStr">
        <is>
          <t>Tea (25 bags)</t>
        </is>
      </c>
      <c r="E38" s="8" t="inlineStr">
        <is>
          <t>Beverages</t>
        </is>
      </c>
      <c r="F38" s="9" t="n">
        <v>4</v>
      </c>
      <c r="G38" s="10" t="n">
        <v>10</v>
      </c>
      <c r="H38" s="10" t="n">
        <v>40</v>
      </c>
      <c r="I38" s="8" t="inlineStr">
        <is>
          <t>Cash</t>
        </is>
      </c>
      <c r="J38" s="8" t="inlineStr">
        <is>
          <t>Khalid</t>
        </is>
      </c>
      <c r="K38" s="8" t="inlineStr">
        <is>
          <t>Walk-in</t>
        </is>
      </c>
      <c r="L38" s="8" t="inlineStr"/>
    </row>
    <row r="39" ht="22" customHeight="1">
      <c r="B39" s="3" t="n">
        <v>45692</v>
      </c>
      <c r="C39" s="4" t="inlineStr">
        <is>
          <t>INV-1017</t>
        </is>
      </c>
      <c r="D39" s="4" t="inlineStr">
        <is>
          <t>Bread</t>
        </is>
      </c>
      <c r="E39" s="4" t="inlineStr">
        <is>
          <t>Bakery</t>
        </is>
      </c>
      <c r="F39" s="5" t="n">
        <v>3</v>
      </c>
      <c r="G39" s="6" t="n">
        <v>5</v>
      </c>
      <c r="H39" s="6" t="n">
        <v>15</v>
      </c>
      <c r="I39" s="4" t="inlineStr">
        <is>
          <t>Cash</t>
        </is>
      </c>
      <c r="J39" s="4" t="inlineStr">
        <is>
          <t>Khalid</t>
        </is>
      </c>
      <c r="K39" s="4" t="inlineStr">
        <is>
          <t>Online Customer</t>
        </is>
      </c>
      <c r="L39" s="4" t="inlineStr">
        <is>
          <t>Express</t>
        </is>
      </c>
    </row>
    <row r="40" ht="22" customHeight="1">
      <c r="B40" s="7" t="n">
        <v>45693</v>
      </c>
      <c r="C40" s="8" t="inlineStr">
        <is>
          <t>INV-1018</t>
        </is>
      </c>
      <c r="D40" s="8" t="inlineStr">
        <is>
          <t>Rice (5kg)</t>
        </is>
      </c>
      <c r="E40" s="8" t="inlineStr">
        <is>
          <t>Grains</t>
        </is>
      </c>
      <c r="F40" s="9" t="n">
        <v>1</v>
      </c>
      <c r="G40" s="10" t="n">
        <v>35</v>
      </c>
      <c r="H40" s="10" t="n">
        <v>35</v>
      </c>
      <c r="I40" s="8" t="inlineStr">
        <is>
          <t>Online</t>
        </is>
      </c>
      <c r="J40" s="8" t="inlineStr">
        <is>
          <t>Khalid</t>
        </is>
      </c>
      <c r="K40" s="8" t="inlineStr">
        <is>
          <t>Regular Customer</t>
        </is>
      </c>
      <c r="L40" s="8" t="inlineStr"/>
    </row>
    <row r="41" ht="22" customHeight="1">
      <c r="B41" s="3" t="n">
        <v>45693</v>
      </c>
      <c r="C41" s="4" t="inlineStr">
        <is>
          <t>INV-1018</t>
        </is>
      </c>
      <c r="D41" s="4" t="inlineStr">
        <is>
          <t>Bread</t>
        </is>
      </c>
      <c r="E41" s="4" t="inlineStr">
        <is>
          <t>Bakery</t>
        </is>
      </c>
      <c r="F41" s="5" t="n">
        <v>1</v>
      </c>
      <c r="G41" s="6" t="n">
        <v>5</v>
      </c>
      <c r="H41" s="6" t="n">
        <v>5</v>
      </c>
      <c r="I41" s="4" t="inlineStr">
        <is>
          <t>Card</t>
        </is>
      </c>
      <c r="J41" s="4" t="inlineStr">
        <is>
          <t>Khalid</t>
        </is>
      </c>
      <c r="K41" s="4" t="inlineStr">
        <is>
          <t>Regular Customer</t>
        </is>
      </c>
      <c r="L41" s="4" t="inlineStr">
        <is>
          <t>Express</t>
        </is>
      </c>
    </row>
    <row r="42" ht="22" customHeight="1">
      <c r="B42" s="7" t="n">
        <v>45693</v>
      </c>
      <c r="C42" s="8" t="inlineStr">
        <is>
          <t>INV-1019</t>
        </is>
      </c>
      <c r="D42" s="8" t="inlineStr">
        <is>
          <t>Chips (150g)</t>
        </is>
      </c>
      <c r="E42" s="8" t="inlineStr">
        <is>
          <t>Snacks</t>
        </is>
      </c>
      <c r="F42" s="9" t="n">
        <v>4</v>
      </c>
      <c r="G42" s="10" t="n">
        <v>5</v>
      </c>
      <c r="H42" s="10" t="n">
        <v>20</v>
      </c>
      <c r="I42" s="8" t="inlineStr">
        <is>
          <t>Cash</t>
        </is>
      </c>
      <c r="J42" s="8" t="inlineStr">
        <is>
          <t>Fatima</t>
        </is>
      </c>
      <c r="K42" s="8" t="inlineStr">
        <is>
          <t>Online Customer</t>
        </is>
      </c>
      <c r="L42" s="8" t="inlineStr"/>
    </row>
    <row r="43" ht="22" customHeight="1">
      <c r="B43" s="3" t="n">
        <v>45693</v>
      </c>
      <c r="C43" s="4" t="inlineStr">
        <is>
          <t>INV-1019</t>
        </is>
      </c>
      <c r="D43" s="4" t="inlineStr">
        <is>
          <t>Biscuits (200g)</t>
        </is>
      </c>
      <c r="E43" s="4" t="inlineStr">
        <is>
          <t>Snacks</t>
        </is>
      </c>
      <c r="F43" s="5" t="n">
        <v>5</v>
      </c>
      <c r="G43" s="6" t="n">
        <v>4</v>
      </c>
      <c r="H43" s="6" t="n">
        <v>20</v>
      </c>
      <c r="I43" s="4" t="inlineStr">
        <is>
          <t>Online</t>
        </is>
      </c>
      <c r="J43" s="4" t="inlineStr">
        <is>
          <t>Fatima</t>
        </is>
      </c>
      <c r="K43" s="4" t="inlineStr">
        <is>
          <t>Regular Customer</t>
        </is>
      </c>
      <c r="L43" s="4" t="inlineStr"/>
    </row>
    <row r="44" ht="22" customHeight="1">
      <c r="B44" s="7" t="n">
        <v>45693</v>
      </c>
      <c r="C44" s="8" t="inlineStr">
        <is>
          <t>INV-1019</t>
        </is>
      </c>
      <c r="D44" s="8" t="inlineStr">
        <is>
          <t>Canned Beans</t>
        </is>
      </c>
      <c r="E44" s="8" t="inlineStr">
        <is>
          <t>Grains</t>
        </is>
      </c>
      <c r="F44" s="9" t="n">
        <v>4</v>
      </c>
      <c r="G44" s="10" t="n">
        <v>3</v>
      </c>
      <c r="H44" s="10" t="n">
        <v>12</v>
      </c>
      <c r="I44" s="8" t="inlineStr">
        <is>
          <t>Card</t>
        </is>
      </c>
      <c r="J44" s="8" t="inlineStr">
        <is>
          <t>Fatima</t>
        </is>
      </c>
      <c r="K44" s="8" t="inlineStr">
        <is>
          <t>Walk-in</t>
        </is>
      </c>
      <c r="L44" s="8" t="inlineStr"/>
    </row>
    <row r="45" ht="22" customHeight="1">
      <c r="B45" s="3" t="n">
        <v>45693</v>
      </c>
      <c r="C45" s="4" t="inlineStr">
        <is>
          <t>INV-1020</t>
        </is>
      </c>
      <c r="D45" s="4" t="inlineStr">
        <is>
          <t>Onions (kg)</t>
        </is>
      </c>
      <c r="E45" s="4" t="inlineStr">
        <is>
          <t>Produce</t>
        </is>
      </c>
      <c r="F45" s="5" t="n">
        <v>4</v>
      </c>
      <c r="G45" s="6" t="n">
        <v>3</v>
      </c>
      <c r="H45" s="6" t="n">
        <v>12</v>
      </c>
      <c r="I45" s="4" t="inlineStr">
        <is>
          <t>Card</t>
        </is>
      </c>
      <c r="J45" s="4" t="inlineStr">
        <is>
          <t>Ahmed</t>
        </is>
      </c>
      <c r="K45" s="4" t="inlineStr">
        <is>
          <t>Regular Customer</t>
        </is>
      </c>
      <c r="L45" s="4" t="inlineStr"/>
    </row>
    <row r="46" ht="22" customHeight="1">
      <c r="B46" s="7" t="n">
        <v>45693</v>
      </c>
      <c r="C46" s="8" t="inlineStr">
        <is>
          <t>INV-1020</t>
        </is>
      </c>
      <c r="D46" s="8" t="inlineStr">
        <is>
          <t>Milk (1L)</t>
        </is>
      </c>
      <c r="E46" s="8" t="inlineStr">
        <is>
          <t>Dairy</t>
        </is>
      </c>
      <c r="F46" s="9" t="n">
        <v>1</v>
      </c>
      <c r="G46" s="10" t="n">
        <v>8</v>
      </c>
      <c r="H46" s="10" t="n">
        <v>8</v>
      </c>
      <c r="I46" s="8" t="inlineStr">
        <is>
          <t>Cash</t>
        </is>
      </c>
      <c r="J46" s="8" t="inlineStr">
        <is>
          <t>Ahmed</t>
        </is>
      </c>
      <c r="K46" s="8" t="inlineStr">
        <is>
          <t>Regular Customer</t>
        </is>
      </c>
      <c r="L46" s="8" t="inlineStr"/>
    </row>
    <row r="47" ht="22" customHeight="1">
      <c r="B47" s="3" t="n">
        <v>45693</v>
      </c>
      <c r="C47" s="4" t="inlineStr">
        <is>
          <t>INV-1020</t>
        </is>
      </c>
      <c r="D47" s="4" t="inlineStr">
        <is>
          <t>Potatoes (kg)</t>
        </is>
      </c>
      <c r="E47" s="4" t="inlineStr">
        <is>
          <t>Produce</t>
        </is>
      </c>
      <c r="F47" s="5" t="n">
        <v>1</v>
      </c>
      <c r="G47" s="6" t="n">
        <v>4</v>
      </c>
      <c r="H47" s="6" t="n">
        <v>4</v>
      </c>
      <c r="I47" s="4" t="inlineStr">
        <is>
          <t>Cash</t>
        </is>
      </c>
      <c r="J47" s="4" t="inlineStr">
        <is>
          <t>Ahmed</t>
        </is>
      </c>
      <c r="K47" s="4" t="inlineStr">
        <is>
          <t>Walk-in</t>
        </is>
      </c>
      <c r="L47" s="4" t="inlineStr"/>
    </row>
    <row r="48" ht="22" customHeight="1">
      <c r="B48" s="7" t="n">
        <v>45693</v>
      </c>
      <c r="C48" s="8" t="inlineStr">
        <is>
          <t>INV-1020</t>
        </is>
      </c>
      <c r="D48" s="8" t="inlineStr">
        <is>
          <t>Coffee (200g)</t>
        </is>
      </c>
      <c r="E48" s="8" t="inlineStr">
        <is>
          <t>Beverages</t>
        </is>
      </c>
      <c r="F48" s="9" t="n">
        <v>4</v>
      </c>
      <c r="G48" s="10" t="n">
        <v>18</v>
      </c>
      <c r="H48" s="10" t="n">
        <v>72</v>
      </c>
      <c r="I48" s="8" t="inlineStr">
        <is>
          <t>Cash</t>
        </is>
      </c>
      <c r="J48" s="8" t="inlineStr">
        <is>
          <t>Ahmed</t>
        </is>
      </c>
      <c r="K48" s="8" t="inlineStr">
        <is>
          <t>Regular Customer</t>
        </is>
      </c>
      <c r="L48" s="8" t="inlineStr"/>
    </row>
    <row r="49" ht="22" customHeight="1">
      <c r="B49" s="3" t="n">
        <v>45693</v>
      </c>
      <c r="C49" s="4" t="inlineStr">
        <is>
          <t>INV-1021</t>
        </is>
      </c>
      <c r="D49" s="4" t="inlineStr">
        <is>
          <t>Orange Juice (1L)</t>
        </is>
      </c>
      <c r="E49" s="4" t="inlineStr">
        <is>
          <t>Beverages</t>
        </is>
      </c>
      <c r="F49" s="5" t="n">
        <v>1</v>
      </c>
      <c r="G49" s="6" t="n">
        <v>6</v>
      </c>
      <c r="H49" s="6" t="n">
        <v>6</v>
      </c>
      <c r="I49" s="4" t="inlineStr">
        <is>
          <t>Card</t>
        </is>
      </c>
      <c r="J49" s="4" t="inlineStr">
        <is>
          <t>Omar</t>
        </is>
      </c>
      <c r="K49" s="4" t="inlineStr">
        <is>
          <t>Online Customer</t>
        </is>
      </c>
      <c r="L49" s="4" t="inlineStr"/>
    </row>
    <row r="50" ht="22" customHeight="1">
      <c r="B50" s="7" t="n">
        <v>45693</v>
      </c>
      <c r="C50" s="8" t="inlineStr">
        <is>
          <t>INV-1021</t>
        </is>
      </c>
      <c r="D50" s="8" t="inlineStr">
        <is>
          <t>Milk (1L)</t>
        </is>
      </c>
      <c r="E50" s="8" t="inlineStr">
        <is>
          <t>Dairy</t>
        </is>
      </c>
      <c r="F50" s="9" t="n">
        <v>5</v>
      </c>
      <c r="G50" s="10" t="n">
        <v>8</v>
      </c>
      <c r="H50" s="10" t="n">
        <v>40</v>
      </c>
      <c r="I50" s="8" t="inlineStr">
        <is>
          <t>Cash</t>
        </is>
      </c>
      <c r="J50" s="8" t="inlineStr">
        <is>
          <t>Omar</t>
        </is>
      </c>
      <c r="K50" s="8" t="inlineStr">
        <is>
          <t>Regular Customer</t>
        </is>
      </c>
      <c r="L50" s="8" t="inlineStr"/>
    </row>
    <row r="51" ht="22" customHeight="1">
      <c r="B51" s="3" t="n">
        <v>45693</v>
      </c>
      <c r="C51" s="4" t="inlineStr">
        <is>
          <t>INV-1021</t>
        </is>
      </c>
      <c r="D51" s="4" t="inlineStr">
        <is>
          <t>Cooking Oil (1L)</t>
        </is>
      </c>
      <c r="E51" s="4" t="inlineStr">
        <is>
          <t>Grains</t>
        </is>
      </c>
      <c r="F51" s="5" t="n">
        <v>4</v>
      </c>
      <c r="G51" s="6" t="n">
        <v>22</v>
      </c>
      <c r="H51" s="6" t="n">
        <v>88</v>
      </c>
      <c r="I51" s="4" t="inlineStr">
        <is>
          <t>Card</t>
        </is>
      </c>
      <c r="J51" s="4" t="inlineStr">
        <is>
          <t>Omar</t>
        </is>
      </c>
      <c r="K51" s="4" t="inlineStr">
        <is>
          <t>Regular Customer</t>
        </is>
      </c>
      <c r="L51" s="4" t="inlineStr"/>
    </row>
    <row r="52" ht="22" customHeight="1">
      <c r="B52" s="7" t="n">
        <v>45693</v>
      </c>
      <c r="C52" s="8" t="inlineStr">
        <is>
          <t>INV-1021</t>
        </is>
      </c>
      <c r="D52" s="8" t="inlineStr">
        <is>
          <t>Fish (kg)</t>
        </is>
      </c>
      <c r="E52" s="8" t="inlineStr">
        <is>
          <t>Meat</t>
        </is>
      </c>
      <c r="F52" s="9" t="n">
        <v>4</v>
      </c>
      <c r="G52" s="10" t="n">
        <v>32</v>
      </c>
      <c r="H52" s="10" t="n">
        <v>128</v>
      </c>
      <c r="I52" s="8" t="inlineStr">
        <is>
          <t>Cash</t>
        </is>
      </c>
      <c r="J52" s="8" t="inlineStr">
        <is>
          <t>Omar</t>
        </is>
      </c>
      <c r="K52" s="8" t="inlineStr">
        <is>
          <t>Walk-in</t>
        </is>
      </c>
      <c r="L52" s="8" t="inlineStr">
        <is>
          <t>Bulk</t>
        </is>
      </c>
    </row>
    <row r="53" ht="22" customHeight="1">
      <c r="B53" s="3" t="n">
        <v>45693</v>
      </c>
      <c r="C53" s="4" t="inlineStr">
        <is>
          <t>INV-1022</t>
        </is>
      </c>
      <c r="D53" s="4" t="inlineStr">
        <is>
          <t>Pasta (500g)</t>
        </is>
      </c>
      <c r="E53" s="4" t="inlineStr">
        <is>
          <t>Grains</t>
        </is>
      </c>
      <c r="F53" s="5" t="n">
        <v>4</v>
      </c>
      <c r="G53" s="6" t="n">
        <v>4</v>
      </c>
      <c r="H53" s="6" t="n">
        <v>16</v>
      </c>
      <c r="I53" s="4" t="inlineStr">
        <is>
          <t>Card</t>
        </is>
      </c>
      <c r="J53" s="4" t="inlineStr">
        <is>
          <t>Ahmed</t>
        </is>
      </c>
      <c r="K53" s="4" t="inlineStr">
        <is>
          <t>Regular Customer</t>
        </is>
      </c>
      <c r="L53" s="4" t="inlineStr"/>
    </row>
    <row r="54" ht="22" customHeight="1">
      <c r="B54" s="7" t="n">
        <v>45693</v>
      </c>
      <c r="C54" s="8" t="inlineStr">
        <is>
          <t>INV-1022</t>
        </is>
      </c>
      <c r="D54" s="8" t="inlineStr">
        <is>
          <t>Biscuits (200g)</t>
        </is>
      </c>
      <c r="E54" s="8" t="inlineStr">
        <is>
          <t>Snacks</t>
        </is>
      </c>
      <c r="F54" s="9" t="n">
        <v>5</v>
      </c>
      <c r="G54" s="10" t="n">
        <v>4</v>
      </c>
      <c r="H54" s="10" t="n">
        <v>20</v>
      </c>
      <c r="I54" s="8" t="inlineStr">
        <is>
          <t>Online</t>
        </is>
      </c>
      <c r="J54" s="8" t="inlineStr">
        <is>
          <t>Ahmed</t>
        </is>
      </c>
      <c r="K54" s="8" t="inlineStr">
        <is>
          <t>Regular Customer</t>
        </is>
      </c>
      <c r="L54" s="8" t="inlineStr"/>
    </row>
    <row r="55" ht="22" customHeight="1">
      <c r="B55" s="3" t="n">
        <v>45693</v>
      </c>
      <c r="C55" s="4" t="inlineStr">
        <is>
          <t>INV-1022</t>
        </is>
      </c>
      <c r="D55" s="4" t="inlineStr">
        <is>
          <t>Water (6pk)</t>
        </is>
      </c>
      <c r="E55" s="4" t="inlineStr">
        <is>
          <t>Beverages</t>
        </is>
      </c>
      <c r="F55" s="5" t="n">
        <v>3</v>
      </c>
      <c r="G55" s="6" t="n">
        <v>2</v>
      </c>
      <c r="H55" s="6" t="n">
        <v>6</v>
      </c>
      <c r="I55" s="4" t="inlineStr">
        <is>
          <t>Cash</t>
        </is>
      </c>
      <c r="J55" s="4" t="inlineStr">
        <is>
          <t>Ahmed</t>
        </is>
      </c>
      <c r="K55" s="4" t="inlineStr">
        <is>
          <t>Regular Customer</t>
        </is>
      </c>
      <c r="L55" s="4" t="inlineStr">
        <is>
          <t>Express</t>
        </is>
      </c>
    </row>
    <row r="56" ht="22" customHeight="1">
      <c r="B56" s="7" t="n">
        <v>45693</v>
      </c>
      <c r="C56" s="8" t="inlineStr">
        <is>
          <t>INV-1022</t>
        </is>
      </c>
      <c r="D56" s="8" t="inlineStr">
        <is>
          <t>Biscuits (200g)</t>
        </is>
      </c>
      <c r="E56" s="8" t="inlineStr">
        <is>
          <t>Snacks</t>
        </is>
      </c>
      <c r="F56" s="9" t="n">
        <v>5</v>
      </c>
      <c r="G56" s="10" t="n">
        <v>4</v>
      </c>
      <c r="H56" s="10" t="n">
        <v>20</v>
      </c>
      <c r="I56" s="8" t="inlineStr">
        <is>
          <t>Cash</t>
        </is>
      </c>
      <c r="J56" s="8" t="inlineStr">
        <is>
          <t>Ahmed</t>
        </is>
      </c>
      <c r="K56" s="8" t="inlineStr">
        <is>
          <t>Regular Customer</t>
        </is>
      </c>
      <c r="L56" s="8" t="inlineStr"/>
    </row>
    <row r="57" ht="22" customHeight="1">
      <c r="B57" s="3" t="n">
        <v>45694</v>
      </c>
      <c r="C57" s="4" t="inlineStr">
        <is>
          <t>INV-1023</t>
        </is>
      </c>
      <c r="D57" s="4" t="inlineStr">
        <is>
          <t>Tea (25 bags)</t>
        </is>
      </c>
      <c r="E57" s="4" t="inlineStr">
        <is>
          <t>Beverages</t>
        </is>
      </c>
      <c r="F57" s="5" t="n">
        <v>5</v>
      </c>
      <c r="G57" s="6" t="n">
        <v>10</v>
      </c>
      <c r="H57" s="6" t="n">
        <v>50</v>
      </c>
      <c r="I57" s="4" t="inlineStr">
        <is>
          <t>Cash</t>
        </is>
      </c>
      <c r="J57" s="4" t="inlineStr">
        <is>
          <t>Khalid</t>
        </is>
      </c>
      <c r="K57" s="4" t="inlineStr">
        <is>
          <t>Regular Customer</t>
        </is>
      </c>
      <c r="L57" s="4" t="inlineStr">
        <is>
          <t>Express</t>
        </is>
      </c>
    </row>
    <row r="58" ht="22" customHeight="1">
      <c r="B58" s="7" t="n">
        <v>45694</v>
      </c>
      <c r="C58" s="8" t="inlineStr">
        <is>
          <t>INV-1023</t>
        </is>
      </c>
      <c r="D58" s="8" t="inlineStr">
        <is>
          <t>Bread</t>
        </is>
      </c>
      <c r="E58" s="8" t="inlineStr">
        <is>
          <t>Bakery</t>
        </is>
      </c>
      <c r="F58" s="9" t="n">
        <v>2</v>
      </c>
      <c r="G58" s="10" t="n">
        <v>5</v>
      </c>
      <c r="H58" s="10" t="n">
        <v>10</v>
      </c>
      <c r="I58" s="8" t="inlineStr">
        <is>
          <t>Cash</t>
        </is>
      </c>
      <c r="J58" s="8" t="inlineStr">
        <is>
          <t>Khalid</t>
        </is>
      </c>
      <c r="K58" s="8" t="inlineStr">
        <is>
          <t>Online Customer</t>
        </is>
      </c>
      <c r="L58" s="8" t="inlineStr"/>
    </row>
    <row r="59" ht="22" customHeight="1">
      <c r="B59" s="3" t="n">
        <v>45694</v>
      </c>
      <c r="C59" s="4" t="inlineStr">
        <is>
          <t>INV-1023</t>
        </is>
      </c>
      <c r="D59" s="4" t="inlineStr">
        <is>
          <t>Chips (150g)</t>
        </is>
      </c>
      <c r="E59" s="4" t="inlineStr">
        <is>
          <t>Snacks</t>
        </is>
      </c>
      <c r="F59" s="5" t="n">
        <v>2</v>
      </c>
      <c r="G59" s="6" t="n">
        <v>5</v>
      </c>
      <c r="H59" s="6" t="n">
        <v>10</v>
      </c>
      <c r="I59" s="4" t="inlineStr">
        <is>
          <t>Card</t>
        </is>
      </c>
      <c r="J59" s="4" t="inlineStr">
        <is>
          <t>Khalid</t>
        </is>
      </c>
      <c r="K59" s="4" t="inlineStr">
        <is>
          <t>Regular Customer</t>
        </is>
      </c>
      <c r="L59" s="4" t="inlineStr">
        <is>
          <t>Express</t>
        </is>
      </c>
    </row>
    <row r="60" ht="22" customHeight="1">
      <c r="B60" s="7" t="n">
        <v>45694</v>
      </c>
      <c r="C60" s="8" t="inlineStr">
        <is>
          <t>INV-1023</t>
        </is>
      </c>
      <c r="D60" s="8" t="inlineStr">
        <is>
          <t>Orange Juice (1L)</t>
        </is>
      </c>
      <c r="E60" s="8" t="inlineStr">
        <is>
          <t>Beverages</t>
        </is>
      </c>
      <c r="F60" s="9" t="n">
        <v>5</v>
      </c>
      <c r="G60" s="10" t="n">
        <v>6</v>
      </c>
      <c r="H60" s="10" t="n">
        <v>30</v>
      </c>
      <c r="I60" s="8" t="inlineStr">
        <is>
          <t>Online</t>
        </is>
      </c>
      <c r="J60" s="8" t="inlineStr">
        <is>
          <t>Khalid</t>
        </is>
      </c>
      <c r="K60" s="8" t="inlineStr">
        <is>
          <t>Regular Customer</t>
        </is>
      </c>
      <c r="L60" s="8" t="inlineStr">
        <is>
          <t>Express</t>
        </is>
      </c>
    </row>
    <row r="61" ht="22" customHeight="1">
      <c r="B61" s="3" t="n">
        <v>45694</v>
      </c>
      <c r="C61" s="4" t="inlineStr">
        <is>
          <t>INV-1024</t>
        </is>
      </c>
      <c r="D61" s="4" t="inlineStr">
        <is>
          <t>Chips (150g)</t>
        </is>
      </c>
      <c r="E61" s="4" t="inlineStr">
        <is>
          <t>Snacks</t>
        </is>
      </c>
      <c r="F61" s="5" t="n">
        <v>5</v>
      </c>
      <c r="G61" s="6" t="n">
        <v>5</v>
      </c>
      <c r="H61" s="6" t="n">
        <v>25</v>
      </c>
      <c r="I61" s="4" t="inlineStr">
        <is>
          <t>Online</t>
        </is>
      </c>
      <c r="J61" s="4" t="inlineStr">
        <is>
          <t>Ahmed</t>
        </is>
      </c>
      <c r="K61" s="4" t="inlineStr">
        <is>
          <t>Online Customer</t>
        </is>
      </c>
      <c r="L61" s="4" t="inlineStr"/>
    </row>
    <row r="62" ht="22" customHeight="1">
      <c r="B62" s="7" t="n">
        <v>45694</v>
      </c>
      <c r="C62" s="8" t="inlineStr">
        <is>
          <t>INV-1024</t>
        </is>
      </c>
      <c r="D62" s="8" t="inlineStr">
        <is>
          <t>Pasta (500g)</t>
        </is>
      </c>
      <c r="E62" s="8" t="inlineStr">
        <is>
          <t>Grains</t>
        </is>
      </c>
      <c r="F62" s="9" t="n">
        <v>2</v>
      </c>
      <c r="G62" s="10" t="n">
        <v>4</v>
      </c>
      <c r="H62" s="10" t="n">
        <v>8</v>
      </c>
      <c r="I62" s="8" t="inlineStr">
        <is>
          <t>Online</t>
        </is>
      </c>
      <c r="J62" s="8" t="inlineStr">
        <is>
          <t>Ahmed</t>
        </is>
      </c>
      <c r="K62" s="8" t="inlineStr">
        <is>
          <t>Regular Customer</t>
        </is>
      </c>
      <c r="L62" s="8" t="inlineStr"/>
    </row>
    <row r="63" ht="22" customHeight="1">
      <c r="B63" s="3" t="n">
        <v>45694</v>
      </c>
      <c r="C63" s="4" t="inlineStr">
        <is>
          <t>INV-1024</t>
        </is>
      </c>
      <c r="D63" s="4" t="inlineStr">
        <is>
          <t>Pasta (500g)</t>
        </is>
      </c>
      <c r="E63" s="4" t="inlineStr">
        <is>
          <t>Grains</t>
        </is>
      </c>
      <c r="F63" s="5" t="n">
        <v>4</v>
      </c>
      <c r="G63" s="6" t="n">
        <v>4</v>
      </c>
      <c r="H63" s="6" t="n">
        <v>16</v>
      </c>
      <c r="I63" s="4" t="inlineStr">
        <is>
          <t>Cash</t>
        </is>
      </c>
      <c r="J63" s="4" t="inlineStr">
        <is>
          <t>Ahmed</t>
        </is>
      </c>
      <c r="K63" s="4" t="inlineStr">
        <is>
          <t>Regular Customer</t>
        </is>
      </c>
      <c r="L63" s="4" t="inlineStr">
        <is>
          <t>Bulk</t>
        </is>
      </c>
    </row>
    <row r="64" ht="22" customHeight="1">
      <c r="B64" s="7" t="n">
        <v>45694</v>
      </c>
      <c r="C64" s="8" t="inlineStr">
        <is>
          <t>INV-1024</t>
        </is>
      </c>
      <c r="D64" s="8" t="inlineStr">
        <is>
          <t>Potatoes (kg)</t>
        </is>
      </c>
      <c r="E64" s="8" t="inlineStr">
        <is>
          <t>Produce</t>
        </is>
      </c>
      <c r="F64" s="9" t="n">
        <v>1</v>
      </c>
      <c r="G64" s="10" t="n">
        <v>4</v>
      </c>
      <c r="H64" s="10" t="n">
        <v>4</v>
      </c>
      <c r="I64" s="8" t="inlineStr">
        <is>
          <t>Cash</t>
        </is>
      </c>
      <c r="J64" s="8" t="inlineStr">
        <is>
          <t>Ahmed</t>
        </is>
      </c>
      <c r="K64" s="8" t="inlineStr">
        <is>
          <t>Regular Customer</t>
        </is>
      </c>
      <c r="L64" s="8" t="inlineStr">
        <is>
          <t>Express</t>
        </is>
      </c>
    </row>
    <row r="65" ht="22" customHeight="1">
      <c r="B65" s="3" t="n">
        <v>45694</v>
      </c>
      <c r="C65" s="4" t="inlineStr">
        <is>
          <t>INV-1025</t>
        </is>
      </c>
      <c r="D65" s="4" t="inlineStr">
        <is>
          <t>Bread</t>
        </is>
      </c>
      <c r="E65" s="4" t="inlineStr">
        <is>
          <t>Bakery</t>
        </is>
      </c>
      <c r="F65" s="5" t="n">
        <v>5</v>
      </c>
      <c r="G65" s="6" t="n">
        <v>5</v>
      </c>
      <c r="H65" s="6" t="n">
        <v>25</v>
      </c>
      <c r="I65" s="4" t="inlineStr">
        <is>
          <t>Cash</t>
        </is>
      </c>
      <c r="J65" s="4" t="inlineStr">
        <is>
          <t>Khalid</t>
        </is>
      </c>
      <c r="K65" s="4" t="inlineStr">
        <is>
          <t>Online Customer</t>
        </is>
      </c>
      <c r="L65" s="4" t="inlineStr"/>
    </row>
    <row r="66" ht="22" customHeight="1">
      <c r="B66" s="7" t="n">
        <v>45694</v>
      </c>
      <c r="C66" s="8" t="inlineStr">
        <is>
          <t>INV-1026</t>
        </is>
      </c>
      <c r="D66" s="8" t="inlineStr">
        <is>
          <t>Bread</t>
        </is>
      </c>
      <c r="E66" s="8" t="inlineStr">
        <is>
          <t>Bakery</t>
        </is>
      </c>
      <c r="F66" s="9" t="n">
        <v>2</v>
      </c>
      <c r="G66" s="10" t="n">
        <v>5</v>
      </c>
      <c r="H66" s="10" t="n">
        <v>10</v>
      </c>
      <c r="I66" s="8" t="inlineStr">
        <is>
          <t>Card</t>
        </is>
      </c>
      <c r="J66" s="8" t="inlineStr">
        <is>
          <t>Fatima</t>
        </is>
      </c>
      <c r="K66" s="8" t="inlineStr">
        <is>
          <t>Regular Customer</t>
        </is>
      </c>
      <c r="L66" s="8" t="inlineStr"/>
    </row>
    <row r="67" ht="22" customHeight="1">
      <c r="B67" s="3" t="n">
        <v>45694</v>
      </c>
      <c r="C67" s="4" t="inlineStr">
        <is>
          <t>INV-1026</t>
        </is>
      </c>
      <c r="D67" s="4" t="inlineStr">
        <is>
          <t>Sugar (1kg)</t>
        </is>
      </c>
      <c r="E67" s="4" t="inlineStr">
        <is>
          <t>Grains</t>
        </is>
      </c>
      <c r="F67" s="5" t="n">
        <v>5</v>
      </c>
      <c r="G67" s="6" t="n">
        <v>5</v>
      </c>
      <c r="H67" s="6" t="n">
        <v>25</v>
      </c>
      <c r="I67" s="4" t="inlineStr">
        <is>
          <t>Online</t>
        </is>
      </c>
      <c r="J67" s="4" t="inlineStr">
        <is>
          <t>Fatima</t>
        </is>
      </c>
      <c r="K67" s="4" t="inlineStr">
        <is>
          <t>Regular Customer</t>
        </is>
      </c>
      <c r="L67" s="4" t="inlineStr">
        <is>
          <t>Express</t>
        </is>
      </c>
    </row>
    <row r="68" ht="22" customHeight="1">
      <c r="B68" s="7" t="n">
        <v>45694</v>
      </c>
      <c r="C68" s="8" t="inlineStr">
        <is>
          <t>INV-1026</t>
        </is>
      </c>
      <c r="D68" s="8" t="inlineStr">
        <is>
          <t>Canned Beans</t>
        </is>
      </c>
      <c r="E68" s="8" t="inlineStr">
        <is>
          <t>Grains</t>
        </is>
      </c>
      <c r="F68" s="9" t="n">
        <v>5</v>
      </c>
      <c r="G68" s="10" t="n">
        <v>3</v>
      </c>
      <c r="H68" s="10" t="n">
        <v>15</v>
      </c>
      <c r="I68" s="8" t="inlineStr">
        <is>
          <t>Cash</t>
        </is>
      </c>
      <c r="J68" s="8" t="inlineStr">
        <is>
          <t>Fatima</t>
        </is>
      </c>
      <c r="K68" s="8" t="inlineStr">
        <is>
          <t>Online Customer</t>
        </is>
      </c>
      <c r="L68" s="8" t="inlineStr"/>
    </row>
    <row r="69" ht="22" customHeight="1">
      <c r="B69" s="3" t="n">
        <v>45695</v>
      </c>
      <c r="C69" s="4" t="inlineStr">
        <is>
          <t>INV-1027</t>
        </is>
      </c>
      <c r="D69" s="4" t="inlineStr">
        <is>
          <t>Pasta (500g)</t>
        </is>
      </c>
      <c r="E69" s="4" t="inlineStr">
        <is>
          <t>Grains</t>
        </is>
      </c>
      <c r="F69" s="5" t="n">
        <v>1</v>
      </c>
      <c r="G69" s="6" t="n">
        <v>4</v>
      </c>
      <c r="H69" s="6" t="n">
        <v>4</v>
      </c>
      <c r="I69" s="4" t="inlineStr">
        <is>
          <t>Cash</t>
        </is>
      </c>
      <c r="J69" s="4" t="inlineStr">
        <is>
          <t>Ahmed</t>
        </is>
      </c>
      <c r="K69" s="4" t="inlineStr">
        <is>
          <t>Online Customer</t>
        </is>
      </c>
      <c r="L69" s="4" t="inlineStr"/>
    </row>
    <row r="70" ht="22" customHeight="1">
      <c r="B70" s="7" t="n">
        <v>45695</v>
      </c>
      <c r="C70" s="8" t="inlineStr">
        <is>
          <t>INV-1027</t>
        </is>
      </c>
      <c r="D70" s="8" t="inlineStr">
        <is>
          <t>Pasta (500g)</t>
        </is>
      </c>
      <c r="E70" s="8" t="inlineStr">
        <is>
          <t>Grains</t>
        </is>
      </c>
      <c r="F70" s="9" t="n">
        <v>3</v>
      </c>
      <c r="G70" s="10" t="n">
        <v>4</v>
      </c>
      <c r="H70" s="10" t="n">
        <v>12</v>
      </c>
      <c r="I70" s="8" t="inlineStr">
        <is>
          <t>Online</t>
        </is>
      </c>
      <c r="J70" s="8" t="inlineStr">
        <is>
          <t>Ahmed</t>
        </is>
      </c>
      <c r="K70" s="8" t="inlineStr">
        <is>
          <t>Walk-in</t>
        </is>
      </c>
      <c r="L70" s="8" t="inlineStr"/>
    </row>
    <row r="71" ht="22" customHeight="1">
      <c r="B71" s="3" t="n">
        <v>45695</v>
      </c>
      <c r="C71" s="4" t="inlineStr">
        <is>
          <t>INV-1028</t>
        </is>
      </c>
      <c r="D71" s="4" t="inlineStr">
        <is>
          <t>Chips (150g)</t>
        </is>
      </c>
      <c r="E71" s="4" t="inlineStr">
        <is>
          <t>Snacks</t>
        </is>
      </c>
      <c r="F71" s="5" t="n">
        <v>3</v>
      </c>
      <c r="G71" s="6" t="n">
        <v>5</v>
      </c>
      <c r="H71" s="6" t="n">
        <v>15</v>
      </c>
      <c r="I71" s="4" t="inlineStr">
        <is>
          <t>Online</t>
        </is>
      </c>
      <c r="J71" s="4" t="inlineStr">
        <is>
          <t>Omar</t>
        </is>
      </c>
      <c r="K71" s="4" t="inlineStr">
        <is>
          <t>Regular Customer</t>
        </is>
      </c>
      <c r="L71" s="4" t="inlineStr"/>
    </row>
    <row r="72" ht="22" customHeight="1">
      <c r="B72" s="7" t="n">
        <v>45695</v>
      </c>
      <c r="C72" s="8" t="inlineStr">
        <is>
          <t>INV-1028</t>
        </is>
      </c>
      <c r="D72" s="8" t="inlineStr">
        <is>
          <t>Fish (kg)</t>
        </is>
      </c>
      <c r="E72" s="8" t="inlineStr">
        <is>
          <t>Meat</t>
        </is>
      </c>
      <c r="F72" s="9" t="n">
        <v>1</v>
      </c>
      <c r="G72" s="10" t="n">
        <v>32</v>
      </c>
      <c r="H72" s="10" t="n">
        <v>32</v>
      </c>
      <c r="I72" s="8" t="inlineStr">
        <is>
          <t>Cash</t>
        </is>
      </c>
      <c r="J72" s="8" t="inlineStr">
        <is>
          <t>Omar</t>
        </is>
      </c>
      <c r="K72" s="8" t="inlineStr">
        <is>
          <t>Regular Customer</t>
        </is>
      </c>
      <c r="L72" s="8" t="inlineStr"/>
    </row>
    <row r="73" ht="22" customHeight="1">
      <c r="B73" s="3" t="n">
        <v>45695</v>
      </c>
      <c r="C73" s="4" t="inlineStr">
        <is>
          <t>INV-1029</t>
        </is>
      </c>
      <c r="D73" s="4" t="inlineStr">
        <is>
          <t>Potatoes (kg)</t>
        </is>
      </c>
      <c r="E73" s="4" t="inlineStr">
        <is>
          <t>Produce</t>
        </is>
      </c>
      <c r="F73" s="5" t="n">
        <v>2</v>
      </c>
      <c r="G73" s="6" t="n">
        <v>4</v>
      </c>
      <c r="H73" s="6" t="n">
        <v>8</v>
      </c>
      <c r="I73" s="4" t="inlineStr">
        <is>
          <t>Online</t>
        </is>
      </c>
      <c r="J73" s="4" t="inlineStr">
        <is>
          <t>Ahmed</t>
        </is>
      </c>
      <c r="K73" s="4" t="inlineStr">
        <is>
          <t>Regular Customer</t>
        </is>
      </c>
      <c r="L73" s="4" t="inlineStr"/>
    </row>
    <row r="74" ht="22" customHeight="1">
      <c r="B74" s="7" t="n">
        <v>45695</v>
      </c>
      <c r="C74" s="8" t="inlineStr">
        <is>
          <t>INV-1030</t>
        </is>
      </c>
      <c r="D74" s="8" t="inlineStr">
        <is>
          <t>Coffee (200g)</t>
        </is>
      </c>
      <c r="E74" s="8" t="inlineStr">
        <is>
          <t>Beverages</t>
        </is>
      </c>
      <c r="F74" s="9" t="n">
        <v>1</v>
      </c>
      <c r="G74" s="10" t="n">
        <v>18</v>
      </c>
      <c r="H74" s="10" t="n">
        <v>18</v>
      </c>
      <c r="I74" s="8" t="inlineStr">
        <is>
          <t>Cash</t>
        </is>
      </c>
      <c r="J74" s="8" t="inlineStr">
        <is>
          <t>Sara</t>
        </is>
      </c>
      <c r="K74" s="8" t="inlineStr">
        <is>
          <t>Regular Customer</t>
        </is>
      </c>
      <c r="L74" s="8" t="inlineStr"/>
    </row>
    <row r="75" ht="22" customHeight="1">
      <c r="B75" s="3" t="n">
        <v>45695</v>
      </c>
      <c r="C75" s="4" t="inlineStr">
        <is>
          <t>INV-1030</t>
        </is>
      </c>
      <c r="D75" s="4" t="inlineStr">
        <is>
          <t>Chicken (kg)</t>
        </is>
      </c>
      <c r="E75" s="4" t="inlineStr">
        <is>
          <t>Meat</t>
        </is>
      </c>
      <c r="F75" s="5" t="n">
        <v>5</v>
      </c>
      <c r="G75" s="6" t="n">
        <v>28</v>
      </c>
      <c r="H75" s="6" t="n">
        <v>140</v>
      </c>
      <c r="I75" s="4" t="inlineStr">
        <is>
          <t>Cash</t>
        </is>
      </c>
      <c r="J75" s="4" t="inlineStr">
        <is>
          <t>Sara</t>
        </is>
      </c>
      <c r="K75" s="4" t="inlineStr">
        <is>
          <t>Regular Customer</t>
        </is>
      </c>
      <c r="L75" s="4" t="inlineStr">
        <is>
          <t>Express</t>
        </is>
      </c>
    </row>
    <row r="76" ht="22" customHeight="1">
      <c r="B76" s="7" t="n">
        <v>45695</v>
      </c>
      <c r="C76" s="8" t="inlineStr">
        <is>
          <t>INV-1030</t>
        </is>
      </c>
      <c r="D76" s="8" t="inlineStr">
        <is>
          <t>Coffee (200g)</t>
        </is>
      </c>
      <c r="E76" s="8" t="inlineStr">
        <is>
          <t>Beverages</t>
        </is>
      </c>
      <c r="F76" s="9" t="n">
        <v>2</v>
      </c>
      <c r="G76" s="10" t="n">
        <v>18</v>
      </c>
      <c r="H76" s="10" t="n">
        <v>36</v>
      </c>
      <c r="I76" s="8" t="inlineStr">
        <is>
          <t>Card</t>
        </is>
      </c>
      <c r="J76" s="8" t="inlineStr">
        <is>
          <t>Sara</t>
        </is>
      </c>
      <c r="K76" s="8" t="inlineStr">
        <is>
          <t>Walk-in</t>
        </is>
      </c>
      <c r="L76" s="8" t="inlineStr"/>
    </row>
    <row r="77" ht="22" customHeight="1">
      <c r="B77" s="3" t="n">
        <v>45695</v>
      </c>
      <c r="C77" s="4" t="inlineStr">
        <is>
          <t>INV-1030</t>
        </is>
      </c>
      <c r="D77" s="4" t="inlineStr">
        <is>
          <t>Tomatoes (kg)</t>
        </is>
      </c>
      <c r="E77" s="4" t="inlineStr">
        <is>
          <t>Produce</t>
        </is>
      </c>
      <c r="F77" s="5" t="n">
        <v>3</v>
      </c>
      <c r="G77" s="6" t="n">
        <v>6</v>
      </c>
      <c r="H77" s="6" t="n">
        <v>18</v>
      </c>
      <c r="I77" s="4" t="inlineStr">
        <is>
          <t>Cash</t>
        </is>
      </c>
      <c r="J77" s="4" t="inlineStr">
        <is>
          <t>Sara</t>
        </is>
      </c>
      <c r="K77" s="4" t="inlineStr">
        <is>
          <t>Regular Customer</t>
        </is>
      </c>
      <c r="L77" s="4" t="inlineStr"/>
    </row>
    <row r="78" ht="22" customHeight="1">
      <c r="B78" s="7" t="n">
        <v>45695</v>
      </c>
      <c r="C78" s="8" t="inlineStr">
        <is>
          <t>INV-1031</t>
        </is>
      </c>
      <c r="D78" s="8" t="inlineStr">
        <is>
          <t>Onions (kg)</t>
        </is>
      </c>
      <c r="E78" s="8" t="inlineStr">
        <is>
          <t>Produce</t>
        </is>
      </c>
      <c r="F78" s="9" t="n">
        <v>5</v>
      </c>
      <c r="G78" s="10" t="n">
        <v>3</v>
      </c>
      <c r="H78" s="10" t="n">
        <v>15</v>
      </c>
      <c r="I78" s="8" t="inlineStr">
        <is>
          <t>Card</t>
        </is>
      </c>
      <c r="J78" s="8" t="inlineStr">
        <is>
          <t>Fatima</t>
        </is>
      </c>
      <c r="K78" s="8" t="inlineStr">
        <is>
          <t>Online Customer</t>
        </is>
      </c>
      <c r="L78" s="8" t="inlineStr"/>
    </row>
    <row r="79" ht="22" customHeight="1">
      <c r="B79" s="3" t="n">
        <v>45696</v>
      </c>
      <c r="C79" s="4" t="inlineStr">
        <is>
          <t>INV-1032</t>
        </is>
      </c>
      <c r="D79" s="4" t="inlineStr">
        <is>
          <t>Canned Beans</t>
        </is>
      </c>
      <c r="E79" s="4" t="inlineStr">
        <is>
          <t>Grains</t>
        </is>
      </c>
      <c r="F79" s="5" t="n">
        <v>2</v>
      </c>
      <c r="G79" s="6" t="n">
        <v>3</v>
      </c>
      <c r="H79" s="6" t="n">
        <v>6</v>
      </c>
      <c r="I79" s="4" t="inlineStr">
        <is>
          <t>Card</t>
        </is>
      </c>
      <c r="J79" s="4" t="inlineStr">
        <is>
          <t>Fatima</t>
        </is>
      </c>
      <c r="K79" s="4" t="inlineStr">
        <is>
          <t>Regular Customer</t>
        </is>
      </c>
      <c r="L79" s="4" t="inlineStr"/>
    </row>
    <row r="80" ht="22" customHeight="1">
      <c r="B80" s="7" t="n">
        <v>45696</v>
      </c>
      <c r="C80" s="8" t="inlineStr">
        <is>
          <t>INV-1032</t>
        </is>
      </c>
      <c r="D80" s="8" t="inlineStr">
        <is>
          <t>Biscuits (200g)</t>
        </is>
      </c>
      <c r="E80" s="8" t="inlineStr">
        <is>
          <t>Snacks</t>
        </is>
      </c>
      <c r="F80" s="9" t="n">
        <v>3</v>
      </c>
      <c r="G80" s="10" t="n">
        <v>4</v>
      </c>
      <c r="H80" s="10" t="n">
        <v>12</v>
      </c>
      <c r="I80" s="8" t="inlineStr">
        <is>
          <t>Card</t>
        </is>
      </c>
      <c r="J80" s="8" t="inlineStr">
        <is>
          <t>Fatima</t>
        </is>
      </c>
      <c r="K80" s="8" t="inlineStr">
        <is>
          <t>Walk-in</t>
        </is>
      </c>
      <c r="L80" s="8" t="inlineStr"/>
    </row>
    <row r="81" ht="22" customHeight="1">
      <c r="B81" s="3" t="n">
        <v>45696</v>
      </c>
      <c r="C81" s="4" t="inlineStr">
        <is>
          <t>INV-1033</t>
        </is>
      </c>
      <c r="D81" s="4" t="inlineStr">
        <is>
          <t>Cheese (200g)</t>
        </is>
      </c>
      <c r="E81" s="4" t="inlineStr">
        <is>
          <t>Dairy</t>
        </is>
      </c>
      <c r="F81" s="5" t="n">
        <v>1</v>
      </c>
      <c r="G81" s="6" t="n">
        <v>15</v>
      </c>
      <c r="H81" s="6" t="n">
        <v>15</v>
      </c>
      <c r="I81" s="4" t="inlineStr">
        <is>
          <t>Card</t>
        </is>
      </c>
      <c r="J81" s="4" t="inlineStr">
        <is>
          <t>Fatima</t>
        </is>
      </c>
      <c r="K81" s="4" t="inlineStr">
        <is>
          <t>Walk-in</t>
        </is>
      </c>
      <c r="L81" s="4" t="inlineStr"/>
    </row>
    <row r="82" ht="22" customHeight="1">
      <c r="B82" s="7" t="n">
        <v>45696</v>
      </c>
      <c r="C82" s="8" t="inlineStr">
        <is>
          <t>INV-1034</t>
        </is>
      </c>
      <c r="D82" s="8" t="inlineStr">
        <is>
          <t>Tomatoes (kg)</t>
        </is>
      </c>
      <c r="E82" s="8" t="inlineStr">
        <is>
          <t>Produce</t>
        </is>
      </c>
      <c r="F82" s="9" t="n">
        <v>2</v>
      </c>
      <c r="G82" s="10" t="n">
        <v>6</v>
      </c>
      <c r="H82" s="10" t="n">
        <v>12</v>
      </c>
      <c r="I82" s="8" t="inlineStr">
        <is>
          <t>Cash</t>
        </is>
      </c>
      <c r="J82" s="8" t="inlineStr">
        <is>
          <t>Sara</t>
        </is>
      </c>
      <c r="K82" s="8" t="inlineStr">
        <is>
          <t>Regular Customer</t>
        </is>
      </c>
      <c r="L82" s="8" t="inlineStr"/>
    </row>
    <row r="83" ht="22" customHeight="1">
      <c r="B83" s="3" t="n">
        <v>45696</v>
      </c>
      <c r="C83" s="4" t="inlineStr">
        <is>
          <t>INV-1034</t>
        </is>
      </c>
      <c r="D83" s="4" t="inlineStr">
        <is>
          <t>Water (6pk)</t>
        </is>
      </c>
      <c r="E83" s="4" t="inlineStr">
        <is>
          <t>Beverages</t>
        </is>
      </c>
      <c r="F83" s="5" t="n">
        <v>4</v>
      </c>
      <c r="G83" s="6" t="n">
        <v>2</v>
      </c>
      <c r="H83" s="6" t="n">
        <v>8</v>
      </c>
      <c r="I83" s="4" t="inlineStr">
        <is>
          <t>Card</t>
        </is>
      </c>
      <c r="J83" s="4" t="inlineStr">
        <is>
          <t>Sara</t>
        </is>
      </c>
      <c r="K83" s="4" t="inlineStr">
        <is>
          <t>Regular Customer</t>
        </is>
      </c>
      <c r="L83" s="4" t="inlineStr"/>
    </row>
    <row r="84" ht="22" customHeight="1">
      <c r="B84" s="7" t="n">
        <v>45696</v>
      </c>
      <c r="C84" s="8" t="inlineStr">
        <is>
          <t>INV-1034</t>
        </is>
      </c>
      <c r="D84" s="8" t="inlineStr">
        <is>
          <t>Cereal (375g)</t>
        </is>
      </c>
      <c r="E84" s="8" t="inlineStr">
        <is>
          <t>Snacks</t>
        </is>
      </c>
      <c r="F84" s="9" t="n">
        <v>3</v>
      </c>
      <c r="G84" s="10" t="n">
        <v>12</v>
      </c>
      <c r="H84" s="10" t="n">
        <v>36</v>
      </c>
      <c r="I84" s="8" t="inlineStr">
        <is>
          <t>Card</t>
        </is>
      </c>
      <c r="J84" s="8" t="inlineStr">
        <is>
          <t>Sara</t>
        </is>
      </c>
      <c r="K84" s="8" t="inlineStr">
        <is>
          <t>Online Customer</t>
        </is>
      </c>
      <c r="L84" s="8" t="inlineStr">
        <is>
          <t>Bulk</t>
        </is>
      </c>
    </row>
    <row r="85" ht="22" customHeight="1">
      <c r="B85" s="3" t="n">
        <v>45697</v>
      </c>
      <c r="C85" s="4" t="inlineStr">
        <is>
          <t>INV-1035</t>
        </is>
      </c>
      <c r="D85" s="4" t="inlineStr">
        <is>
          <t>Rice (5kg)</t>
        </is>
      </c>
      <c r="E85" s="4" t="inlineStr">
        <is>
          <t>Grains</t>
        </is>
      </c>
      <c r="F85" s="5" t="n">
        <v>1</v>
      </c>
      <c r="G85" s="6" t="n">
        <v>35</v>
      </c>
      <c r="H85" s="6" t="n">
        <v>35</v>
      </c>
      <c r="I85" s="4" t="inlineStr">
        <is>
          <t>Card</t>
        </is>
      </c>
      <c r="J85" s="4" t="inlineStr">
        <is>
          <t>Khalid</t>
        </is>
      </c>
      <c r="K85" s="4" t="inlineStr">
        <is>
          <t>Walk-in</t>
        </is>
      </c>
      <c r="L85" s="4" t="inlineStr">
        <is>
          <t>Express</t>
        </is>
      </c>
    </row>
    <row r="86" ht="22" customHeight="1">
      <c r="B86" s="7" t="n">
        <v>45697</v>
      </c>
      <c r="C86" s="8" t="inlineStr">
        <is>
          <t>INV-1035</t>
        </is>
      </c>
      <c r="D86" s="8" t="inlineStr">
        <is>
          <t>Pasta (500g)</t>
        </is>
      </c>
      <c r="E86" s="8" t="inlineStr">
        <is>
          <t>Grains</t>
        </is>
      </c>
      <c r="F86" s="9" t="n">
        <v>1</v>
      </c>
      <c r="G86" s="10" t="n">
        <v>4</v>
      </c>
      <c r="H86" s="10" t="n">
        <v>4</v>
      </c>
      <c r="I86" s="8" t="inlineStr">
        <is>
          <t>Cash</t>
        </is>
      </c>
      <c r="J86" s="8" t="inlineStr">
        <is>
          <t>Khalid</t>
        </is>
      </c>
      <c r="K86" s="8" t="inlineStr">
        <is>
          <t>Online Customer</t>
        </is>
      </c>
      <c r="L86" s="8" t="inlineStr">
        <is>
          <t>Bulk</t>
        </is>
      </c>
    </row>
    <row r="87" ht="22" customHeight="1">
      <c r="B87" s="3" t="n">
        <v>45697</v>
      </c>
      <c r="C87" s="4" t="inlineStr">
        <is>
          <t>INV-1035</t>
        </is>
      </c>
      <c r="D87" s="4" t="inlineStr">
        <is>
          <t>Onions (kg)</t>
        </is>
      </c>
      <c r="E87" s="4" t="inlineStr">
        <is>
          <t>Produce</t>
        </is>
      </c>
      <c r="F87" s="5" t="n">
        <v>3</v>
      </c>
      <c r="G87" s="6" t="n">
        <v>3</v>
      </c>
      <c r="H87" s="6" t="n">
        <v>9</v>
      </c>
      <c r="I87" s="4" t="inlineStr">
        <is>
          <t>Card</t>
        </is>
      </c>
      <c r="J87" s="4" t="inlineStr">
        <is>
          <t>Khalid</t>
        </is>
      </c>
      <c r="K87" s="4" t="inlineStr">
        <is>
          <t>Online Customer</t>
        </is>
      </c>
      <c r="L87" s="4" t="inlineStr">
        <is>
          <t>Express</t>
        </is>
      </c>
    </row>
    <row r="88" ht="22" customHeight="1">
      <c r="B88" s="7" t="n">
        <v>45697</v>
      </c>
      <c r="C88" s="8" t="inlineStr">
        <is>
          <t>INV-1036</t>
        </is>
      </c>
      <c r="D88" s="8" t="inlineStr">
        <is>
          <t>Butter (200g)</t>
        </is>
      </c>
      <c r="E88" s="8" t="inlineStr">
        <is>
          <t>Dairy</t>
        </is>
      </c>
      <c r="F88" s="9" t="n">
        <v>2</v>
      </c>
      <c r="G88" s="10" t="n">
        <v>11</v>
      </c>
      <c r="H88" s="10" t="n">
        <v>22</v>
      </c>
      <c r="I88" s="8" t="inlineStr">
        <is>
          <t>Card</t>
        </is>
      </c>
      <c r="J88" s="8" t="inlineStr">
        <is>
          <t>Ahmed</t>
        </is>
      </c>
      <c r="K88" s="8" t="inlineStr">
        <is>
          <t>Regular Customer</t>
        </is>
      </c>
      <c r="L88" s="8" t="inlineStr"/>
    </row>
    <row r="89" ht="22" customHeight="1">
      <c r="B89" s="3" t="n">
        <v>45697</v>
      </c>
      <c r="C89" s="4" t="inlineStr">
        <is>
          <t>INV-1036</t>
        </is>
      </c>
      <c r="D89" s="4" t="inlineStr">
        <is>
          <t>Yogurt (500g)</t>
        </is>
      </c>
      <c r="E89" s="4" t="inlineStr">
        <is>
          <t>Dairy</t>
        </is>
      </c>
      <c r="F89" s="5" t="n">
        <v>1</v>
      </c>
      <c r="G89" s="6" t="n">
        <v>7</v>
      </c>
      <c r="H89" s="6" t="n">
        <v>7</v>
      </c>
      <c r="I89" s="4" t="inlineStr">
        <is>
          <t>Online</t>
        </is>
      </c>
      <c r="J89" s="4" t="inlineStr">
        <is>
          <t>Ahmed</t>
        </is>
      </c>
      <c r="K89" s="4" t="inlineStr">
        <is>
          <t>Online Customer</t>
        </is>
      </c>
      <c r="L89" s="4" t="inlineStr"/>
    </row>
    <row r="90" ht="26" customHeight="1">
      <c r="B90" s="11" t="inlineStr">
        <is>
          <t>TOTAL</t>
        </is>
      </c>
      <c r="C90" s="12" t="n"/>
      <c r="D90" s="12" t="n"/>
      <c r="E90" s="12" t="n"/>
      <c r="F90" s="13">
        <f>SUM(F5:F89)</f>
        <v/>
      </c>
      <c r="G90" s="12" t="n"/>
      <c r="H90" s="14">
        <f>SUM(H5:H89)</f>
        <v/>
      </c>
      <c r="I90" s="12" t="n"/>
      <c r="J90" s="12" t="n"/>
      <c r="K90" s="12" t="n"/>
      <c r="L90" s="12" t="n"/>
    </row>
  </sheetData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15" customHeight="1"/>
    <row r="2" ht="32" customHeight="1">
      <c r="B2" s="1" t="inlineStr">
        <is>
          <t>Daily Summary — February 2025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Cash Total</t>
        </is>
      </c>
      <c r="G4" s="2" t="inlineStr">
        <is>
          <t>Card Total</t>
        </is>
      </c>
      <c r="H4" s="2" t="inlineStr">
        <is>
          <t>Online Total</t>
        </is>
      </c>
      <c r="I4" s="2" t="inlineStr">
        <is>
          <t># Items Sold</t>
        </is>
      </c>
    </row>
    <row r="5" ht="22" customHeight="1">
      <c r="B5" s="3" t="n">
        <v>45689</v>
      </c>
      <c r="C5" s="6">
        <f>SUMPRODUCT(('Sales Entry'!B5:B89=B5)*('Sales Entry'!H5:H89))</f>
        <v/>
      </c>
      <c r="D5" s="5">
        <f>SUMPRODUCT(('Sales Entry'!B5:B89=B5)*1)</f>
        <v/>
      </c>
      <c r="E5" s="6">
        <f>IFERROR(C5/D5,0)</f>
        <v/>
      </c>
      <c r="F5" s="6">
        <f>SUMPRODUCT(('Sales Entry'!B5:B89=B5)*('Sales Entry'!I5:I89="Cash")*('Sales Entry'!H5:H89))</f>
        <v/>
      </c>
      <c r="G5" s="6">
        <f>SUMPRODUCT(('Sales Entry'!B5:B89=B5)*('Sales Entry'!I5:I89="Card")*('Sales Entry'!H5:H89))</f>
        <v/>
      </c>
      <c r="H5" s="6">
        <f>SUMPRODUCT(('Sales Entry'!B5:B89=B5)*('Sales Entry'!I5:I89="Online")*('Sales Entry'!H5:H89))</f>
        <v/>
      </c>
      <c r="I5" s="5">
        <f>SUMPRODUCT(('Sales Entry'!B5:B89=B5)*('Sales Entry'!F5:F89))</f>
        <v/>
      </c>
    </row>
    <row r="6" ht="22" customHeight="1">
      <c r="B6" s="7" t="n">
        <v>45690</v>
      </c>
      <c r="C6" s="10">
        <f>SUMPRODUCT(('Sales Entry'!B5:B89=B6)*('Sales Entry'!H5:H89))</f>
        <v/>
      </c>
      <c r="D6" s="9">
        <f>SUMPRODUCT(('Sales Entry'!B5:B89=B6)*1)</f>
        <v/>
      </c>
      <c r="E6" s="10">
        <f>IFERROR(C6/D6,0)</f>
        <v/>
      </c>
      <c r="F6" s="10">
        <f>SUMPRODUCT(('Sales Entry'!B5:B89=B6)*('Sales Entry'!I5:I89="Cash")*('Sales Entry'!H5:H89))</f>
        <v/>
      </c>
      <c r="G6" s="10">
        <f>SUMPRODUCT(('Sales Entry'!B5:B89=B6)*('Sales Entry'!I5:I89="Card")*('Sales Entry'!H5:H89))</f>
        <v/>
      </c>
      <c r="H6" s="10">
        <f>SUMPRODUCT(('Sales Entry'!B5:B89=B6)*('Sales Entry'!I5:I89="Online")*('Sales Entry'!H5:H89))</f>
        <v/>
      </c>
      <c r="I6" s="9">
        <f>SUMPRODUCT(('Sales Entry'!B5:B89=B6)*('Sales Entry'!F5:F89))</f>
        <v/>
      </c>
    </row>
    <row r="7" ht="22" customHeight="1">
      <c r="B7" s="3" t="n">
        <v>45691</v>
      </c>
      <c r="C7" s="6">
        <f>SUMPRODUCT(('Sales Entry'!B5:B89=B7)*('Sales Entry'!H5:H89))</f>
        <v/>
      </c>
      <c r="D7" s="5">
        <f>SUMPRODUCT(('Sales Entry'!B5:B89=B7)*1)</f>
        <v/>
      </c>
      <c r="E7" s="6">
        <f>IFERROR(C7/D7,0)</f>
        <v/>
      </c>
      <c r="F7" s="6">
        <f>SUMPRODUCT(('Sales Entry'!B5:B89=B7)*('Sales Entry'!I5:I89="Cash")*('Sales Entry'!H5:H89))</f>
        <v/>
      </c>
      <c r="G7" s="6">
        <f>SUMPRODUCT(('Sales Entry'!B5:B89=B7)*('Sales Entry'!I5:I89="Card")*('Sales Entry'!H5:H89))</f>
        <v/>
      </c>
      <c r="H7" s="6">
        <f>SUMPRODUCT(('Sales Entry'!B5:B89=B7)*('Sales Entry'!I5:I89="Online")*('Sales Entry'!H5:H89))</f>
        <v/>
      </c>
      <c r="I7" s="5">
        <f>SUMPRODUCT(('Sales Entry'!B5:B89=B7)*('Sales Entry'!F5:F89))</f>
        <v/>
      </c>
    </row>
    <row r="8" ht="22" customHeight="1">
      <c r="B8" s="7" t="n">
        <v>45692</v>
      </c>
      <c r="C8" s="10">
        <f>SUMPRODUCT(('Sales Entry'!B5:B89=B8)*('Sales Entry'!H5:H89))</f>
        <v/>
      </c>
      <c r="D8" s="9">
        <f>SUMPRODUCT(('Sales Entry'!B5:B89=B8)*1)</f>
        <v/>
      </c>
      <c r="E8" s="10">
        <f>IFERROR(C8/D8,0)</f>
        <v/>
      </c>
      <c r="F8" s="10">
        <f>SUMPRODUCT(('Sales Entry'!B5:B89=B8)*('Sales Entry'!I5:I89="Cash")*('Sales Entry'!H5:H89))</f>
        <v/>
      </c>
      <c r="G8" s="10">
        <f>SUMPRODUCT(('Sales Entry'!B5:B89=B8)*('Sales Entry'!I5:I89="Card")*('Sales Entry'!H5:H89))</f>
        <v/>
      </c>
      <c r="H8" s="10">
        <f>SUMPRODUCT(('Sales Entry'!B5:B89=B8)*('Sales Entry'!I5:I89="Online")*('Sales Entry'!H5:H89))</f>
        <v/>
      </c>
      <c r="I8" s="9">
        <f>SUMPRODUCT(('Sales Entry'!B5:B89=B8)*('Sales Entry'!F5:F89))</f>
        <v/>
      </c>
    </row>
    <row r="9" ht="22" customHeight="1">
      <c r="B9" s="3" t="n">
        <v>45693</v>
      </c>
      <c r="C9" s="6">
        <f>SUMPRODUCT(('Sales Entry'!B5:B89=B9)*('Sales Entry'!H5:H89))</f>
        <v/>
      </c>
      <c r="D9" s="5">
        <f>SUMPRODUCT(('Sales Entry'!B5:B89=B9)*1)</f>
        <v/>
      </c>
      <c r="E9" s="6">
        <f>IFERROR(C9/D9,0)</f>
        <v/>
      </c>
      <c r="F9" s="6">
        <f>SUMPRODUCT(('Sales Entry'!B5:B89=B9)*('Sales Entry'!I5:I89="Cash")*('Sales Entry'!H5:H89))</f>
        <v/>
      </c>
      <c r="G9" s="6">
        <f>SUMPRODUCT(('Sales Entry'!B5:B89=B9)*('Sales Entry'!I5:I89="Card")*('Sales Entry'!H5:H89))</f>
        <v/>
      </c>
      <c r="H9" s="6">
        <f>SUMPRODUCT(('Sales Entry'!B5:B89=B9)*('Sales Entry'!I5:I89="Online")*('Sales Entry'!H5:H89))</f>
        <v/>
      </c>
      <c r="I9" s="5">
        <f>SUMPRODUCT(('Sales Entry'!B5:B89=B9)*('Sales Entry'!F5:F89))</f>
        <v/>
      </c>
    </row>
    <row r="10" ht="22" customHeight="1">
      <c r="B10" s="7" t="n">
        <v>45694</v>
      </c>
      <c r="C10" s="10">
        <f>SUMPRODUCT(('Sales Entry'!B5:B89=B10)*('Sales Entry'!H5:H89))</f>
        <v/>
      </c>
      <c r="D10" s="9">
        <f>SUMPRODUCT(('Sales Entry'!B5:B89=B10)*1)</f>
        <v/>
      </c>
      <c r="E10" s="10">
        <f>IFERROR(C10/D10,0)</f>
        <v/>
      </c>
      <c r="F10" s="10">
        <f>SUMPRODUCT(('Sales Entry'!B5:B89=B10)*('Sales Entry'!I5:I89="Cash")*('Sales Entry'!H5:H89))</f>
        <v/>
      </c>
      <c r="G10" s="10">
        <f>SUMPRODUCT(('Sales Entry'!B5:B89=B10)*('Sales Entry'!I5:I89="Card")*('Sales Entry'!H5:H89))</f>
        <v/>
      </c>
      <c r="H10" s="10">
        <f>SUMPRODUCT(('Sales Entry'!B5:B89=B10)*('Sales Entry'!I5:I89="Online")*('Sales Entry'!H5:H89))</f>
        <v/>
      </c>
      <c r="I10" s="9">
        <f>SUMPRODUCT(('Sales Entry'!B5:B89=B10)*('Sales Entry'!F5:F89))</f>
        <v/>
      </c>
    </row>
    <row r="11" ht="22" customHeight="1">
      <c r="B11" s="3" t="n">
        <v>45695</v>
      </c>
      <c r="C11" s="6">
        <f>SUMPRODUCT(('Sales Entry'!B5:B89=B11)*('Sales Entry'!H5:H89))</f>
        <v/>
      </c>
      <c r="D11" s="5">
        <f>SUMPRODUCT(('Sales Entry'!B5:B89=B11)*1)</f>
        <v/>
      </c>
      <c r="E11" s="6">
        <f>IFERROR(C11/D11,0)</f>
        <v/>
      </c>
      <c r="F11" s="6">
        <f>SUMPRODUCT(('Sales Entry'!B5:B89=B11)*('Sales Entry'!I5:I89="Cash")*('Sales Entry'!H5:H89))</f>
        <v/>
      </c>
      <c r="G11" s="6">
        <f>SUMPRODUCT(('Sales Entry'!B5:B89=B11)*('Sales Entry'!I5:I89="Card")*('Sales Entry'!H5:H89))</f>
        <v/>
      </c>
      <c r="H11" s="6">
        <f>SUMPRODUCT(('Sales Entry'!B5:B89=B11)*('Sales Entry'!I5:I89="Online")*('Sales Entry'!H5:H89))</f>
        <v/>
      </c>
      <c r="I11" s="5">
        <f>SUMPRODUCT(('Sales Entry'!B5:B89=B11)*('Sales Entry'!F5:F89))</f>
        <v/>
      </c>
    </row>
    <row r="12" ht="22" customHeight="1">
      <c r="B12" s="7" t="n">
        <v>45696</v>
      </c>
      <c r="C12" s="10">
        <f>SUMPRODUCT(('Sales Entry'!B5:B89=B12)*('Sales Entry'!H5:H89))</f>
        <v/>
      </c>
      <c r="D12" s="9">
        <f>SUMPRODUCT(('Sales Entry'!B5:B89=B12)*1)</f>
        <v/>
      </c>
      <c r="E12" s="10">
        <f>IFERROR(C12/D12,0)</f>
        <v/>
      </c>
      <c r="F12" s="10">
        <f>SUMPRODUCT(('Sales Entry'!B5:B89=B12)*('Sales Entry'!I5:I89="Cash")*('Sales Entry'!H5:H89))</f>
        <v/>
      </c>
      <c r="G12" s="10">
        <f>SUMPRODUCT(('Sales Entry'!B5:B89=B12)*('Sales Entry'!I5:I89="Card")*('Sales Entry'!H5:H89))</f>
        <v/>
      </c>
      <c r="H12" s="10">
        <f>SUMPRODUCT(('Sales Entry'!B5:B89=B12)*('Sales Entry'!I5:I89="Online")*('Sales Entry'!H5:H89))</f>
        <v/>
      </c>
      <c r="I12" s="9">
        <f>SUMPRODUCT(('Sales Entry'!B5:B89=B12)*('Sales Entry'!F5:F89))</f>
        <v/>
      </c>
    </row>
    <row r="13" ht="22" customHeight="1">
      <c r="B13" s="3" t="n">
        <v>45697</v>
      </c>
      <c r="C13" s="6">
        <f>SUMPRODUCT(('Sales Entry'!B5:B89=B13)*('Sales Entry'!H5:H89))</f>
        <v/>
      </c>
      <c r="D13" s="5">
        <f>SUMPRODUCT(('Sales Entry'!B5:B89=B13)*1)</f>
        <v/>
      </c>
      <c r="E13" s="6">
        <f>IFERROR(C13/D13,0)</f>
        <v/>
      </c>
      <c r="F13" s="6">
        <f>SUMPRODUCT(('Sales Entry'!B5:B89=B13)*('Sales Entry'!I5:I89="Cash")*('Sales Entry'!H5:H89))</f>
        <v/>
      </c>
      <c r="G13" s="6">
        <f>SUMPRODUCT(('Sales Entry'!B5:B89=B13)*('Sales Entry'!I5:I89="Card")*('Sales Entry'!H5:H89))</f>
        <v/>
      </c>
      <c r="H13" s="6">
        <f>SUMPRODUCT(('Sales Entry'!B5:B89=B13)*('Sales Entry'!I5:I89="Online")*('Sales Entry'!H5:H89))</f>
        <v/>
      </c>
      <c r="I13" s="5">
        <f>SUMPRODUCT(('Sales Entry'!B5:B89=B13)*('Sales Entry'!F5:F89))</f>
        <v/>
      </c>
    </row>
    <row r="14" ht="22" customHeight="1">
      <c r="B14" s="7" t="n">
        <v>45698</v>
      </c>
      <c r="C14" s="10">
        <f>SUMPRODUCT(('Sales Entry'!B5:B89=B14)*('Sales Entry'!H5:H89))</f>
        <v/>
      </c>
      <c r="D14" s="9">
        <f>SUMPRODUCT(('Sales Entry'!B5:B89=B14)*1)</f>
        <v/>
      </c>
      <c r="E14" s="10">
        <f>IFERROR(C14/D14,0)</f>
        <v/>
      </c>
      <c r="F14" s="10">
        <f>SUMPRODUCT(('Sales Entry'!B5:B89=B14)*('Sales Entry'!I5:I89="Cash")*('Sales Entry'!H5:H89))</f>
        <v/>
      </c>
      <c r="G14" s="10">
        <f>SUMPRODUCT(('Sales Entry'!B5:B89=B14)*('Sales Entry'!I5:I89="Card")*('Sales Entry'!H5:H89))</f>
        <v/>
      </c>
      <c r="H14" s="10">
        <f>SUMPRODUCT(('Sales Entry'!B5:B89=B14)*('Sales Entry'!I5:I89="Online")*('Sales Entry'!H5:H89))</f>
        <v/>
      </c>
      <c r="I14" s="9">
        <f>SUMPRODUCT(('Sales Entry'!B5:B89=B14)*('Sales Entry'!F5:F89))</f>
        <v/>
      </c>
    </row>
    <row r="15" ht="22" customHeight="1">
      <c r="B15" s="3" t="n">
        <v>45699</v>
      </c>
      <c r="C15" s="6">
        <f>SUMPRODUCT(('Sales Entry'!B5:B89=B15)*('Sales Entry'!H5:H89))</f>
        <v/>
      </c>
      <c r="D15" s="5">
        <f>SUMPRODUCT(('Sales Entry'!B5:B89=B15)*1)</f>
        <v/>
      </c>
      <c r="E15" s="6">
        <f>IFERROR(C15/D15,0)</f>
        <v/>
      </c>
      <c r="F15" s="6">
        <f>SUMPRODUCT(('Sales Entry'!B5:B89=B15)*('Sales Entry'!I5:I89="Cash")*('Sales Entry'!H5:H89))</f>
        <v/>
      </c>
      <c r="G15" s="6">
        <f>SUMPRODUCT(('Sales Entry'!B5:B89=B15)*('Sales Entry'!I5:I89="Card")*('Sales Entry'!H5:H89))</f>
        <v/>
      </c>
      <c r="H15" s="6">
        <f>SUMPRODUCT(('Sales Entry'!B5:B89=B15)*('Sales Entry'!I5:I89="Online")*('Sales Entry'!H5:H89))</f>
        <v/>
      </c>
      <c r="I15" s="5">
        <f>SUMPRODUCT(('Sales Entry'!B5:B89=B15)*('Sales Entry'!F5:F89))</f>
        <v/>
      </c>
    </row>
    <row r="16" ht="22" customHeight="1">
      <c r="B16" s="7" t="n">
        <v>45700</v>
      </c>
      <c r="C16" s="10">
        <f>SUMPRODUCT(('Sales Entry'!B5:B89=B16)*('Sales Entry'!H5:H89))</f>
        <v/>
      </c>
      <c r="D16" s="9">
        <f>SUMPRODUCT(('Sales Entry'!B5:B89=B16)*1)</f>
        <v/>
      </c>
      <c r="E16" s="10">
        <f>IFERROR(C16/D16,0)</f>
        <v/>
      </c>
      <c r="F16" s="10">
        <f>SUMPRODUCT(('Sales Entry'!B5:B89=B16)*('Sales Entry'!I5:I89="Cash")*('Sales Entry'!H5:H89))</f>
        <v/>
      </c>
      <c r="G16" s="10">
        <f>SUMPRODUCT(('Sales Entry'!B5:B89=B16)*('Sales Entry'!I5:I89="Card")*('Sales Entry'!H5:H89))</f>
        <v/>
      </c>
      <c r="H16" s="10">
        <f>SUMPRODUCT(('Sales Entry'!B5:B89=B16)*('Sales Entry'!I5:I89="Online")*('Sales Entry'!H5:H89))</f>
        <v/>
      </c>
      <c r="I16" s="9">
        <f>SUMPRODUCT(('Sales Entry'!B5:B89=B16)*('Sales Entry'!F5:F89))</f>
        <v/>
      </c>
    </row>
    <row r="17" ht="22" customHeight="1">
      <c r="B17" s="3" t="n">
        <v>45701</v>
      </c>
      <c r="C17" s="6">
        <f>SUMPRODUCT(('Sales Entry'!B5:B89=B17)*('Sales Entry'!H5:H89))</f>
        <v/>
      </c>
      <c r="D17" s="5">
        <f>SUMPRODUCT(('Sales Entry'!B5:B89=B17)*1)</f>
        <v/>
      </c>
      <c r="E17" s="6">
        <f>IFERROR(C17/D17,0)</f>
        <v/>
      </c>
      <c r="F17" s="6">
        <f>SUMPRODUCT(('Sales Entry'!B5:B89=B17)*('Sales Entry'!I5:I89="Cash")*('Sales Entry'!H5:H89))</f>
        <v/>
      </c>
      <c r="G17" s="6">
        <f>SUMPRODUCT(('Sales Entry'!B5:B89=B17)*('Sales Entry'!I5:I89="Card")*('Sales Entry'!H5:H89))</f>
        <v/>
      </c>
      <c r="H17" s="6">
        <f>SUMPRODUCT(('Sales Entry'!B5:B89=B17)*('Sales Entry'!I5:I89="Online")*('Sales Entry'!H5:H89))</f>
        <v/>
      </c>
      <c r="I17" s="5">
        <f>SUMPRODUCT(('Sales Entry'!B5:B89=B17)*('Sales Entry'!F5:F89))</f>
        <v/>
      </c>
    </row>
    <row r="18" ht="22" customHeight="1">
      <c r="B18" s="7" t="n">
        <v>45702</v>
      </c>
      <c r="C18" s="10">
        <f>SUMPRODUCT(('Sales Entry'!B5:B89=B18)*('Sales Entry'!H5:H89))</f>
        <v/>
      </c>
      <c r="D18" s="9">
        <f>SUMPRODUCT(('Sales Entry'!B5:B89=B18)*1)</f>
        <v/>
      </c>
      <c r="E18" s="10">
        <f>IFERROR(C18/D18,0)</f>
        <v/>
      </c>
      <c r="F18" s="10">
        <f>SUMPRODUCT(('Sales Entry'!B5:B89=B18)*('Sales Entry'!I5:I89="Cash")*('Sales Entry'!H5:H89))</f>
        <v/>
      </c>
      <c r="G18" s="10">
        <f>SUMPRODUCT(('Sales Entry'!B5:B89=B18)*('Sales Entry'!I5:I89="Card")*('Sales Entry'!H5:H89))</f>
        <v/>
      </c>
      <c r="H18" s="10">
        <f>SUMPRODUCT(('Sales Entry'!B5:B89=B18)*('Sales Entry'!I5:I89="Online")*('Sales Entry'!H5:H89))</f>
        <v/>
      </c>
      <c r="I18" s="9">
        <f>SUMPRODUCT(('Sales Entry'!B5:B89=B18)*('Sales Entry'!F5:F89))</f>
        <v/>
      </c>
    </row>
    <row r="19" ht="22" customHeight="1">
      <c r="B19" s="3" t="n">
        <v>45703</v>
      </c>
      <c r="C19" s="6">
        <f>SUMPRODUCT(('Sales Entry'!B5:B89=B19)*('Sales Entry'!H5:H89))</f>
        <v/>
      </c>
      <c r="D19" s="5">
        <f>SUMPRODUCT(('Sales Entry'!B5:B89=B19)*1)</f>
        <v/>
      </c>
      <c r="E19" s="6">
        <f>IFERROR(C19/D19,0)</f>
        <v/>
      </c>
      <c r="F19" s="6">
        <f>SUMPRODUCT(('Sales Entry'!B5:B89=B19)*('Sales Entry'!I5:I89="Cash")*('Sales Entry'!H5:H89))</f>
        <v/>
      </c>
      <c r="G19" s="6">
        <f>SUMPRODUCT(('Sales Entry'!B5:B89=B19)*('Sales Entry'!I5:I89="Card")*('Sales Entry'!H5:H89))</f>
        <v/>
      </c>
      <c r="H19" s="6">
        <f>SUMPRODUCT(('Sales Entry'!B5:B89=B19)*('Sales Entry'!I5:I89="Online")*('Sales Entry'!H5:H89))</f>
        <v/>
      </c>
      <c r="I19" s="5">
        <f>SUMPRODUCT(('Sales Entry'!B5:B89=B19)*('Sales Entry'!F5:F89))</f>
        <v/>
      </c>
    </row>
    <row r="20" ht="22" customHeight="1">
      <c r="B20" s="7" t="n">
        <v>45704</v>
      </c>
      <c r="C20" s="10">
        <f>SUMPRODUCT(('Sales Entry'!B5:B89=B20)*('Sales Entry'!H5:H89))</f>
        <v/>
      </c>
      <c r="D20" s="9">
        <f>SUMPRODUCT(('Sales Entry'!B5:B89=B20)*1)</f>
        <v/>
      </c>
      <c r="E20" s="10">
        <f>IFERROR(C20/D20,0)</f>
        <v/>
      </c>
      <c r="F20" s="10">
        <f>SUMPRODUCT(('Sales Entry'!B5:B89=B20)*('Sales Entry'!I5:I89="Cash")*('Sales Entry'!H5:H89))</f>
        <v/>
      </c>
      <c r="G20" s="10">
        <f>SUMPRODUCT(('Sales Entry'!B5:B89=B20)*('Sales Entry'!I5:I89="Card")*('Sales Entry'!H5:H89))</f>
        <v/>
      </c>
      <c r="H20" s="10">
        <f>SUMPRODUCT(('Sales Entry'!B5:B89=B20)*('Sales Entry'!I5:I89="Online")*('Sales Entry'!H5:H89))</f>
        <v/>
      </c>
      <c r="I20" s="9">
        <f>SUMPRODUCT(('Sales Entry'!B5:B89=B20)*('Sales Entry'!F5:F89))</f>
        <v/>
      </c>
    </row>
    <row r="21" ht="22" customHeight="1">
      <c r="B21" s="3" t="n">
        <v>45705</v>
      </c>
      <c r="C21" s="6">
        <f>SUMPRODUCT(('Sales Entry'!B5:B89=B21)*('Sales Entry'!H5:H89))</f>
        <v/>
      </c>
      <c r="D21" s="5">
        <f>SUMPRODUCT(('Sales Entry'!B5:B89=B21)*1)</f>
        <v/>
      </c>
      <c r="E21" s="6">
        <f>IFERROR(C21/D21,0)</f>
        <v/>
      </c>
      <c r="F21" s="6">
        <f>SUMPRODUCT(('Sales Entry'!B5:B89=B21)*('Sales Entry'!I5:I89="Cash")*('Sales Entry'!H5:H89))</f>
        <v/>
      </c>
      <c r="G21" s="6">
        <f>SUMPRODUCT(('Sales Entry'!B5:B89=B21)*('Sales Entry'!I5:I89="Card")*('Sales Entry'!H5:H89))</f>
        <v/>
      </c>
      <c r="H21" s="6">
        <f>SUMPRODUCT(('Sales Entry'!B5:B89=B21)*('Sales Entry'!I5:I89="Online")*('Sales Entry'!H5:H89))</f>
        <v/>
      </c>
      <c r="I21" s="5">
        <f>SUMPRODUCT(('Sales Entry'!B5:B89=B21)*('Sales Entry'!F5:F89))</f>
        <v/>
      </c>
    </row>
    <row r="22" ht="22" customHeight="1">
      <c r="B22" s="7" t="n">
        <v>45706</v>
      </c>
      <c r="C22" s="10">
        <f>SUMPRODUCT(('Sales Entry'!B5:B89=B22)*('Sales Entry'!H5:H89))</f>
        <v/>
      </c>
      <c r="D22" s="9">
        <f>SUMPRODUCT(('Sales Entry'!B5:B89=B22)*1)</f>
        <v/>
      </c>
      <c r="E22" s="10">
        <f>IFERROR(C22/D22,0)</f>
        <v/>
      </c>
      <c r="F22" s="10">
        <f>SUMPRODUCT(('Sales Entry'!B5:B89=B22)*('Sales Entry'!I5:I89="Cash")*('Sales Entry'!H5:H89))</f>
        <v/>
      </c>
      <c r="G22" s="10">
        <f>SUMPRODUCT(('Sales Entry'!B5:B89=B22)*('Sales Entry'!I5:I89="Card")*('Sales Entry'!H5:H89))</f>
        <v/>
      </c>
      <c r="H22" s="10">
        <f>SUMPRODUCT(('Sales Entry'!B5:B89=B22)*('Sales Entry'!I5:I89="Online")*('Sales Entry'!H5:H89))</f>
        <v/>
      </c>
      <c r="I22" s="9">
        <f>SUMPRODUCT(('Sales Entry'!B5:B89=B22)*('Sales Entry'!F5:F89))</f>
        <v/>
      </c>
    </row>
    <row r="23" ht="22" customHeight="1">
      <c r="B23" s="3" t="n">
        <v>45707</v>
      </c>
      <c r="C23" s="6">
        <f>SUMPRODUCT(('Sales Entry'!B5:B89=B23)*('Sales Entry'!H5:H89))</f>
        <v/>
      </c>
      <c r="D23" s="5">
        <f>SUMPRODUCT(('Sales Entry'!B5:B89=B23)*1)</f>
        <v/>
      </c>
      <c r="E23" s="6">
        <f>IFERROR(C23/D23,0)</f>
        <v/>
      </c>
      <c r="F23" s="6">
        <f>SUMPRODUCT(('Sales Entry'!B5:B89=B23)*('Sales Entry'!I5:I89="Cash")*('Sales Entry'!H5:H89))</f>
        <v/>
      </c>
      <c r="G23" s="6">
        <f>SUMPRODUCT(('Sales Entry'!B5:B89=B23)*('Sales Entry'!I5:I89="Card")*('Sales Entry'!H5:H89))</f>
        <v/>
      </c>
      <c r="H23" s="6">
        <f>SUMPRODUCT(('Sales Entry'!B5:B89=B23)*('Sales Entry'!I5:I89="Online")*('Sales Entry'!H5:H89))</f>
        <v/>
      </c>
      <c r="I23" s="5">
        <f>SUMPRODUCT(('Sales Entry'!B5:B89=B23)*('Sales Entry'!F5:F89))</f>
        <v/>
      </c>
    </row>
    <row r="24" ht="22" customHeight="1">
      <c r="B24" s="7" t="n">
        <v>45708</v>
      </c>
      <c r="C24" s="10">
        <f>SUMPRODUCT(('Sales Entry'!B5:B89=B24)*('Sales Entry'!H5:H89))</f>
        <v/>
      </c>
      <c r="D24" s="9">
        <f>SUMPRODUCT(('Sales Entry'!B5:B89=B24)*1)</f>
        <v/>
      </c>
      <c r="E24" s="10">
        <f>IFERROR(C24/D24,0)</f>
        <v/>
      </c>
      <c r="F24" s="10">
        <f>SUMPRODUCT(('Sales Entry'!B5:B89=B24)*('Sales Entry'!I5:I89="Cash")*('Sales Entry'!H5:H89))</f>
        <v/>
      </c>
      <c r="G24" s="10">
        <f>SUMPRODUCT(('Sales Entry'!B5:B89=B24)*('Sales Entry'!I5:I89="Card")*('Sales Entry'!H5:H89))</f>
        <v/>
      </c>
      <c r="H24" s="10">
        <f>SUMPRODUCT(('Sales Entry'!B5:B89=B24)*('Sales Entry'!I5:I89="Online")*('Sales Entry'!H5:H89))</f>
        <v/>
      </c>
      <c r="I24" s="9">
        <f>SUMPRODUCT(('Sales Entry'!B5:B89=B24)*('Sales Entry'!F5:F89))</f>
        <v/>
      </c>
    </row>
    <row r="25" ht="22" customHeight="1">
      <c r="B25" s="3" t="n">
        <v>45709</v>
      </c>
      <c r="C25" s="6">
        <f>SUMPRODUCT(('Sales Entry'!B5:B89=B25)*('Sales Entry'!H5:H89))</f>
        <v/>
      </c>
      <c r="D25" s="5">
        <f>SUMPRODUCT(('Sales Entry'!B5:B89=B25)*1)</f>
        <v/>
      </c>
      <c r="E25" s="6">
        <f>IFERROR(C25/D25,0)</f>
        <v/>
      </c>
      <c r="F25" s="6">
        <f>SUMPRODUCT(('Sales Entry'!B5:B89=B25)*('Sales Entry'!I5:I89="Cash")*('Sales Entry'!H5:H89))</f>
        <v/>
      </c>
      <c r="G25" s="6">
        <f>SUMPRODUCT(('Sales Entry'!B5:B89=B25)*('Sales Entry'!I5:I89="Card")*('Sales Entry'!H5:H89))</f>
        <v/>
      </c>
      <c r="H25" s="6">
        <f>SUMPRODUCT(('Sales Entry'!B5:B89=B25)*('Sales Entry'!I5:I89="Online")*('Sales Entry'!H5:H89))</f>
        <v/>
      </c>
      <c r="I25" s="5">
        <f>SUMPRODUCT(('Sales Entry'!B5:B89=B25)*('Sales Entry'!F5:F89))</f>
        <v/>
      </c>
    </row>
    <row r="26" ht="22" customHeight="1">
      <c r="B26" s="7" t="n">
        <v>45710</v>
      </c>
      <c r="C26" s="10">
        <f>SUMPRODUCT(('Sales Entry'!B5:B89=B26)*('Sales Entry'!H5:H89))</f>
        <v/>
      </c>
      <c r="D26" s="9">
        <f>SUMPRODUCT(('Sales Entry'!B5:B89=B26)*1)</f>
        <v/>
      </c>
      <c r="E26" s="10">
        <f>IFERROR(C26/D26,0)</f>
        <v/>
      </c>
      <c r="F26" s="10">
        <f>SUMPRODUCT(('Sales Entry'!B5:B89=B26)*('Sales Entry'!I5:I89="Cash")*('Sales Entry'!H5:H89))</f>
        <v/>
      </c>
      <c r="G26" s="10">
        <f>SUMPRODUCT(('Sales Entry'!B5:B89=B26)*('Sales Entry'!I5:I89="Card")*('Sales Entry'!H5:H89))</f>
        <v/>
      </c>
      <c r="H26" s="10">
        <f>SUMPRODUCT(('Sales Entry'!B5:B89=B26)*('Sales Entry'!I5:I89="Online")*('Sales Entry'!H5:H89))</f>
        <v/>
      </c>
      <c r="I26" s="9">
        <f>SUMPRODUCT(('Sales Entry'!B5:B89=B26)*('Sales Entry'!F5:F89))</f>
        <v/>
      </c>
    </row>
    <row r="27" ht="22" customHeight="1">
      <c r="B27" s="3" t="n">
        <v>45711</v>
      </c>
      <c r="C27" s="6">
        <f>SUMPRODUCT(('Sales Entry'!B5:B89=B27)*('Sales Entry'!H5:H89))</f>
        <v/>
      </c>
      <c r="D27" s="5">
        <f>SUMPRODUCT(('Sales Entry'!B5:B89=B27)*1)</f>
        <v/>
      </c>
      <c r="E27" s="6">
        <f>IFERROR(C27/D27,0)</f>
        <v/>
      </c>
      <c r="F27" s="6">
        <f>SUMPRODUCT(('Sales Entry'!B5:B89=B27)*('Sales Entry'!I5:I89="Cash")*('Sales Entry'!H5:H89))</f>
        <v/>
      </c>
      <c r="G27" s="6">
        <f>SUMPRODUCT(('Sales Entry'!B5:B89=B27)*('Sales Entry'!I5:I89="Card")*('Sales Entry'!H5:H89))</f>
        <v/>
      </c>
      <c r="H27" s="6">
        <f>SUMPRODUCT(('Sales Entry'!B5:B89=B27)*('Sales Entry'!I5:I89="Online")*('Sales Entry'!H5:H89))</f>
        <v/>
      </c>
      <c r="I27" s="5">
        <f>SUMPRODUCT(('Sales Entry'!B5:B89=B27)*('Sales Entry'!F5:F89))</f>
        <v/>
      </c>
    </row>
    <row r="28" ht="22" customHeight="1">
      <c r="B28" s="7" t="n">
        <v>45712</v>
      </c>
      <c r="C28" s="10">
        <f>SUMPRODUCT(('Sales Entry'!B5:B89=B28)*('Sales Entry'!H5:H89))</f>
        <v/>
      </c>
      <c r="D28" s="9">
        <f>SUMPRODUCT(('Sales Entry'!B5:B89=B28)*1)</f>
        <v/>
      </c>
      <c r="E28" s="10">
        <f>IFERROR(C28/D28,0)</f>
        <v/>
      </c>
      <c r="F28" s="10">
        <f>SUMPRODUCT(('Sales Entry'!B5:B89=B28)*('Sales Entry'!I5:I89="Cash")*('Sales Entry'!H5:H89))</f>
        <v/>
      </c>
      <c r="G28" s="10">
        <f>SUMPRODUCT(('Sales Entry'!B5:B89=B28)*('Sales Entry'!I5:I89="Card")*('Sales Entry'!H5:H89))</f>
        <v/>
      </c>
      <c r="H28" s="10">
        <f>SUMPRODUCT(('Sales Entry'!B5:B89=B28)*('Sales Entry'!I5:I89="Online")*('Sales Entry'!H5:H89))</f>
        <v/>
      </c>
      <c r="I28" s="9">
        <f>SUMPRODUCT(('Sales Entry'!B5:B89=B28)*('Sales Entry'!F5:F89))</f>
        <v/>
      </c>
    </row>
    <row r="29" ht="22" customHeight="1">
      <c r="B29" s="3" t="n">
        <v>45713</v>
      </c>
      <c r="C29" s="6">
        <f>SUMPRODUCT(('Sales Entry'!B5:B89=B29)*('Sales Entry'!H5:H89))</f>
        <v/>
      </c>
      <c r="D29" s="5">
        <f>SUMPRODUCT(('Sales Entry'!B5:B89=B29)*1)</f>
        <v/>
      </c>
      <c r="E29" s="6">
        <f>IFERROR(C29/D29,0)</f>
        <v/>
      </c>
      <c r="F29" s="6">
        <f>SUMPRODUCT(('Sales Entry'!B5:B89=B29)*('Sales Entry'!I5:I89="Cash")*('Sales Entry'!H5:H89))</f>
        <v/>
      </c>
      <c r="G29" s="6">
        <f>SUMPRODUCT(('Sales Entry'!B5:B89=B29)*('Sales Entry'!I5:I89="Card")*('Sales Entry'!H5:H89))</f>
        <v/>
      </c>
      <c r="H29" s="6">
        <f>SUMPRODUCT(('Sales Entry'!B5:B89=B29)*('Sales Entry'!I5:I89="Online")*('Sales Entry'!H5:H89))</f>
        <v/>
      </c>
      <c r="I29" s="5">
        <f>SUMPRODUCT(('Sales Entry'!B5:B89=B29)*('Sales Entry'!F5:F89))</f>
        <v/>
      </c>
    </row>
    <row r="30" ht="22" customHeight="1">
      <c r="B30" s="7" t="n">
        <v>45714</v>
      </c>
      <c r="C30" s="10">
        <f>SUMPRODUCT(('Sales Entry'!B5:B89=B30)*('Sales Entry'!H5:H89))</f>
        <v/>
      </c>
      <c r="D30" s="9">
        <f>SUMPRODUCT(('Sales Entry'!B5:B89=B30)*1)</f>
        <v/>
      </c>
      <c r="E30" s="10">
        <f>IFERROR(C30/D30,0)</f>
        <v/>
      </c>
      <c r="F30" s="10">
        <f>SUMPRODUCT(('Sales Entry'!B5:B89=B30)*('Sales Entry'!I5:I89="Cash")*('Sales Entry'!H5:H89))</f>
        <v/>
      </c>
      <c r="G30" s="10">
        <f>SUMPRODUCT(('Sales Entry'!B5:B89=B30)*('Sales Entry'!I5:I89="Card")*('Sales Entry'!H5:H89))</f>
        <v/>
      </c>
      <c r="H30" s="10">
        <f>SUMPRODUCT(('Sales Entry'!B5:B89=B30)*('Sales Entry'!I5:I89="Online")*('Sales Entry'!H5:H89))</f>
        <v/>
      </c>
      <c r="I30" s="9">
        <f>SUMPRODUCT(('Sales Entry'!B5:B89=B30)*('Sales Entry'!F5:F89))</f>
        <v/>
      </c>
    </row>
    <row r="31" ht="22" customHeight="1">
      <c r="B31" s="3" t="n">
        <v>45715</v>
      </c>
      <c r="C31" s="6">
        <f>SUMPRODUCT(('Sales Entry'!B5:B89=B31)*('Sales Entry'!H5:H89))</f>
        <v/>
      </c>
      <c r="D31" s="5">
        <f>SUMPRODUCT(('Sales Entry'!B5:B89=B31)*1)</f>
        <v/>
      </c>
      <c r="E31" s="6">
        <f>IFERROR(C31/D31,0)</f>
        <v/>
      </c>
      <c r="F31" s="6">
        <f>SUMPRODUCT(('Sales Entry'!B5:B89=B31)*('Sales Entry'!I5:I89="Cash")*('Sales Entry'!H5:H89))</f>
        <v/>
      </c>
      <c r="G31" s="6">
        <f>SUMPRODUCT(('Sales Entry'!B5:B89=B31)*('Sales Entry'!I5:I89="Card")*('Sales Entry'!H5:H89))</f>
        <v/>
      </c>
      <c r="H31" s="6">
        <f>SUMPRODUCT(('Sales Entry'!B5:B89=B31)*('Sales Entry'!I5:I89="Online")*('Sales Entry'!H5:H89))</f>
        <v/>
      </c>
      <c r="I31" s="5">
        <f>SUMPRODUCT(('Sales Entry'!B5:B89=B31)*('Sales Entry'!F5:F89))</f>
        <v/>
      </c>
    </row>
    <row r="32" ht="22" customHeight="1">
      <c r="B32" s="7" t="n">
        <v>45716</v>
      </c>
      <c r="C32" s="10">
        <f>SUMPRODUCT(('Sales Entry'!B5:B89=B32)*('Sales Entry'!H5:H89))</f>
        <v/>
      </c>
      <c r="D32" s="9">
        <f>SUMPRODUCT(('Sales Entry'!B5:B89=B32)*1)</f>
        <v/>
      </c>
      <c r="E32" s="10">
        <f>IFERROR(C32/D32,0)</f>
        <v/>
      </c>
      <c r="F32" s="10">
        <f>SUMPRODUCT(('Sales Entry'!B5:B89=B32)*('Sales Entry'!I5:I89="Cash")*('Sales Entry'!H5:H89))</f>
        <v/>
      </c>
      <c r="G32" s="10">
        <f>SUMPRODUCT(('Sales Entry'!B5:B89=B32)*('Sales Entry'!I5:I89="Card")*('Sales Entry'!H5:H89))</f>
        <v/>
      </c>
      <c r="H32" s="10">
        <f>SUMPRODUCT(('Sales Entry'!B5:B89=B32)*('Sales Entry'!I5:I89="Online")*('Sales Entry'!H5:H89))</f>
        <v/>
      </c>
      <c r="I32" s="9">
        <f>SUMPRODUCT(('Sales Entry'!B5:B89=B32)*('Sales Entry'!F5:F89))</f>
        <v/>
      </c>
    </row>
    <row r="33" ht="26" customHeight="1">
      <c r="B33" s="11" t="inlineStr">
        <is>
          <t>TOTAL</t>
        </is>
      </c>
      <c r="C33" s="14">
        <f>SUM(C5:C32)</f>
        <v/>
      </c>
      <c r="D33" s="13">
        <f>SUM(D5:D32)</f>
        <v/>
      </c>
      <c r="E33" s="14">
        <f>IFERROR(C33/D33,0)</f>
        <v/>
      </c>
      <c r="F33" s="14">
        <f>SUM(F5:F32)</f>
        <v/>
      </c>
      <c r="G33" s="14">
        <f>SUM(G5:G32)</f>
        <v/>
      </c>
      <c r="H33" s="14">
        <f>SUM(H5:H32)</f>
        <v/>
      </c>
      <c r="I33" s="13">
        <f>SUM(I5:I32)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15" customHeight="1"/>
    <row r="2" ht="32" customHeight="1">
      <c r="B2" s="1" t="inlineStr">
        <is>
          <t>Weekly Summary — February 2025</t>
        </is>
      </c>
    </row>
    <row r="3" ht="8" customHeight="1"/>
    <row r="4" ht="28" customHeight="1">
      <c r="B4" s="2" t="inlineStr">
        <is>
          <t>Week #</t>
        </is>
      </c>
      <c r="C4" s="2" t="inlineStr">
        <is>
          <t>Week Start</t>
        </is>
      </c>
      <c r="D4" s="2" t="inlineStr">
        <is>
          <t>Week End</t>
        </is>
      </c>
      <c r="E4" s="2" t="inlineStr">
        <is>
          <t>Total Sales</t>
        </is>
      </c>
      <c r="F4" s="2" t="inlineStr">
        <is>
          <t># Transactions</t>
        </is>
      </c>
      <c r="G4" s="2" t="inlineStr">
        <is>
          <t>Avg Transaction</t>
        </is>
      </c>
      <c r="H4" s="2" t="inlineStr">
        <is>
          <t>Top Staff</t>
        </is>
      </c>
    </row>
    <row r="5" ht="22" customHeight="1">
      <c r="B5" s="15" t="n">
        <v>1</v>
      </c>
      <c r="C5" s="3" t="n">
        <v>45689</v>
      </c>
      <c r="D5" s="3" t="n">
        <v>45695</v>
      </c>
      <c r="E5" s="6">
        <f>SUMPRODUCT(('Daily Summary'!B5:B32&gt;=C5)*('Daily Summary'!B5:B32&lt;=D5)*('Daily Summary'!C5:C32))</f>
        <v/>
      </c>
      <c r="F5" s="5">
        <f>SUMPRODUCT(('Daily Summary'!B5:B32&gt;=C5)*('Daily Summary'!B5:B32&lt;=D5)*('Daily Summary'!D5:D32))</f>
        <v/>
      </c>
      <c r="G5" s="6">
        <f>IFERROR(E5/F5,0)</f>
        <v/>
      </c>
      <c r="H5" s="16">
        <f>IF(AND(SUMPRODUCT(('Sales Entry'!B5:B89&gt;=C5)*('Sales Entry'!B5:B89&lt;=D5)*('Sales Entry'!J5:J89="Ahmed")*('Sales Entry'!H5:H89))&gt;=SUMPRODUCT(('Sales Entry'!B5:B89&gt;=C5)*('Sales Entry'!B5:B89&lt;=D5)*('Sales Entry'!J5:J89="Fatima")*('Sales Entry'!H5:H89)),SUMPRODUCT(('Sales Entry'!B5:B89&gt;=C5)*('Sales Entry'!B5:B89&lt;=D5)*('Sales Entry'!J5:J89="Ahmed")*('Sales Entry'!H5:H89))&gt;=SUMPRODUCT(('Sales Entry'!B5:B89&gt;=C5)*('Sales Entry'!B5:B89&lt;=D5)*('Sales Entry'!J5:J89="Omar")*('Sales Entry'!H5:H89)),SUMPRODUCT(('Sales Entry'!B5:B89&gt;=C5)*('Sales Entry'!B5:B89&lt;=D5)*('Sales Entry'!J5:J89="Ahmed")*('Sales Entry'!H5:H89))&gt;=SUMPRODUCT(('Sales Entry'!B5:B89&gt;=C5)*('Sales Entry'!B5:B89&lt;=D5)*('Sales Entry'!J5:J89="Sara")*('Sales Entry'!H5:H89)),SUMPRODUCT(('Sales Entry'!B5:B89&gt;=C5)*('Sales Entry'!B5:B89&lt;=D5)*('Sales Entry'!J5:J89="Ahmed")*('Sales Entry'!H5:H89))&gt;=SUMPRODUCT(('Sales Entry'!B5:B89&gt;=C5)*('Sales Entry'!B5:B89&lt;=D5)*('Sales Entry'!J5:J89="Khalid")*('Sales Entry'!H5:H89))),"Ahmed",IF(AND(SUMPRODUCT(('Sales Entry'!B5:B89&gt;=C5)*('Sales Entry'!B5:B89&lt;=D5)*('Sales Entry'!J5:J89="Fatima")*('Sales Entry'!H5:H89))&gt;=SUMPRODUCT(('Sales Entry'!B5:B89&gt;=C5)*('Sales Entry'!B5:B89&lt;=D5)*('Sales Entry'!J5:J89="Ahmed")*('Sales Entry'!H5:H89)),SUMPRODUCT(('Sales Entry'!B5:B89&gt;=C5)*('Sales Entry'!B5:B89&lt;=D5)*('Sales Entry'!J5:J89="Fatima")*('Sales Entry'!H5:H89))&gt;=SUMPRODUCT(('Sales Entry'!B5:B89&gt;=C5)*('Sales Entry'!B5:B89&lt;=D5)*('Sales Entry'!J5:J89="Omar")*('Sales Entry'!H5:H89)),SUMPRODUCT(('Sales Entry'!B5:B89&gt;=C5)*('Sales Entry'!B5:B89&lt;=D5)*('Sales Entry'!J5:J89="Fatima")*('Sales Entry'!H5:H89))&gt;=SUMPRODUCT(('Sales Entry'!B5:B89&gt;=C5)*('Sales Entry'!B5:B89&lt;=D5)*('Sales Entry'!J5:J89="Sara")*('Sales Entry'!H5:H89)),SUMPRODUCT(('Sales Entry'!B5:B89&gt;=C5)*('Sales Entry'!B5:B89&lt;=D5)*('Sales Entry'!J5:J89="Fatima")*('Sales Entry'!H5:H89))&gt;=SUMPRODUCT(('Sales Entry'!B5:B89&gt;=C5)*('Sales Entry'!B5:B89&lt;=D5)*('Sales Entry'!J5:J89="Khalid")*('Sales Entry'!H5:H89))),"Fatima",IF(AND(SUMPRODUCT(('Sales Entry'!B5:B89&gt;=C5)*('Sales Entry'!B5:B89&lt;=D5)*('Sales Entry'!J5:J89="Omar")*('Sales Entry'!H5:H89))&gt;=SUMPRODUCT(('Sales Entry'!B5:B89&gt;=C5)*('Sales Entry'!B5:B89&lt;=D5)*('Sales Entry'!J5:J89="Ahmed")*('Sales Entry'!H5:H89)),SUMPRODUCT(('Sales Entry'!B5:B89&gt;=C5)*('Sales Entry'!B5:B89&lt;=D5)*('Sales Entry'!J5:J89="Omar")*('Sales Entry'!H5:H89))&gt;=SUMPRODUCT(('Sales Entry'!B5:B89&gt;=C5)*('Sales Entry'!B5:B89&lt;=D5)*('Sales Entry'!J5:J89="Fatima")*('Sales Entry'!H5:H89)),SUMPRODUCT(('Sales Entry'!B5:B89&gt;=C5)*('Sales Entry'!B5:B89&lt;=D5)*('Sales Entry'!J5:J89="Omar")*('Sales Entry'!H5:H89))&gt;=SUMPRODUCT(('Sales Entry'!B5:B89&gt;=C5)*('Sales Entry'!B5:B89&lt;=D5)*('Sales Entry'!J5:J89="Sara")*('Sales Entry'!H5:H89)),SUMPRODUCT(('Sales Entry'!B5:B89&gt;=C5)*('Sales Entry'!B5:B89&lt;=D5)*('Sales Entry'!J5:J89="Omar")*('Sales Entry'!H5:H89))&gt;=SUMPRODUCT(('Sales Entry'!B5:B89&gt;=C5)*('Sales Entry'!B5:B89&lt;=D5)*('Sales Entry'!J5:J89="Khalid")*('Sales Entry'!H5:H89))),"Omar",IF(AND(SUMPRODUCT(('Sales Entry'!B5:B89&gt;=C5)*('Sales Entry'!B5:B89&lt;=D5)*('Sales Entry'!J5:J89="Sara")*('Sales Entry'!H5:H89))&gt;=SUMPRODUCT(('Sales Entry'!B5:B89&gt;=C5)*('Sales Entry'!B5:B89&lt;=D5)*('Sales Entry'!J5:J89="Ahmed")*('Sales Entry'!H5:H89)),SUMPRODUCT(('Sales Entry'!B5:B89&gt;=C5)*('Sales Entry'!B5:B89&lt;=D5)*('Sales Entry'!J5:J89="Sara")*('Sales Entry'!H5:H89))&gt;=SUMPRODUCT(('Sales Entry'!B5:B89&gt;=C5)*('Sales Entry'!B5:B89&lt;=D5)*('Sales Entry'!J5:J89="Fatima")*('Sales Entry'!H5:H89)),SUMPRODUCT(('Sales Entry'!B5:B89&gt;=C5)*('Sales Entry'!B5:B89&lt;=D5)*('Sales Entry'!J5:J89="Sara")*('Sales Entry'!H5:H89))&gt;=SUMPRODUCT(('Sales Entry'!B5:B89&gt;=C5)*('Sales Entry'!B5:B89&lt;=D5)*('Sales Entry'!J5:J89="Omar")*('Sales Entry'!H5:H89)),SUMPRODUCT(('Sales Entry'!B5:B89&gt;=C5)*('Sales Entry'!B5:B89&lt;=D5)*('Sales Entry'!J5:J89="Sara")*('Sales Entry'!H5:H89))&gt;=SUMPRODUCT(('Sales Entry'!B5:B89&gt;=C5)*('Sales Entry'!B5:B89&lt;=D5)*('Sales Entry'!J5:J89="Khalid")*('Sales Entry'!H5:H89))),"Sara","Khalid"))))</f>
        <v/>
      </c>
    </row>
    <row r="6" ht="22" customHeight="1">
      <c r="B6" s="17" t="n">
        <v>2</v>
      </c>
      <c r="C6" s="7" t="n">
        <v>45696</v>
      </c>
      <c r="D6" s="7" t="n">
        <v>45702</v>
      </c>
      <c r="E6" s="10">
        <f>SUMPRODUCT(('Daily Summary'!B5:B32&gt;=C6)*('Daily Summary'!B5:B32&lt;=D6)*('Daily Summary'!C5:C32))</f>
        <v/>
      </c>
      <c r="F6" s="9">
        <f>SUMPRODUCT(('Daily Summary'!B5:B32&gt;=C6)*('Daily Summary'!B5:B32&lt;=D6)*('Daily Summary'!D5:D32))</f>
        <v/>
      </c>
      <c r="G6" s="10">
        <f>IFERROR(E6/F6,0)</f>
        <v/>
      </c>
      <c r="H6" s="18">
        <f>IF(AND(SUMPRODUCT(('Sales Entry'!B5:B89&gt;=C6)*('Sales Entry'!B5:B89&lt;=D6)*('Sales Entry'!J5:J89="Ahmed")*('Sales Entry'!H5:H89))&gt;=SUMPRODUCT(('Sales Entry'!B5:B89&gt;=C6)*('Sales Entry'!B5:B89&lt;=D6)*('Sales Entry'!J5:J89="Fatima")*('Sales Entry'!H5:H89)),SUMPRODUCT(('Sales Entry'!B5:B89&gt;=C6)*('Sales Entry'!B5:B89&lt;=D6)*('Sales Entry'!J5:J89="Ahmed")*('Sales Entry'!H5:H89))&gt;=SUMPRODUCT(('Sales Entry'!B5:B89&gt;=C6)*('Sales Entry'!B5:B89&lt;=D6)*('Sales Entry'!J5:J89="Omar")*('Sales Entry'!H5:H89)),SUMPRODUCT(('Sales Entry'!B5:B89&gt;=C6)*('Sales Entry'!B5:B89&lt;=D6)*('Sales Entry'!J5:J89="Ahmed")*('Sales Entry'!H5:H89))&gt;=SUMPRODUCT(('Sales Entry'!B5:B89&gt;=C6)*('Sales Entry'!B5:B89&lt;=D6)*('Sales Entry'!J5:J89="Sara")*('Sales Entry'!H5:H89)),SUMPRODUCT(('Sales Entry'!B5:B89&gt;=C6)*('Sales Entry'!B5:B89&lt;=D6)*('Sales Entry'!J5:J89="Ahmed")*('Sales Entry'!H5:H89))&gt;=SUMPRODUCT(('Sales Entry'!B5:B89&gt;=C6)*('Sales Entry'!B5:B89&lt;=D6)*('Sales Entry'!J5:J89="Khalid")*('Sales Entry'!H5:H89))),"Ahmed",IF(AND(SUMPRODUCT(('Sales Entry'!B5:B89&gt;=C6)*('Sales Entry'!B5:B89&lt;=D6)*('Sales Entry'!J5:J89="Fatima")*('Sales Entry'!H5:H89))&gt;=SUMPRODUCT(('Sales Entry'!B5:B89&gt;=C6)*('Sales Entry'!B5:B89&lt;=D6)*('Sales Entry'!J5:J89="Ahmed")*('Sales Entry'!H5:H89)),SUMPRODUCT(('Sales Entry'!B5:B89&gt;=C6)*('Sales Entry'!B5:B89&lt;=D6)*('Sales Entry'!J5:J89="Fatima")*('Sales Entry'!H5:H89))&gt;=SUMPRODUCT(('Sales Entry'!B5:B89&gt;=C6)*('Sales Entry'!B5:B89&lt;=D6)*('Sales Entry'!J5:J89="Omar")*('Sales Entry'!H5:H89)),SUMPRODUCT(('Sales Entry'!B5:B89&gt;=C6)*('Sales Entry'!B5:B89&lt;=D6)*('Sales Entry'!J5:J89="Fatima")*('Sales Entry'!H5:H89))&gt;=SUMPRODUCT(('Sales Entry'!B5:B89&gt;=C6)*('Sales Entry'!B5:B89&lt;=D6)*('Sales Entry'!J5:J89="Sara")*('Sales Entry'!H5:H89)),SUMPRODUCT(('Sales Entry'!B5:B89&gt;=C6)*('Sales Entry'!B5:B89&lt;=D6)*('Sales Entry'!J5:J89="Fatima")*('Sales Entry'!H5:H89))&gt;=SUMPRODUCT(('Sales Entry'!B5:B89&gt;=C6)*('Sales Entry'!B5:B89&lt;=D6)*('Sales Entry'!J5:J89="Khalid")*('Sales Entry'!H5:H89))),"Fatima",IF(AND(SUMPRODUCT(('Sales Entry'!B5:B89&gt;=C6)*('Sales Entry'!B5:B89&lt;=D6)*('Sales Entry'!J5:J89="Omar")*('Sales Entry'!H5:H89))&gt;=SUMPRODUCT(('Sales Entry'!B5:B89&gt;=C6)*('Sales Entry'!B5:B89&lt;=D6)*('Sales Entry'!J5:J89="Ahmed")*('Sales Entry'!H5:H89)),SUMPRODUCT(('Sales Entry'!B5:B89&gt;=C6)*('Sales Entry'!B5:B89&lt;=D6)*('Sales Entry'!J5:J89="Omar")*('Sales Entry'!H5:H89))&gt;=SUMPRODUCT(('Sales Entry'!B5:B89&gt;=C6)*('Sales Entry'!B5:B89&lt;=D6)*('Sales Entry'!J5:J89="Fatima")*('Sales Entry'!H5:H89)),SUMPRODUCT(('Sales Entry'!B5:B89&gt;=C6)*('Sales Entry'!B5:B89&lt;=D6)*('Sales Entry'!J5:J89="Omar")*('Sales Entry'!H5:H89))&gt;=SUMPRODUCT(('Sales Entry'!B5:B89&gt;=C6)*('Sales Entry'!B5:B89&lt;=D6)*('Sales Entry'!J5:J89="Sara")*('Sales Entry'!H5:H89)),SUMPRODUCT(('Sales Entry'!B5:B89&gt;=C6)*('Sales Entry'!B5:B89&lt;=D6)*('Sales Entry'!J5:J89="Omar")*('Sales Entry'!H5:H89))&gt;=SUMPRODUCT(('Sales Entry'!B5:B89&gt;=C6)*('Sales Entry'!B5:B89&lt;=D6)*('Sales Entry'!J5:J89="Khalid")*('Sales Entry'!H5:H89))),"Omar",IF(AND(SUMPRODUCT(('Sales Entry'!B5:B89&gt;=C6)*('Sales Entry'!B5:B89&lt;=D6)*('Sales Entry'!J5:J89="Sara")*('Sales Entry'!H5:H89))&gt;=SUMPRODUCT(('Sales Entry'!B5:B89&gt;=C6)*('Sales Entry'!B5:B89&lt;=D6)*('Sales Entry'!J5:J89="Ahmed")*('Sales Entry'!H5:H89)),SUMPRODUCT(('Sales Entry'!B5:B89&gt;=C6)*('Sales Entry'!B5:B89&lt;=D6)*('Sales Entry'!J5:J89="Sara")*('Sales Entry'!H5:H89))&gt;=SUMPRODUCT(('Sales Entry'!B5:B89&gt;=C6)*('Sales Entry'!B5:B89&lt;=D6)*('Sales Entry'!J5:J89="Fatima")*('Sales Entry'!H5:H89)),SUMPRODUCT(('Sales Entry'!B5:B89&gt;=C6)*('Sales Entry'!B5:B89&lt;=D6)*('Sales Entry'!J5:J89="Sara")*('Sales Entry'!H5:H89))&gt;=SUMPRODUCT(('Sales Entry'!B5:B89&gt;=C6)*('Sales Entry'!B5:B89&lt;=D6)*('Sales Entry'!J5:J89="Omar")*('Sales Entry'!H5:H89)),SUMPRODUCT(('Sales Entry'!B5:B89&gt;=C6)*('Sales Entry'!B5:B89&lt;=D6)*('Sales Entry'!J5:J89="Sara")*('Sales Entry'!H5:H89))&gt;=SUMPRODUCT(('Sales Entry'!B5:B89&gt;=C6)*('Sales Entry'!B5:B89&lt;=D6)*('Sales Entry'!J5:J89="Khalid")*('Sales Entry'!H5:H89))),"Sara","Khalid"))))</f>
        <v/>
      </c>
    </row>
    <row r="7" ht="22" customHeight="1">
      <c r="B7" s="15" t="n">
        <v>3</v>
      </c>
      <c r="C7" s="3" t="n">
        <v>45703</v>
      </c>
      <c r="D7" s="3" t="n">
        <v>45709</v>
      </c>
      <c r="E7" s="6">
        <f>SUMPRODUCT(('Daily Summary'!B5:B32&gt;=C7)*('Daily Summary'!B5:B32&lt;=D7)*('Daily Summary'!C5:C32))</f>
        <v/>
      </c>
      <c r="F7" s="5">
        <f>SUMPRODUCT(('Daily Summary'!B5:B32&gt;=C7)*('Daily Summary'!B5:B32&lt;=D7)*('Daily Summary'!D5:D32))</f>
        <v/>
      </c>
      <c r="G7" s="6">
        <f>IFERROR(E7/F7,0)</f>
        <v/>
      </c>
      <c r="H7" s="16">
        <f>IF(AND(SUMPRODUCT(('Sales Entry'!B5:B89&gt;=C7)*('Sales Entry'!B5:B89&lt;=D7)*('Sales Entry'!J5:J89="Ahmed")*('Sales Entry'!H5:H89))&gt;=SUMPRODUCT(('Sales Entry'!B5:B89&gt;=C7)*('Sales Entry'!B5:B89&lt;=D7)*('Sales Entry'!J5:J89="Fatima")*('Sales Entry'!H5:H89)),SUMPRODUCT(('Sales Entry'!B5:B89&gt;=C7)*('Sales Entry'!B5:B89&lt;=D7)*('Sales Entry'!J5:J89="Ahmed")*('Sales Entry'!H5:H89))&gt;=SUMPRODUCT(('Sales Entry'!B5:B89&gt;=C7)*('Sales Entry'!B5:B89&lt;=D7)*('Sales Entry'!J5:J89="Omar")*('Sales Entry'!H5:H89)),SUMPRODUCT(('Sales Entry'!B5:B89&gt;=C7)*('Sales Entry'!B5:B89&lt;=D7)*('Sales Entry'!J5:J89="Ahmed")*('Sales Entry'!H5:H89))&gt;=SUMPRODUCT(('Sales Entry'!B5:B89&gt;=C7)*('Sales Entry'!B5:B89&lt;=D7)*('Sales Entry'!J5:J89="Sara")*('Sales Entry'!H5:H89)),SUMPRODUCT(('Sales Entry'!B5:B89&gt;=C7)*('Sales Entry'!B5:B89&lt;=D7)*('Sales Entry'!J5:J89="Ahmed")*('Sales Entry'!H5:H89))&gt;=SUMPRODUCT(('Sales Entry'!B5:B89&gt;=C7)*('Sales Entry'!B5:B89&lt;=D7)*('Sales Entry'!J5:J89="Khalid")*('Sales Entry'!H5:H89))),"Ahmed",IF(AND(SUMPRODUCT(('Sales Entry'!B5:B89&gt;=C7)*('Sales Entry'!B5:B89&lt;=D7)*('Sales Entry'!J5:J89="Fatima")*('Sales Entry'!H5:H89))&gt;=SUMPRODUCT(('Sales Entry'!B5:B89&gt;=C7)*('Sales Entry'!B5:B89&lt;=D7)*('Sales Entry'!J5:J89="Ahmed")*('Sales Entry'!H5:H89)),SUMPRODUCT(('Sales Entry'!B5:B89&gt;=C7)*('Sales Entry'!B5:B89&lt;=D7)*('Sales Entry'!J5:J89="Fatima")*('Sales Entry'!H5:H89))&gt;=SUMPRODUCT(('Sales Entry'!B5:B89&gt;=C7)*('Sales Entry'!B5:B89&lt;=D7)*('Sales Entry'!J5:J89="Omar")*('Sales Entry'!H5:H89)),SUMPRODUCT(('Sales Entry'!B5:B89&gt;=C7)*('Sales Entry'!B5:B89&lt;=D7)*('Sales Entry'!J5:J89="Fatima")*('Sales Entry'!H5:H89))&gt;=SUMPRODUCT(('Sales Entry'!B5:B89&gt;=C7)*('Sales Entry'!B5:B89&lt;=D7)*('Sales Entry'!J5:J89="Sara")*('Sales Entry'!H5:H89)),SUMPRODUCT(('Sales Entry'!B5:B89&gt;=C7)*('Sales Entry'!B5:B89&lt;=D7)*('Sales Entry'!J5:J89="Fatima")*('Sales Entry'!H5:H89))&gt;=SUMPRODUCT(('Sales Entry'!B5:B89&gt;=C7)*('Sales Entry'!B5:B89&lt;=D7)*('Sales Entry'!J5:J89="Khalid")*('Sales Entry'!H5:H89))),"Fatima",IF(AND(SUMPRODUCT(('Sales Entry'!B5:B89&gt;=C7)*('Sales Entry'!B5:B89&lt;=D7)*('Sales Entry'!J5:J89="Omar")*('Sales Entry'!H5:H89))&gt;=SUMPRODUCT(('Sales Entry'!B5:B89&gt;=C7)*('Sales Entry'!B5:B89&lt;=D7)*('Sales Entry'!J5:J89="Ahmed")*('Sales Entry'!H5:H89)),SUMPRODUCT(('Sales Entry'!B5:B89&gt;=C7)*('Sales Entry'!B5:B89&lt;=D7)*('Sales Entry'!J5:J89="Omar")*('Sales Entry'!H5:H89))&gt;=SUMPRODUCT(('Sales Entry'!B5:B89&gt;=C7)*('Sales Entry'!B5:B89&lt;=D7)*('Sales Entry'!J5:J89="Fatima")*('Sales Entry'!H5:H89)),SUMPRODUCT(('Sales Entry'!B5:B89&gt;=C7)*('Sales Entry'!B5:B89&lt;=D7)*('Sales Entry'!J5:J89="Omar")*('Sales Entry'!H5:H89))&gt;=SUMPRODUCT(('Sales Entry'!B5:B89&gt;=C7)*('Sales Entry'!B5:B89&lt;=D7)*('Sales Entry'!J5:J89="Sara")*('Sales Entry'!H5:H89)),SUMPRODUCT(('Sales Entry'!B5:B89&gt;=C7)*('Sales Entry'!B5:B89&lt;=D7)*('Sales Entry'!J5:J89="Omar")*('Sales Entry'!H5:H89))&gt;=SUMPRODUCT(('Sales Entry'!B5:B89&gt;=C7)*('Sales Entry'!B5:B89&lt;=D7)*('Sales Entry'!J5:J89="Khalid")*('Sales Entry'!H5:H89))),"Omar",IF(AND(SUMPRODUCT(('Sales Entry'!B5:B89&gt;=C7)*('Sales Entry'!B5:B89&lt;=D7)*('Sales Entry'!J5:J89="Sara")*('Sales Entry'!H5:H89))&gt;=SUMPRODUCT(('Sales Entry'!B5:B89&gt;=C7)*('Sales Entry'!B5:B89&lt;=D7)*('Sales Entry'!J5:J89="Ahmed")*('Sales Entry'!H5:H89)),SUMPRODUCT(('Sales Entry'!B5:B89&gt;=C7)*('Sales Entry'!B5:B89&lt;=D7)*('Sales Entry'!J5:J89="Sara")*('Sales Entry'!H5:H89))&gt;=SUMPRODUCT(('Sales Entry'!B5:B89&gt;=C7)*('Sales Entry'!B5:B89&lt;=D7)*('Sales Entry'!J5:J89="Fatima")*('Sales Entry'!H5:H89)),SUMPRODUCT(('Sales Entry'!B5:B89&gt;=C7)*('Sales Entry'!B5:B89&lt;=D7)*('Sales Entry'!J5:J89="Sara")*('Sales Entry'!H5:H89))&gt;=SUMPRODUCT(('Sales Entry'!B5:B89&gt;=C7)*('Sales Entry'!B5:B89&lt;=D7)*('Sales Entry'!J5:J89="Omar")*('Sales Entry'!H5:H89)),SUMPRODUCT(('Sales Entry'!B5:B89&gt;=C7)*('Sales Entry'!B5:B89&lt;=D7)*('Sales Entry'!J5:J89="Sara")*('Sales Entry'!H5:H89))&gt;=SUMPRODUCT(('Sales Entry'!B5:B89&gt;=C7)*('Sales Entry'!B5:B89&lt;=D7)*('Sales Entry'!J5:J89="Khalid")*('Sales Entry'!H5:H89))),"Sara","Khalid"))))</f>
        <v/>
      </c>
    </row>
    <row r="8" ht="22" customHeight="1">
      <c r="B8" s="17" t="n">
        <v>4</v>
      </c>
      <c r="C8" s="7" t="n">
        <v>45710</v>
      </c>
      <c r="D8" s="7" t="n">
        <v>45716</v>
      </c>
      <c r="E8" s="10">
        <f>SUMPRODUCT(('Daily Summary'!B5:B32&gt;=C8)*('Daily Summary'!B5:B32&lt;=D8)*('Daily Summary'!C5:C32))</f>
        <v/>
      </c>
      <c r="F8" s="9">
        <f>SUMPRODUCT(('Daily Summary'!B5:B32&gt;=C8)*('Daily Summary'!B5:B32&lt;=D8)*('Daily Summary'!D5:D32))</f>
        <v/>
      </c>
      <c r="G8" s="10">
        <f>IFERROR(E8/F8,0)</f>
        <v/>
      </c>
      <c r="H8" s="18">
        <f>IF(AND(SUMPRODUCT(('Sales Entry'!B5:B89&gt;=C8)*('Sales Entry'!B5:B89&lt;=D8)*('Sales Entry'!J5:J89="Ahmed")*('Sales Entry'!H5:H89))&gt;=SUMPRODUCT(('Sales Entry'!B5:B89&gt;=C8)*('Sales Entry'!B5:B89&lt;=D8)*('Sales Entry'!J5:J89="Fatima")*('Sales Entry'!H5:H89)),SUMPRODUCT(('Sales Entry'!B5:B89&gt;=C8)*('Sales Entry'!B5:B89&lt;=D8)*('Sales Entry'!J5:J89="Ahmed")*('Sales Entry'!H5:H89))&gt;=SUMPRODUCT(('Sales Entry'!B5:B89&gt;=C8)*('Sales Entry'!B5:B89&lt;=D8)*('Sales Entry'!J5:J89="Omar")*('Sales Entry'!H5:H89)),SUMPRODUCT(('Sales Entry'!B5:B89&gt;=C8)*('Sales Entry'!B5:B89&lt;=D8)*('Sales Entry'!J5:J89="Ahmed")*('Sales Entry'!H5:H89))&gt;=SUMPRODUCT(('Sales Entry'!B5:B89&gt;=C8)*('Sales Entry'!B5:B89&lt;=D8)*('Sales Entry'!J5:J89="Sara")*('Sales Entry'!H5:H89)),SUMPRODUCT(('Sales Entry'!B5:B89&gt;=C8)*('Sales Entry'!B5:B89&lt;=D8)*('Sales Entry'!J5:J89="Ahmed")*('Sales Entry'!H5:H89))&gt;=SUMPRODUCT(('Sales Entry'!B5:B89&gt;=C8)*('Sales Entry'!B5:B89&lt;=D8)*('Sales Entry'!J5:J89="Khalid")*('Sales Entry'!H5:H89))),"Ahmed",IF(AND(SUMPRODUCT(('Sales Entry'!B5:B89&gt;=C8)*('Sales Entry'!B5:B89&lt;=D8)*('Sales Entry'!J5:J89="Fatima")*('Sales Entry'!H5:H89))&gt;=SUMPRODUCT(('Sales Entry'!B5:B89&gt;=C8)*('Sales Entry'!B5:B89&lt;=D8)*('Sales Entry'!J5:J89="Ahmed")*('Sales Entry'!H5:H89)),SUMPRODUCT(('Sales Entry'!B5:B89&gt;=C8)*('Sales Entry'!B5:B89&lt;=D8)*('Sales Entry'!J5:J89="Fatima")*('Sales Entry'!H5:H89))&gt;=SUMPRODUCT(('Sales Entry'!B5:B89&gt;=C8)*('Sales Entry'!B5:B89&lt;=D8)*('Sales Entry'!J5:J89="Omar")*('Sales Entry'!H5:H89)),SUMPRODUCT(('Sales Entry'!B5:B89&gt;=C8)*('Sales Entry'!B5:B89&lt;=D8)*('Sales Entry'!J5:J89="Fatima")*('Sales Entry'!H5:H89))&gt;=SUMPRODUCT(('Sales Entry'!B5:B89&gt;=C8)*('Sales Entry'!B5:B89&lt;=D8)*('Sales Entry'!J5:J89="Sara")*('Sales Entry'!H5:H89)),SUMPRODUCT(('Sales Entry'!B5:B89&gt;=C8)*('Sales Entry'!B5:B89&lt;=D8)*('Sales Entry'!J5:J89="Fatima")*('Sales Entry'!H5:H89))&gt;=SUMPRODUCT(('Sales Entry'!B5:B89&gt;=C8)*('Sales Entry'!B5:B89&lt;=D8)*('Sales Entry'!J5:J89="Khalid")*('Sales Entry'!H5:H89))),"Fatima",IF(AND(SUMPRODUCT(('Sales Entry'!B5:B89&gt;=C8)*('Sales Entry'!B5:B89&lt;=D8)*('Sales Entry'!J5:J89="Omar")*('Sales Entry'!H5:H89))&gt;=SUMPRODUCT(('Sales Entry'!B5:B89&gt;=C8)*('Sales Entry'!B5:B89&lt;=D8)*('Sales Entry'!J5:J89="Ahmed")*('Sales Entry'!H5:H89)),SUMPRODUCT(('Sales Entry'!B5:B89&gt;=C8)*('Sales Entry'!B5:B89&lt;=D8)*('Sales Entry'!J5:J89="Omar")*('Sales Entry'!H5:H89))&gt;=SUMPRODUCT(('Sales Entry'!B5:B89&gt;=C8)*('Sales Entry'!B5:B89&lt;=D8)*('Sales Entry'!J5:J89="Fatima")*('Sales Entry'!H5:H89)),SUMPRODUCT(('Sales Entry'!B5:B89&gt;=C8)*('Sales Entry'!B5:B89&lt;=D8)*('Sales Entry'!J5:J89="Omar")*('Sales Entry'!H5:H89))&gt;=SUMPRODUCT(('Sales Entry'!B5:B89&gt;=C8)*('Sales Entry'!B5:B89&lt;=D8)*('Sales Entry'!J5:J89="Sara")*('Sales Entry'!H5:H89)),SUMPRODUCT(('Sales Entry'!B5:B89&gt;=C8)*('Sales Entry'!B5:B89&lt;=D8)*('Sales Entry'!J5:J89="Omar")*('Sales Entry'!H5:H89))&gt;=SUMPRODUCT(('Sales Entry'!B5:B89&gt;=C8)*('Sales Entry'!B5:B89&lt;=D8)*('Sales Entry'!J5:J89="Khalid")*('Sales Entry'!H5:H89))),"Omar",IF(AND(SUMPRODUCT(('Sales Entry'!B5:B89&gt;=C8)*('Sales Entry'!B5:B89&lt;=D8)*('Sales Entry'!J5:J89="Sara")*('Sales Entry'!H5:H89))&gt;=SUMPRODUCT(('Sales Entry'!B5:B89&gt;=C8)*('Sales Entry'!B5:B89&lt;=D8)*('Sales Entry'!J5:J89="Ahmed")*('Sales Entry'!H5:H89)),SUMPRODUCT(('Sales Entry'!B5:B89&gt;=C8)*('Sales Entry'!B5:B89&lt;=D8)*('Sales Entry'!J5:J89="Sara")*('Sales Entry'!H5:H89))&gt;=SUMPRODUCT(('Sales Entry'!B5:B89&gt;=C8)*('Sales Entry'!B5:B89&lt;=D8)*('Sales Entry'!J5:J89="Fatima")*('Sales Entry'!H5:H89)),SUMPRODUCT(('Sales Entry'!B5:B89&gt;=C8)*('Sales Entry'!B5:B89&lt;=D8)*('Sales Entry'!J5:J89="Sara")*('Sales Entry'!H5:H89))&gt;=SUMPRODUCT(('Sales Entry'!B5:B89&gt;=C8)*('Sales Entry'!B5:B89&lt;=D8)*('Sales Entry'!J5:J89="Omar")*('Sales Entry'!H5:H89)),SUMPRODUCT(('Sales Entry'!B5:B89&gt;=C8)*('Sales Entry'!B5:B89&lt;=D8)*('Sales Entry'!J5:J89="Sara")*('Sales Entry'!H5:H89))&gt;=SUMPRODUCT(('Sales Entry'!B5:B89&gt;=C8)*('Sales Entry'!B5:B89&lt;=D8)*('Sales Entry'!J5:J89="Khalid")*('Sales Entry'!H5:H89))),"Sara","Khalid"))))</f>
        <v/>
      </c>
    </row>
    <row r="9" ht="26" customHeight="1">
      <c r="B9" s="11" t="inlineStr">
        <is>
          <t>TOTAL</t>
        </is>
      </c>
      <c r="C9" s="12" t="n"/>
      <c r="D9" s="12" t="n"/>
      <c r="E9" s="14">
        <f>SUM(E5:E8)</f>
        <v/>
      </c>
      <c r="F9" s="13">
        <f>SUM(F5:F8)</f>
        <v/>
      </c>
      <c r="G9" s="14">
        <f>IFERROR(E9/F9,0)</f>
        <v/>
      </c>
      <c r="H9" s="12" t="n"/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5" customHeight="1"/>
    <row r="2" ht="32" customHeight="1">
      <c r="B2" s="1" t="inlineStr">
        <is>
          <t>Monthly Summary — February 2025</t>
        </is>
      </c>
    </row>
    <row r="3" ht="8" customHeight="1"/>
    <row r="4" ht="28" customHeight="1">
      <c r="B4" s="2" t="inlineStr">
        <is>
          <t>Month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Best Day Sales</t>
        </is>
      </c>
      <c r="G4" s="2" t="inlineStr">
        <is>
          <t>Best Day Date</t>
        </is>
      </c>
    </row>
    <row r="5" ht="22" customHeight="1">
      <c r="B5" s="16" t="inlineStr">
        <is>
          <t>February 2025</t>
        </is>
      </c>
      <c r="C5" s="6">
        <f>SUM('Daily Summary'!C5:C32)</f>
        <v/>
      </c>
      <c r="D5" s="5">
        <f>SUM('Daily Summary'!D5:D32)</f>
        <v/>
      </c>
      <c r="E5" s="6">
        <f>IFERROR(C5/D5,0)</f>
        <v/>
      </c>
      <c r="F5" s="6">
        <f>MAX('Daily Summary'!C5:C32)</f>
        <v/>
      </c>
      <c r="G5" s="3">
        <f>INDEX('Daily Summary'!B5:B32,MATCH(F5,'Daily Summary'!C5:C32,0))</f>
        <v/>
      </c>
    </row>
    <row r="6" ht="26" customHeight="1">
      <c r="B6" s="11" t="inlineStr">
        <is>
          <t>TOTAL</t>
        </is>
      </c>
      <c r="C6" s="14">
        <f>C5</f>
        <v/>
      </c>
      <c r="D6" s="13">
        <f>D5</f>
        <v/>
      </c>
      <c r="E6" s="14">
        <f>IFERROR(C6/D6,0)</f>
        <v/>
      </c>
      <c r="F6" s="12" t="n"/>
      <c r="G6" s="12" t="n"/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8" customWidth="1" min="5" max="5"/>
    <col width="14" customWidth="1" min="6" max="6"/>
    <col width="14" customWidth="1" min="7" max="7"/>
  </cols>
  <sheetData>
    <row r="1" ht="15" customHeight="1"/>
    <row r="2" ht="40" customHeight="1">
      <c r="B2" s="19" t="inlineStr">
        <is>
          <t>Al Noor Supermarket</t>
        </is>
      </c>
    </row>
    <row r="3" ht="20" customHeight="1">
      <c r="B3" s="20" t="inlineStr">
        <is>
          <t>Your Neighbourhood Grocery — Dubai, UAE</t>
        </is>
      </c>
    </row>
    <row r="4" ht="18" customHeight="1">
      <c r="B4" s="21" t="inlineStr">
        <is>
          <t>Tel: +971-4-XXX-XXXX  |  VAT: 10XXXXXX000X3</t>
        </is>
      </c>
    </row>
    <row r="5" ht="6" customHeight="1">
      <c r="B5" s="22" t="n"/>
      <c r="C5" s="22" t="n"/>
      <c r="D5" s="22" t="n"/>
      <c r="E5" s="22" t="n"/>
      <c r="F5" s="22" t="n"/>
      <c r="G5" s="22" t="n"/>
      <c r="H5" s="22" t="n"/>
    </row>
    <row r="7">
      <c r="B7" s="23" t="inlineStr">
        <is>
          <t>Invoice #:</t>
        </is>
      </c>
      <c r="C7" s="24" t="inlineStr">
        <is>
          <t>INV-0085</t>
        </is>
      </c>
      <c r="F7" s="23" t="inlineStr">
        <is>
          <t>Date:</t>
        </is>
      </c>
      <c r="G7" s="24" t="inlineStr">
        <is>
          <t>10-Feb-2025</t>
        </is>
      </c>
    </row>
    <row r="8">
      <c r="B8" s="23" t="inlineStr">
        <is>
          <t>Customer:</t>
        </is>
      </c>
      <c r="C8" s="24" t="inlineStr">
        <is>
          <t>Regular Customer</t>
        </is>
      </c>
      <c r="F8" s="23" t="inlineStr">
        <is>
          <t>Staff:</t>
        </is>
      </c>
      <c r="G8" s="24" t="inlineStr">
        <is>
          <t>Fatima</t>
        </is>
      </c>
    </row>
    <row r="9">
      <c r="B9" s="23" t="inlineStr">
        <is>
          <t>Payment:</t>
        </is>
      </c>
      <c r="C9" s="24" t="inlineStr">
        <is>
          <t>Card</t>
        </is>
      </c>
    </row>
    <row r="11" ht="28" customHeight="1">
      <c r="B11" s="2" t="inlineStr">
        <is>
          <t>#</t>
        </is>
      </c>
      <c r="C11" s="2" t="inlineStr">
        <is>
          <t>Item</t>
        </is>
      </c>
      <c r="D11" s="2" t="inlineStr">
        <is>
          <t>Category</t>
        </is>
      </c>
      <c r="E11" s="2" t="inlineStr">
        <is>
          <t>Qty</t>
        </is>
      </c>
      <c r="F11" s="2" t="inlineStr">
        <is>
          <t>Unit Price</t>
        </is>
      </c>
      <c r="G11" s="2" t="inlineStr">
        <is>
          <t>Total</t>
        </is>
      </c>
    </row>
    <row r="12" ht="22" customHeight="1">
      <c r="B12" s="15" t="n">
        <v>1</v>
      </c>
      <c r="C12" s="4" t="inlineStr">
        <is>
          <t>Rice (5kg)</t>
        </is>
      </c>
      <c r="D12" s="4" t="inlineStr">
        <is>
          <t>Grains</t>
        </is>
      </c>
      <c r="E12" s="15" t="n">
        <v>2</v>
      </c>
      <c r="F12" s="6" t="n">
        <v>35</v>
      </c>
      <c r="G12" s="6">
        <f>E12*F12</f>
        <v/>
      </c>
    </row>
    <row r="13" ht="22" customHeight="1">
      <c r="B13" s="17" t="n">
        <v>2</v>
      </c>
      <c r="C13" s="8" t="inlineStr">
        <is>
          <t>Milk (1L)</t>
        </is>
      </c>
      <c r="D13" s="8" t="inlineStr">
        <is>
          <t>Dairy</t>
        </is>
      </c>
      <c r="E13" s="17" t="n">
        <v>3</v>
      </c>
      <c r="F13" s="10" t="n">
        <v>8</v>
      </c>
      <c r="G13" s="10">
        <f>E13*F13</f>
        <v/>
      </c>
    </row>
    <row r="14" ht="22" customHeight="1">
      <c r="B14" s="15" t="n">
        <v>3</v>
      </c>
      <c r="C14" s="4" t="inlineStr">
        <is>
          <t>Chicken (kg)</t>
        </is>
      </c>
      <c r="D14" s="4" t="inlineStr">
        <is>
          <t>Meat</t>
        </is>
      </c>
      <c r="E14" s="15" t="n">
        <v>1</v>
      </c>
      <c r="F14" s="6" t="n">
        <v>28</v>
      </c>
      <c r="G14" s="6">
        <f>E14*F14</f>
        <v/>
      </c>
    </row>
    <row r="15" ht="22" customHeight="1">
      <c r="B15" s="17" t="n">
        <v>4</v>
      </c>
      <c r="C15" s="8" t="inlineStr">
        <is>
          <t>Cooking Oil (1L)</t>
        </is>
      </c>
      <c r="D15" s="8" t="inlineStr">
        <is>
          <t>Grains</t>
        </is>
      </c>
      <c r="E15" s="17" t="n">
        <v>2</v>
      </c>
      <c r="F15" s="10" t="n">
        <v>22</v>
      </c>
      <c r="G15" s="10">
        <f>E15*F15</f>
        <v/>
      </c>
    </row>
    <row r="16" ht="22" customHeight="1">
      <c r="B16" s="15" t="n">
        <v>5</v>
      </c>
      <c r="C16" s="4" t="inlineStr">
        <is>
          <t>Eggs (12pc)</t>
        </is>
      </c>
      <c r="D16" s="4" t="inlineStr">
        <is>
          <t>Dairy</t>
        </is>
      </c>
      <c r="E16" s="15" t="n">
        <v>1</v>
      </c>
      <c r="F16" s="6" t="n">
        <v>12</v>
      </c>
      <c r="G16" s="6">
        <f>E16*F16</f>
        <v/>
      </c>
    </row>
    <row r="17" ht="22" customHeight="1">
      <c r="B17" s="17" t="n">
        <v>6</v>
      </c>
      <c r="C17" s="8" t="inlineStr">
        <is>
          <t>Orange Juice (1L)</t>
        </is>
      </c>
      <c r="D17" s="8" t="inlineStr">
        <is>
          <t>Beverages</t>
        </is>
      </c>
      <c r="E17" s="17" t="n">
        <v>2</v>
      </c>
      <c r="F17" s="10" t="n">
        <v>6</v>
      </c>
      <c r="G17" s="10">
        <f>E17*F17</f>
        <v/>
      </c>
    </row>
    <row r="18" ht="8" customHeight="1"/>
    <row r="19">
      <c r="E19" s="25" t="inlineStr">
        <is>
          <t>Subtotal:</t>
        </is>
      </c>
      <c r="G19" s="26">
        <f>SUM(G12:G17)</f>
        <v/>
      </c>
    </row>
    <row r="20">
      <c r="E20" s="25" t="inlineStr">
        <is>
          <t>VAT (5%):</t>
        </is>
      </c>
      <c r="G20" s="26">
        <f>G19*0.05</f>
        <v/>
      </c>
    </row>
    <row r="21">
      <c r="E21" s="25" t="inlineStr">
        <is>
          <t>Discount:</t>
        </is>
      </c>
      <c r="G21" s="27" t="n">
        <v>-10</v>
      </c>
    </row>
    <row r="22" ht="30" customHeight="1">
      <c r="E22" s="28" t="inlineStr">
        <is>
          <t>Grand Total:</t>
        </is>
      </c>
      <c r="F22" s="29" t="n"/>
      <c r="G22" s="30">
        <f>G19+G20+G21</f>
        <v/>
      </c>
    </row>
    <row r="24">
      <c r="B24" s="31" t="inlineStr">
        <is>
          <t>Thank you for shopping at Al Noor Supermarket!</t>
        </is>
      </c>
    </row>
  </sheetData>
  <mergeCells count="4">
    <mergeCell ref="B24:G24"/>
    <mergeCell ref="B3:H3"/>
    <mergeCell ref="B2:H2"/>
    <mergeCell ref="B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 ht="15" customHeight="1"/>
    <row r="2" ht="32" customHeight="1">
      <c r="B2" s="1" t="inlineStr">
        <is>
          <t>Inventory — Al Noor Supermarket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Stock Qty</t>
        </is>
      </c>
      <c r="G4" s="2" t="inlineStr">
        <is>
          <t>Reorder Level</t>
        </is>
      </c>
      <c r="H4" s="2" t="inlineStr">
        <is>
          <t>Status</t>
        </is>
      </c>
      <c r="I4" s="2" t="inlineStr">
        <is>
          <t>Supplier</t>
        </is>
      </c>
      <c r="J4" s="2" t="inlineStr">
        <is>
          <t>Last Restocked</t>
        </is>
      </c>
    </row>
    <row r="5" ht="22" customHeight="1">
      <c r="B5" s="16" t="inlineStr">
        <is>
          <t>PRD001</t>
        </is>
      </c>
      <c r="C5" s="16" t="inlineStr">
        <is>
          <t>Rice (5kg)</t>
        </is>
      </c>
      <c r="D5" s="16" t="inlineStr">
        <is>
          <t>Grains</t>
        </is>
      </c>
      <c r="E5" s="6" t="n">
        <v>35</v>
      </c>
      <c r="F5" s="5" t="n">
        <v>120</v>
      </c>
      <c r="G5" s="5" t="n">
        <v>30</v>
      </c>
      <c r="H5" s="16">
        <f>IF(F5&lt;=G5,"LOW STOCK","In Stock")</f>
        <v/>
      </c>
      <c r="I5" s="16" t="inlineStr">
        <is>
          <t>Al Falaj</t>
        </is>
      </c>
      <c r="J5" s="3" t="n">
        <v>45708</v>
      </c>
    </row>
    <row r="6" ht="22" customHeight="1">
      <c r="B6" s="18" t="inlineStr">
        <is>
          <t>PRD002</t>
        </is>
      </c>
      <c r="C6" s="18" t="inlineStr">
        <is>
          <t>Milk (1L)</t>
        </is>
      </c>
      <c r="D6" s="18" t="inlineStr">
        <is>
          <t>Dairy</t>
        </is>
      </c>
      <c r="E6" s="10" t="n">
        <v>8</v>
      </c>
      <c r="F6" s="9" t="n">
        <v>45</v>
      </c>
      <c r="G6" s="9" t="n">
        <v>50</v>
      </c>
      <c r="H6" s="18">
        <f>IF(F6&lt;=G6,"LOW STOCK","In Stock")</f>
        <v/>
      </c>
      <c r="I6" s="18" t="inlineStr">
        <is>
          <t>GCC Foods</t>
        </is>
      </c>
      <c r="J6" s="7" t="n">
        <v>45713</v>
      </c>
    </row>
    <row r="7" ht="22" customHeight="1">
      <c r="B7" s="16" t="inlineStr">
        <is>
          <t>PRD003</t>
        </is>
      </c>
      <c r="C7" s="16" t="inlineStr">
        <is>
          <t>Bread</t>
        </is>
      </c>
      <c r="D7" s="16" t="inlineStr">
        <is>
          <t>Bakery</t>
        </is>
      </c>
      <c r="E7" s="6" t="n">
        <v>5</v>
      </c>
      <c r="F7" s="5" t="n">
        <v>80</v>
      </c>
      <c r="G7" s="5" t="n">
        <v>40</v>
      </c>
      <c r="H7" s="16">
        <f>IF(F7&lt;=G7,"LOW STOCK","In Stock")</f>
        <v/>
      </c>
      <c r="I7" s="16" t="inlineStr">
        <is>
          <t>Emirates Trading</t>
        </is>
      </c>
      <c r="J7" s="3" t="n">
        <v>45715</v>
      </c>
    </row>
    <row r="8" ht="22" customHeight="1">
      <c r="B8" s="18" t="inlineStr">
        <is>
          <t>PRD004</t>
        </is>
      </c>
      <c r="C8" s="18" t="inlineStr">
        <is>
          <t>Eggs (12pc)</t>
        </is>
      </c>
      <c r="D8" s="18" t="inlineStr">
        <is>
          <t>Dairy</t>
        </is>
      </c>
      <c r="E8" s="10" t="n">
        <v>12</v>
      </c>
      <c r="F8" s="9" t="n">
        <v>35</v>
      </c>
      <c r="G8" s="9" t="n">
        <v>30</v>
      </c>
      <c r="H8" s="18">
        <f>IF(F8&lt;=G8,"LOW STOCK","In Stock")</f>
        <v/>
      </c>
      <c r="I8" s="18" t="inlineStr">
        <is>
          <t>GCC Foods</t>
        </is>
      </c>
      <c r="J8" s="7" t="n">
        <v>45710</v>
      </c>
    </row>
    <row r="9" ht="22" customHeight="1">
      <c r="B9" s="16" t="inlineStr">
        <is>
          <t>PRD005</t>
        </is>
      </c>
      <c r="C9" s="16" t="inlineStr">
        <is>
          <t>Chicken (kg)</t>
        </is>
      </c>
      <c r="D9" s="16" t="inlineStr">
        <is>
          <t>Meat</t>
        </is>
      </c>
      <c r="E9" s="6" t="n">
        <v>28</v>
      </c>
      <c r="F9" s="5" t="n">
        <v>15</v>
      </c>
      <c r="G9" s="5" t="n">
        <v>20</v>
      </c>
      <c r="H9" s="16">
        <f>IF(F9&lt;=G9,"LOW STOCK","In Stock")</f>
        <v/>
      </c>
      <c r="I9" s="16" t="inlineStr">
        <is>
          <t>Al Falaj</t>
        </is>
      </c>
      <c r="J9" s="3" t="n">
        <v>45714</v>
      </c>
    </row>
    <row r="10" ht="22" customHeight="1">
      <c r="B10" s="18" t="inlineStr">
        <is>
          <t>PRD006</t>
        </is>
      </c>
      <c r="C10" s="18" t="inlineStr">
        <is>
          <t>Cooking Oil (1L)</t>
        </is>
      </c>
      <c r="D10" s="18" t="inlineStr">
        <is>
          <t>Grains</t>
        </is>
      </c>
      <c r="E10" s="10" t="n">
        <v>22</v>
      </c>
      <c r="F10" s="9" t="n">
        <v>60</v>
      </c>
      <c r="G10" s="9" t="n">
        <v>25</v>
      </c>
      <c r="H10" s="18">
        <f>IF(F10&lt;=G10,"LOW STOCK","In Stock")</f>
        <v/>
      </c>
      <c r="I10" s="18" t="inlineStr">
        <is>
          <t>Emirates Trading</t>
        </is>
      </c>
      <c r="J10" s="7" t="n">
        <v>45706</v>
      </c>
    </row>
    <row r="11" ht="22" customHeight="1">
      <c r="B11" s="16" t="inlineStr">
        <is>
          <t>PRD007</t>
        </is>
      </c>
      <c r="C11" s="16" t="inlineStr">
        <is>
          <t>Water (6pk)</t>
        </is>
      </c>
      <c r="D11" s="16" t="inlineStr">
        <is>
          <t>Beverages</t>
        </is>
      </c>
      <c r="E11" s="6" t="n">
        <v>2</v>
      </c>
      <c r="F11" s="5" t="n">
        <v>200</v>
      </c>
      <c r="G11" s="5" t="n">
        <v>100</v>
      </c>
      <c r="H11" s="16">
        <f>IF(F11&lt;=G11,"LOW STOCK","In Stock")</f>
        <v/>
      </c>
      <c r="I11" s="16" t="inlineStr">
        <is>
          <t>GCC Foods</t>
        </is>
      </c>
      <c r="J11" s="3" t="n">
        <v>45712</v>
      </c>
    </row>
    <row r="12" ht="22" customHeight="1">
      <c r="B12" s="18" t="inlineStr">
        <is>
          <t>PRD008</t>
        </is>
      </c>
      <c r="C12" s="18" t="inlineStr">
        <is>
          <t>Orange Juice (1L)</t>
        </is>
      </c>
      <c r="D12" s="18" t="inlineStr">
        <is>
          <t>Beverages</t>
        </is>
      </c>
      <c r="E12" s="10" t="n">
        <v>6</v>
      </c>
      <c r="F12" s="9" t="n">
        <v>30</v>
      </c>
      <c r="G12" s="9" t="n">
        <v>25</v>
      </c>
      <c r="H12" s="18">
        <f>IF(F12&lt;=G12,"LOW STOCK","In Stock")</f>
        <v/>
      </c>
      <c r="I12" s="18" t="inlineStr">
        <is>
          <t>GCC Foods</t>
        </is>
      </c>
      <c r="J12" s="7" t="n">
        <v>45711</v>
      </c>
    </row>
    <row r="13" ht="22" customHeight="1">
      <c r="B13" s="16" t="inlineStr">
        <is>
          <t>PRD009</t>
        </is>
      </c>
      <c r="C13" s="16" t="inlineStr">
        <is>
          <t>Pasta (500g)</t>
        </is>
      </c>
      <c r="D13" s="16" t="inlineStr">
        <is>
          <t>Grains</t>
        </is>
      </c>
      <c r="E13" s="6" t="n">
        <v>4</v>
      </c>
      <c r="F13" s="5" t="n">
        <v>90</v>
      </c>
      <c r="G13" s="5" t="n">
        <v>40</v>
      </c>
      <c r="H13" s="16">
        <f>IF(F13&lt;=G13,"LOW STOCK","In Stock")</f>
        <v/>
      </c>
      <c r="I13" s="16" t="inlineStr">
        <is>
          <t>Emirates Trading</t>
        </is>
      </c>
      <c r="J13" s="3" t="n">
        <v>45707</v>
      </c>
    </row>
    <row r="14" ht="22" customHeight="1">
      <c r="B14" s="18" t="inlineStr">
        <is>
          <t>PRD010</t>
        </is>
      </c>
      <c r="C14" s="18" t="inlineStr">
        <is>
          <t>Tomatoes (kg)</t>
        </is>
      </c>
      <c r="D14" s="18" t="inlineStr">
        <is>
          <t>Produce</t>
        </is>
      </c>
      <c r="E14" s="10" t="n">
        <v>6</v>
      </c>
      <c r="F14" s="9" t="n">
        <v>8</v>
      </c>
      <c r="G14" s="9" t="n">
        <v>15</v>
      </c>
      <c r="H14" s="18">
        <f>IF(F14&lt;=G14,"LOW STOCK","In Stock")</f>
        <v/>
      </c>
      <c r="I14" s="18" t="inlineStr">
        <is>
          <t>Al Falaj</t>
        </is>
      </c>
      <c r="J14" s="7" t="n">
        <v>45713</v>
      </c>
    </row>
    <row r="15" ht="22" customHeight="1">
      <c r="B15" s="16" t="inlineStr">
        <is>
          <t>PRD011</t>
        </is>
      </c>
      <c r="C15" s="16" t="inlineStr">
        <is>
          <t>Potatoes (kg)</t>
        </is>
      </c>
      <c r="D15" s="16" t="inlineStr">
        <is>
          <t>Produce</t>
        </is>
      </c>
      <c r="E15" s="6" t="n">
        <v>4</v>
      </c>
      <c r="F15" s="5" t="n">
        <v>50</v>
      </c>
      <c r="G15" s="5" t="n">
        <v>20</v>
      </c>
      <c r="H15" s="16">
        <f>IF(F15&lt;=G15,"LOW STOCK","In Stock")</f>
        <v/>
      </c>
      <c r="I15" s="16" t="inlineStr">
        <is>
          <t>Al Falaj</t>
        </is>
      </c>
      <c r="J15" s="3" t="n">
        <v>45709</v>
      </c>
    </row>
    <row r="16" ht="22" customHeight="1">
      <c r="B16" s="18" t="inlineStr">
        <is>
          <t>PRD012</t>
        </is>
      </c>
      <c r="C16" s="18" t="inlineStr">
        <is>
          <t>Onions (kg)</t>
        </is>
      </c>
      <c r="D16" s="18" t="inlineStr">
        <is>
          <t>Produce</t>
        </is>
      </c>
      <c r="E16" s="10" t="n">
        <v>3</v>
      </c>
      <c r="F16" s="9" t="n">
        <v>55</v>
      </c>
      <c r="G16" s="9" t="n">
        <v>25</v>
      </c>
      <c r="H16" s="18">
        <f>IF(F16&lt;=G16,"LOW STOCK","In Stock")</f>
        <v/>
      </c>
      <c r="I16" s="18" t="inlineStr">
        <is>
          <t>Al Falaj</t>
        </is>
      </c>
      <c r="J16" s="7" t="n">
        <v>45709</v>
      </c>
    </row>
    <row r="17" ht="22" customHeight="1">
      <c r="B17" s="16" t="inlineStr">
        <is>
          <t>PRD013</t>
        </is>
      </c>
      <c r="C17" s="16" t="inlineStr">
        <is>
          <t>Cheese (200g)</t>
        </is>
      </c>
      <c r="D17" s="16" t="inlineStr">
        <is>
          <t>Dairy</t>
        </is>
      </c>
      <c r="E17" s="6" t="n">
        <v>15</v>
      </c>
      <c r="F17" s="5" t="n">
        <v>10</v>
      </c>
      <c r="G17" s="5" t="n">
        <v>15</v>
      </c>
      <c r="H17" s="16">
        <f>IF(F17&lt;=G17,"LOW STOCK","In Stock")</f>
        <v/>
      </c>
      <c r="I17" s="16" t="inlineStr">
        <is>
          <t>GCC Foods</t>
        </is>
      </c>
      <c r="J17" s="3" t="n">
        <v>45708</v>
      </c>
    </row>
    <row r="18" ht="22" customHeight="1">
      <c r="B18" s="18" t="inlineStr">
        <is>
          <t>PRD014</t>
        </is>
      </c>
      <c r="C18" s="18" t="inlineStr">
        <is>
          <t>Yogurt (500g)</t>
        </is>
      </c>
      <c r="D18" s="18" t="inlineStr">
        <is>
          <t>Dairy</t>
        </is>
      </c>
      <c r="E18" s="10" t="n">
        <v>7</v>
      </c>
      <c r="F18" s="9" t="n">
        <v>25</v>
      </c>
      <c r="G18" s="9" t="n">
        <v>20</v>
      </c>
      <c r="H18" s="18">
        <f>IF(F18&lt;=G18,"LOW STOCK","In Stock")</f>
        <v/>
      </c>
      <c r="I18" s="18" t="inlineStr">
        <is>
          <t>GCC Foods</t>
        </is>
      </c>
      <c r="J18" s="7" t="n">
        <v>45714</v>
      </c>
    </row>
    <row r="19" ht="22" customHeight="1">
      <c r="B19" s="16" t="inlineStr">
        <is>
          <t>PRD015</t>
        </is>
      </c>
      <c r="C19" s="16" t="inlineStr">
        <is>
          <t>Sugar (1kg)</t>
        </is>
      </c>
      <c r="D19" s="16" t="inlineStr">
        <is>
          <t>Grains</t>
        </is>
      </c>
      <c r="E19" s="6" t="n">
        <v>5</v>
      </c>
      <c r="F19" s="5" t="n">
        <v>70</v>
      </c>
      <c r="G19" s="5" t="n">
        <v>30</v>
      </c>
      <c r="H19" s="16">
        <f>IF(F19&lt;=G19,"LOW STOCK","In Stock")</f>
        <v/>
      </c>
      <c r="I19" s="16" t="inlineStr">
        <is>
          <t>Emirates Trading</t>
        </is>
      </c>
      <c r="J19" s="3" t="n">
        <v>45705</v>
      </c>
    </row>
    <row r="20" ht="22" customHeight="1">
      <c r="B20" s="18" t="inlineStr">
        <is>
          <t>PRD016</t>
        </is>
      </c>
      <c r="C20" s="18" t="inlineStr">
        <is>
          <t>Flour (1kg)</t>
        </is>
      </c>
      <c r="D20" s="18" t="inlineStr">
        <is>
          <t>Grains</t>
        </is>
      </c>
      <c r="E20" s="10" t="n">
        <v>3</v>
      </c>
      <c r="F20" s="9" t="n">
        <v>65</v>
      </c>
      <c r="G20" s="9" t="n">
        <v>25</v>
      </c>
      <c r="H20" s="18">
        <f>IF(F20&lt;=G20,"LOW STOCK","In Stock")</f>
        <v/>
      </c>
      <c r="I20" s="18" t="inlineStr">
        <is>
          <t>Emirates Trading</t>
        </is>
      </c>
      <c r="J20" s="7" t="n">
        <v>45705</v>
      </c>
    </row>
    <row r="21" ht="22" customHeight="1">
      <c r="B21" s="16" t="inlineStr">
        <is>
          <t>PRD017</t>
        </is>
      </c>
      <c r="C21" s="16" t="inlineStr">
        <is>
          <t>Tea (25 bags)</t>
        </is>
      </c>
      <c r="D21" s="16" t="inlineStr">
        <is>
          <t>Beverages</t>
        </is>
      </c>
      <c r="E21" s="6" t="n">
        <v>10</v>
      </c>
      <c r="F21" s="5" t="n">
        <v>40</v>
      </c>
      <c r="G21" s="5" t="n">
        <v>20</v>
      </c>
      <c r="H21" s="16">
        <f>IF(F21&lt;=G21,"LOW STOCK","In Stock")</f>
        <v/>
      </c>
      <c r="I21" s="16" t="inlineStr">
        <is>
          <t>Emirates Trading</t>
        </is>
      </c>
      <c r="J21" s="3" t="n">
        <v>45703</v>
      </c>
    </row>
    <row r="22" ht="22" customHeight="1">
      <c r="B22" s="18" t="inlineStr">
        <is>
          <t>PRD018</t>
        </is>
      </c>
      <c r="C22" s="18" t="inlineStr">
        <is>
          <t>Coffee (200g)</t>
        </is>
      </c>
      <c r="D22" s="18" t="inlineStr">
        <is>
          <t>Beverages</t>
        </is>
      </c>
      <c r="E22" s="10" t="n">
        <v>18</v>
      </c>
      <c r="F22" s="9" t="n">
        <v>5</v>
      </c>
      <c r="G22" s="9" t="n">
        <v>10</v>
      </c>
      <c r="H22" s="18">
        <f>IF(F22&lt;=G22,"LOW STOCK","In Stock")</f>
        <v/>
      </c>
      <c r="I22" s="18" t="inlineStr">
        <is>
          <t>Emirates Trading</t>
        </is>
      </c>
      <c r="J22" s="7" t="n">
        <v>45702</v>
      </c>
    </row>
    <row r="23" ht="22" customHeight="1">
      <c r="B23" s="16" t="inlineStr">
        <is>
          <t>PRD019</t>
        </is>
      </c>
      <c r="C23" s="16" t="inlineStr">
        <is>
          <t>Butter (200g)</t>
        </is>
      </c>
      <c r="D23" s="16" t="inlineStr">
        <is>
          <t>Dairy</t>
        </is>
      </c>
      <c r="E23" s="6" t="n">
        <v>11</v>
      </c>
      <c r="F23" s="5" t="n">
        <v>20</v>
      </c>
      <c r="G23" s="5" t="n">
        <v>15</v>
      </c>
      <c r="H23" s="16">
        <f>IF(F23&lt;=G23,"LOW STOCK","In Stock")</f>
        <v/>
      </c>
      <c r="I23" s="16" t="inlineStr">
        <is>
          <t>GCC Foods</t>
        </is>
      </c>
      <c r="J23" s="3" t="n">
        <v>45710</v>
      </c>
    </row>
    <row r="24" ht="22" customHeight="1">
      <c r="B24" s="18" t="inlineStr">
        <is>
          <t>PRD020</t>
        </is>
      </c>
      <c r="C24" s="18" t="inlineStr">
        <is>
          <t>Detergent (1L)</t>
        </is>
      </c>
      <c r="D24" s="18" t="inlineStr">
        <is>
          <t>Cleaning</t>
        </is>
      </c>
      <c r="E24" s="10" t="n">
        <v>14</v>
      </c>
      <c r="F24" s="9" t="n">
        <v>35</v>
      </c>
      <c r="G24" s="9" t="n">
        <v>15</v>
      </c>
      <c r="H24" s="18">
        <f>IF(F24&lt;=G24,"LOW STOCK","In Stock")</f>
        <v/>
      </c>
      <c r="I24" s="18" t="inlineStr">
        <is>
          <t>Emirates Trading</t>
        </is>
      </c>
      <c r="J24" s="7" t="n">
        <v>45700</v>
      </c>
    </row>
    <row r="25" ht="22" customHeight="1">
      <c r="B25" s="16" t="inlineStr">
        <is>
          <t>PRD021</t>
        </is>
      </c>
      <c r="C25" s="16" t="inlineStr">
        <is>
          <t>Dish Soap (500ml)</t>
        </is>
      </c>
      <c r="D25" s="16" t="inlineStr">
        <is>
          <t>Cleaning</t>
        </is>
      </c>
      <c r="E25" s="6" t="n">
        <v>8</v>
      </c>
      <c r="F25" s="5" t="n">
        <v>28</v>
      </c>
      <c r="G25" s="5" t="n">
        <v>15</v>
      </c>
      <c r="H25" s="16">
        <f>IF(F25&lt;=G25,"LOW STOCK","In Stock")</f>
        <v/>
      </c>
      <c r="I25" s="16" t="inlineStr">
        <is>
          <t>Emirates Trading</t>
        </is>
      </c>
      <c r="J25" s="3" t="n">
        <v>45700</v>
      </c>
    </row>
    <row r="26" ht="22" customHeight="1">
      <c r="B26" s="18" t="inlineStr">
        <is>
          <t>PRD022</t>
        </is>
      </c>
      <c r="C26" s="18" t="inlineStr">
        <is>
          <t>Chips (150g)</t>
        </is>
      </c>
      <c r="D26" s="18" t="inlineStr">
        <is>
          <t>Snacks</t>
        </is>
      </c>
      <c r="E26" s="10" t="n">
        <v>5</v>
      </c>
      <c r="F26" s="9" t="n">
        <v>100</v>
      </c>
      <c r="G26" s="9" t="n">
        <v>40</v>
      </c>
      <c r="H26" s="18">
        <f>IF(F26&lt;=G26,"LOW STOCK","In Stock")</f>
        <v/>
      </c>
      <c r="I26" s="18" t="inlineStr">
        <is>
          <t>GCC Foods</t>
        </is>
      </c>
      <c r="J26" s="7" t="n">
        <v>45712</v>
      </c>
    </row>
    <row r="27" ht="22" customHeight="1">
      <c r="B27" s="16" t="inlineStr">
        <is>
          <t>PRD023</t>
        </is>
      </c>
      <c r="C27" s="16" t="inlineStr">
        <is>
          <t>Chocolate Bar</t>
        </is>
      </c>
      <c r="D27" s="16" t="inlineStr">
        <is>
          <t>Snacks</t>
        </is>
      </c>
      <c r="E27" s="6" t="n">
        <v>7</v>
      </c>
      <c r="F27" s="5" t="n">
        <v>12</v>
      </c>
      <c r="G27" s="5" t="n">
        <v>20</v>
      </c>
      <c r="H27" s="16">
        <f>IF(F27&lt;=G27,"LOW STOCK","In Stock")</f>
        <v/>
      </c>
      <c r="I27" s="16" t="inlineStr">
        <is>
          <t>GCC Foods</t>
        </is>
      </c>
      <c r="J27" s="3" t="n">
        <v>45711</v>
      </c>
    </row>
    <row r="28" ht="22" customHeight="1">
      <c r="B28" s="18" t="inlineStr">
        <is>
          <t>PRD024</t>
        </is>
      </c>
      <c r="C28" s="18" t="inlineStr">
        <is>
          <t>Biscuits (200g)</t>
        </is>
      </c>
      <c r="D28" s="18" t="inlineStr">
        <is>
          <t>Snacks</t>
        </is>
      </c>
      <c r="E28" s="10" t="n">
        <v>4</v>
      </c>
      <c r="F28" s="9" t="n">
        <v>75</v>
      </c>
      <c r="G28" s="9" t="n">
        <v>30</v>
      </c>
      <c r="H28" s="18">
        <f>IF(F28&lt;=G28,"LOW STOCK","In Stock")</f>
        <v/>
      </c>
      <c r="I28" s="18" t="inlineStr">
        <is>
          <t>Emirates Trading</t>
        </is>
      </c>
      <c r="J28" s="7" t="n">
        <v>45708</v>
      </c>
    </row>
    <row r="29" ht="22" customHeight="1">
      <c r="B29" s="16" t="inlineStr">
        <is>
          <t>PRD025</t>
        </is>
      </c>
      <c r="C29" s="16" t="inlineStr">
        <is>
          <t>Cereal (375g)</t>
        </is>
      </c>
      <c r="D29" s="16" t="inlineStr">
        <is>
          <t>Snacks</t>
        </is>
      </c>
      <c r="E29" s="6" t="n">
        <v>12</v>
      </c>
      <c r="F29" s="5" t="n">
        <v>18</v>
      </c>
      <c r="G29" s="5" t="n">
        <v>15</v>
      </c>
      <c r="H29" s="16">
        <f>IF(F29&lt;=G29,"LOW STOCK","In Stock")</f>
        <v/>
      </c>
      <c r="I29" s="16" t="inlineStr">
        <is>
          <t>Emirates Trading</t>
        </is>
      </c>
      <c r="J29" s="3" t="n">
        <v>45707</v>
      </c>
    </row>
    <row r="30" ht="22" customHeight="1">
      <c r="B30" s="18" t="inlineStr">
        <is>
          <t>PRD026</t>
        </is>
      </c>
      <c r="C30" s="18" t="inlineStr">
        <is>
          <t>Canned Beans</t>
        </is>
      </c>
      <c r="D30" s="18" t="inlineStr">
        <is>
          <t>Grains</t>
        </is>
      </c>
      <c r="E30" s="10" t="n">
        <v>3</v>
      </c>
      <c r="F30" s="9" t="n">
        <v>85</v>
      </c>
      <c r="G30" s="9" t="n">
        <v>30</v>
      </c>
      <c r="H30" s="18">
        <f>IF(F30&lt;=G30,"LOW STOCK","In Stock")</f>
        <v/>
      </c>
      <c r="I30" s="18" t="inlineStr">
        <is>
          <t>Al Falaj</t>
        </is>
      </c>
      <c r="J30" s="7" t="n">
        <v>45704</v>
      </c>
    </row>
    <row r="31" ht="22" customHeight="1">
      <c r="B31" s="16" t="inlineStr">
        <is>
          <t>PRD027</t>
        </is>
      </c>
      <c r="C31" s="16" t="inlineStr">
        <is>
          <t>Lamb (kg)</t>
        </is>
      </c>
      <c r="D31" s="16" t="inlineStr">
        <is>
          <t>Meat</t>
        </is>
      </c>
      <c r="E31" s="6" t="n">
        <v>55</v>
      </c>
      <c r="F31" s="5" t="n">
        <v>6</v>
      </c>
      <c r="G31" s="5" t="n">
        <v>8</v>
      </c>
      <c r="H31" s="16">
        <f>IF(F31&lt;=G31,"LOW STOCK","In Stock")</f>
        <v/>
      </c>
      <c r="I31" s="16" t="inlineStr">
        <is>
          <t>Al Falaj</t>
        </is>
      </c>
      <c r="J31" s="3" t="n">
        <v>45714</v>
      </c>
    </row>
    <row r="32" ht="22" customHeight="1">
      <c r="B32" s="18" t="inlineStr">
        <is>
          <t>PRD028</t>
        </is>
      </c>
      <c r="C32" s="18" t="inlineStr">
        <is>
          <t>Fish (kg)</t>
        </is>
      </c>
      <c r="D32" s="18" t="inlineStr">
        <is>
          <t>Meat</t>
        </is>
      </c>
      <c r="E32" s="10" t="n">
        <v>32</v>
      </c>
      <c r="F32" s="9" t="n">
        <v>3</v>
      </c>
      <c r="G32" s="9" t="n">
        <v>5</v>
      </c>
      <c r="H32" s="18">
        <f>IF(F32&lt;=G32,"LOW STOCK","In Stock")</f>
        <v/>
      </c>
      <c r="I32" s="18" t="inlineStr">
        <is>
          <t>Al Falaj</t>
        </is>
      </c>
      <c r="J32" s="7" t="n">
        <v>45715</v>
      </c>
    </row>
  </sheetData>
  <mergeCells count="1">
    <mergeCell ref="B2:J2"/>
  </mergeCells>
  <conditionalFormatting sqref="H5:H32">
    <cfRule type="cellIs" priority="1" operator="equal" dxfId="0">
      <formula>"LOW STOCK"</formula>
    </cfRule>
    <cfRule type="cellIs" priority="2" operator="equal" dxfId="1">
      <formula>"In Stock"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15" customHeight="1"/>
    <row r="2" ht="32" customHeight="1">
      <c r="B2" s="1" t="inlineStr">
        <is>
          <t>Staff Performance — February 2025</t>
        </is>
      </c>
    </row>
    <row r="3" ht="8" customHeight="1"/>
    <row r="4" ht="28" customHeight="1">
      <c r="B4" s="2" t="inlineStr">
        <is>
          <t>Staff Name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Top Category</t>
        </is>
      </c>
      <c r="G4" s="2" t="inlineStr">
        <is>
          <t>Shift</t>
        </is>
      </c>
      <c r="H4" s="2" t="inlineStr">
        <is>
          <t>Commission (5%)</t>
        </is>
      </c>
    </row>
    <row r="5" ht="22" customHeight="1">
      <c r="B5" s="16" t="inlineStr">
        <is>
          <t>Ahmed</t>
        </is>
      </c>
      <c r="C5" s="6">
        <f>SUMPRODUCT(('Sales Entry'!J5:J89="Ahmed")*('Sales Entry'!H5:H89))</f>
        <v/>
      </c>
      <c r="D5" s="5">
        <f>SUMPRODUCT(('Sales Entry'!J5:J89="Ahmed")*1)</f>
        <v/>
      </c>
      <c r="E5" s="6">
        <f>IFERROR(C5/D5,0)</f>
        <v/>
      </c>
      <c r="F5" s="16">
        <f>IF(AND(SUMPRODUCT(('Sales Entry'!J5:J89="Ahmed")*('Sales Entry'!E5:E89="Dairy")*('Sales Entry'!H5:H89))&gt;=SUMPRODUCT(('Sales Entry'!J5:J89="Ahmed")*('Sales Entry'!E5:E89="Bakery")*('Sales Entry'!H5:H89)),SUMPRODUCT(('Sales Entry'!J5:J89="Ahmed")*('Sales Entry'!E5:E89="Dairy")*('Sales Entry'!H5:H89))&gt;=SUMPRODUCT(('Sales Entry'!J5:J89="Ahmed")*('Sales Entry'!E5:E89="Meat")*('Sales Entry'!H5:H89)),SUMPRODUCT(('Sales Entry'!J5:J89="Ahmed")*('Sales Entry'!E5:E89="Dairy")*('Sales Entry'!H5:H89))&gt;=SUMPRODUCT(('Sales Entry'!J5:J89="Ahmed")*('Sales Entry'!E5:E89="Beverages")*('Sales Entry'!H5:H89)),SUMPRODUCT(('Sales Entry'!J5:J89="Ahmed")*('Sales Entry'!E5:E89="Dairy")*('Sales Entry'!H5:H89))&gt;=SUMPRODUCT(('Sales Entry'!J5:J89="Ahmed")*('Sales Entry'!E5:E89="Snacks")*('Sales Entry'!H5:H89)),SUMPRODUCT(('Sales Entry'!J5:J89="Ahmed")*('Sales Entry'!E5:E89="Dairy")*('Sales Entry'!H5:H89))&gt;=SUMPRODUCT(('Sales Entry'!J5:J89="Ahmed")*('Sales Entry'!E5:E89="Cleaning")*('Sales Entry'!H5:H89)),SUMPRODUCT(('Sales Entry'!J5:J89="Ahmed")*('Sales Entry'!E5:E89="Dairy")*('Sales Entry'!H5:H89))&gt;=SUMPRODUCT(('Sales Entry'!J5:J89="Ahmed")*('Sales Entry'!E5:E89="Produce")*('Sales Entry'!H5:H89)),SUMPRODUCT(('Sales Entry'!J5:J89="Ahmed")*('Sales Entry'!E5:E89="Dairy")*('Sales Entry'!H5:H89))&gt;=SUMPRODUCT(('Sales Entry'!J5:J89="Ahmed")*('Sales Entry'!E5:E89="Grains")*('Sales Entry'!H5:H89))),"Dairy",IF(AND(SUMPRODUCT(('Sales Entry'!J5:J89="Ahmed")*('Sales Entry'!E5:E89="Bakery")*('Sales Entry'!H5:H89))&gt;=SUMPRODUCT(('Sales Entry'!J5:J89="Ahmed")*('Sales Entry'!E5:E89="Dairy")*('Sales Entry'!H5:H89)),SUMPRODUCT(('Sales Entry'!J5:J89="Ahmed")*('Sales Entry'!E5:E89="Bakery")*('Sales Entry'!H5:H89))&gt;=SUMPRODUCT(('Sales Entry'!J5:J89="Ahmed")*('Sales Entry'!E5:E89="Meat")*('Sales Entry'!H5:H89)),SUMPRODUCT(('Sales Entry'!J5:J89="Ahmed")*('Sales Entry'!E5:E89="Bakery")*('Sales Entry'!H5:H89))&gt;=SUMPRODUCT(('Sales Entry'!J5:J89="Ahmed")*('Sales Entry'!E5:E89="Beverages")*('Sales Entry'!H5:H89)),SUMPRODUCT(('Sales Entry'!J5:J89="Ahmed")*('Sales Entry'!E5:E89="Bakery")*('Sales Entry'!H5:H89))&gt;=SUMPRODUCT(('Sales Entry'!J5:J89="Ahmed")*('Sales Entry'!E5:E89="Snacks")*('Sales Entry'!H5:H89)),SUMPRODUCT(('Sales Entry'!J5:J89="Ahmed")*('Sales Entry'!E5:E89="Bakery")*('Sales Entry'!H5:H89))&gt;=SUMPRODUCT(('Sales Entry'!J5:J89="Ahmed")*('Sales Entry'!E5:E89="Cleaning")*('Sales Entry'!H5:H89)),SUMPRODUCT(('Sales Entry'!J5:J89="Ahmed")*('Sales Entry'!E5:E89="Bakery")*('Sales Entry'!H5:H89))&gt;=SUMPRODUCT(('Sales Entry'!J5:J89="Ahmed")*('Sales Entry'!E5:E89="Produce")*('Sales Entry'!H5:H89)),SUMPRODUCT(('Sales Entry'!J5:J89="Ahmed")*('Sales Entry'!E5:E89="Bakery")*('Sales Entry'!H5:H89))&gt;=SUMPRODUCT(('Sales Entry'!J5:J89="Ahmed")*('Sales Entry'!E5:E89="Grains")*('Sales Entry'!H5:H89))),"Bakery",IF(AND(SUMPRODUCT(('Sales Entry'!J5:J89="Ahmed")*('Sales Entry'!E5:E89="Meat")*('Sales Entry'!H5:H89))&gt;=SUMPRODUCT(('Sales Entry'!J5:J89="Ahmed")*('Sales Entry'!E5:E89="Dairy")*('Sales Entry'!H5:H89)),SUMPRODUCT(('Sales Entry'!J5:J89="Ahmed")*('Sales Entry'!E5:E89="Meat")*('Sales Entry'!H5:H89))&gt;=SUMPRODUCT(('Sales Entry'!J5:J89="Ahmed")*('Sales Entry'!E5:E89="Bakery")*('Sales Entry'!H5:H89)),SUMPRODUCT(('Sales Entry'!J5:J89="Ahmed")*('Sales Entry'!E5:E89="Meat")*('Sales Entry'!H5:H89))&gt;=SUMPRODUCT(('Sales Entry'!J5:J89="Ahmed")*('Sales Entry'!E5:E89="Beverages")*('Sales Entry'!H5:H89)),SUMPRODUCT(('Sales Entry'!J5:J89="Ahmed")*('Sales Entry'!E5:E89="Meat")*('Sales Entry'!H5:H89))&gt;=SUMPRODUCT(('Sales Entry'!J5:J89="Ahmed")*('Sales Entry'!E5:E89="Snacks")*('Sales Entry'!H5:H89)),SUMPRODUCT(('Sales Entry'!J5:J89="Ahmed")*('Sales Entry'!E5:E89="Meat")*('Sales Entry'!H5:H89))&gt;=SUMPRODUCT(('Sales Entry'!J5:J89="Ahmed")*('Sales Entry'!E5:E89="Cleaning")*('Sales Entry'!H5:H89)),SUMPRODUCT(('Sales Entry'!J5:J89="Ahmed")*('Sales Entry'!E5:E89="Meat")*('Sales Entry'!H5:H89))&gt;=SUMPRODUCT(('Sales Entry'!J5:J89="Ahmed")*('Sales Entry'!E5:E89="Produce")*('Sales Entry'!H5:H89)),SUMPRODUCT(('Sales Entry'!J5:J89="Ahmed")*('Sales Entry'!E5:E89="Meat")*('Sales Entry'!H5:H89))&gt;=SUMPRODUCT(('Sales Entry'!J5:J89="Ahmed")*('Sales Entry'!E5:E89="Grains")*('Sales Entry'!H5:H89))),"Meat",IF(AND(SUMPRODUCT(('Sales Entry'!J5:J89="Ahmed")*('Sales Entry'!E5:E89="Beverages")*('Sales Entry'!H5:H89))&gt;=SUMPRODUCT(('Sales Entry'!J5:J89="Ahmed")*('Sales Entry'!E5:E89="Dairy")*('Sales Entry'!H5:H89)),SUMPRODUCT(('Sales Entry'!J5:J89="Ahmed")*('Sales Entry'!E5:E89="Beverages")*('Sales Entry'!H5:H89))&gt;=SUMPRODUCT(('Sales Entry'!J5:J89="Ahmed")*('Sales Entry'!E5:E89="Bakery")*('Sales Entry'!H5:H89)),SUMPRODUCT(('Sales Entry'!J5:J89="Ahmed")*('Sales Entry'!E5:E89="Beverages")*('Sales Entry'!H5:H89))&gt;=SUMPRODUCT(('Sales Entry'!J5:J89="Ahmed")*('Sales Entry'!E5:E89="Meat")*('Sales Entry'!H5:H89)),SUMPRODUCT(('Sales Entry'!J5:J89="Ahmed")*('Sales Entry'!E5:E89="Beverages")*('Sales Entry'!H5:H89))&gt;=SUMPRODUCT(('Sales Entry'!J5:J89="Ahmed")*('Sales Entry'!E5:E89="Snacks")*('Sales Entry'!H5:H89)),SUMPRODUCT(('Sales Entry'!J5:J89="Ahmed")*('Sales Entry'!E5:E89="Beverages")*('Sales Entry'!H5:H89))&gt;=SUMPRODUCT(('Sales Entry'!J5:J89="Ahmed")*('Sales Entry'!E5:E89="Cleaning")*('Sales Entry'!H5:H89)),SUMPRODUCT(('Sales Entry'!J5:J89="Ahmed")*('Sales Entry'!E5:E89="Beverages")*('Sales Entry'!H5:H89))&gt;=SUMPRODUCT(('Sales Entry'!J5:J89="Ahmed")*('Sales Entry'!E5:E89="Produce")*('Sales Entry'!H5:H89)),SUMPRODUCT(('Sales Entry'!J5:J89="Ahmed")*('Sales Entry'!E5:E89="Beverages")*('Sales Entry'!H5:H89))&gt;=SUMPRODUCT(('Sales Entry'!J5:J89="Ahmed")*('Sales Entry'!E5:E89="Grains")*('Sales Entry'!H5:H89))),"Beverages",IF(AND(SUMPRODUCT(('Sales Entry'!J5:J89="Ahmed")*('Sales Entry'!E5:E89="Snacks")*('Sales Entry'!H5:H89))&gt;=SUMPRODUCT(('Sales Entry'!J5:J89="Ahmed")*('Sales Entry'!E5:E89="Dairy")*('Sales Entry'!H5:H89)),SUMPRODUCT(('Sales Entry'!J5:J89="Ahmed")*('Sales Entry'!E5:E89="Snacks")*('Sales Entry'!H5:H89))&gt;=SUMPRODUCT(('Sales Entry'!J5:J89="Ahmed")*('Sales Entry'!E5:E89="Bakery")*('Sales Entry'!H5:H89)),SUMPRODUCT(('Sales Entry'!J5:J89="Ahmed")*('Sales Entry'!E5:E89="Snacks")*('Sales Entry'!H5:H89))&gt;=SUMPRODUCT(('Sales Entry'!J5:J89="Ahmed")*('Sales Entry'!E5:E89="Meat")*('Sales Entry'!H5:H89)),SUMPRODUCT(('Sales Entry'!J5:J89="Ahmed")*('Sales Entry'!E5:E89="Snacks")*('Sales Entry'!H5:H89))&gt;=SUMPRODUCT(('Sales Entry'!J5:J89="Ahmed")*('Sales Entry'!E5:E89="Beverages")*('Sales Entry'!H5:H89)),SUMPRODUCT(('Sales Entry'!J5:J89="Ahmed")*('Sales Entry'!E5:E89="Snacks")*('Sales Entry'!H5:H89))&gt;=SUMPRODUCT(('Sales Entry'!J5:J89="Ahmed")*('Sales Entry'!E5:E89="Cleaning")*('Sales Entry'!H5:H89)),SUMPRODUCT(('Sales Entry'!J5:J89="Ahmed")*('Sales Entry'!E5:E89="Snacks")*('Sales Entry'!H5:H89))&gt;=SUMPRODUCT(('Sales Entry'!J5:J89="Ahmed")*('Sales Entry'!E5:E89="Produce")*('Sales Entry'!H5:H89)),SUMPRODUCT(('Sales Entry'!J5:J89="Ahmed")*('Sales Entry'!E5:E89="Snacks")*('Sales Entry'!H5:H89))&gt;=SUMPRODUCT(('Sales Entry'!J5:J89="Ahmed")*('Sales Entry'!E5:E89="Grains")*('Sales Entry'!H5:H89))),"Snacks",IF(AND(SUMPRODUCT(('Sales Entry'!J5:J89="Ahmed")*('Sales Entry'!E5:E89="Cleaning")*('Sales Entry'!H5:H89))&gt;=SUMPRODUCT(('Sales Entry'!J5:J89="Ahmed")*('Sales Entry'!E5:E89="Dairy")*('Sales Entry'!H5:H89)),SUMPRODUCT(('Sales Entry'!J5:J89="Ahmed")*('Sales Entry'!E5:E89="Cleaning")*('Sales Entry'!H5:H89))&gt;=SUMPRODUCT(('Sales Entry'!J5:J89="Ahmed")*('Sales Entry'!E5:E89="Bakery")*('Sales Entry'!H5:H89)),SUMPRODUCT(('Sales Entry'!J5:J89="Ahmed")*('Sales Entry'!E5:E89="Cleaning")*('Sales Entry'!H5:H89))&gt;=SUMPRODUCT(('Sales Entry'!J5:J89="Ahmed")*('Sales Entry'!E5:E89="Meat")*('Sales Entry'!H5:H89)),SUMPRODUCT(('Sales Entry'!J5:J89="Ahmed")*('Sales Entry'!E5:E89="Cleaning")*('Sales Entry'!H5:H89))&gt;=SUMPRODUCT(('Sales Entry'!J5:J89="Ahmed")*('Sales Entry'!E5:E89="Beverages")*('Sales Entry'!H5:H89)),SUMPRODUCT(('Sales Entry'!J5:J89="Ahmed")*('Sales Entry'!E5:E89="Cleaning")*('Sales Entry'!H5:H89))&gt;=SUMPRODUCT(('Sales Entry'!J5:J89="Ahmed")*('Sales Entry'!E5:E89="Snacks")*('Sales Entry'!H5:H89)),SUMPRODUCT(('Sales Entry'!J5:J89="Ahmed")*('Sales Entry'!E5:E89="Cleaning")*('Sales Entry'!H5:H89))&gt;=SUMPRODUCT(('Sales Entry'!J5:J89="Ahmed")*('Sales Entry'!E5:E89="Produce")*('Sales Entry'!H5:H89)),SUMPRODUCT(('Sales Entry'!J5:J89="Ahmed")*('Sales Entry'!E5:E89="Cleaning")*('Sales Entry'!H5:H89))&gt;=SUMPRODUCT(('Sales Entry'!J5:J89="Ahmed")*('Sales Entry'!E5:E89="Grains")*('Sales Entry'!H5:H89))),"Cleaning",IF(AND(SUMPRODUCT(('Sales Entry'!J5:J89="Ahmed")*('Sales Entry'!E5:E89="Produce")*('Sales Entry'!H5:H89))&gt;=SUMPRODUCT(('Sales Entry'!J5:J89="Ahmed")*('Sales Entry'!E5:E89="Dairy")*('Sales Entry'!H5:H89)),SUMPRODUCT(('Sales Entry'!J5:J89="Ahmed")*('Sales Entry'!E5:E89="Produce")*('Sales Entry'!H5:H89))&gt;=SUMPRODUCT(('Sales Entry'!J5:J89="Ahmed")*('Sales Entry'!E5:E89="Bakery")*('Sales Entry'!H5:H89)),SUMPRODUCT(('Sales Entry'!J5:J89="Ahmed")*('Sales Entry'!E5:E89="Produce")*('Sales Entry'!H5:H89))&gt;=SUMPRODUCT(('Sales Entry'!J5:J89="Ahmed")*('Sales Entry'!E5:E89="Meat")*('Sales Entry'!H5:H89)),SUMPRODUCT(('Sales Entry'!J5:J89="Ahmed")*('Sales Entry'!E5:E89="Produce")*('Sales Entry'!H5:H89))&gt;=SUMPRODUCT(('Sales Entry'!J5:J89="Ahmed")*('Sales Entry'!E5:E89="Beverages")*('Sales Entry'!H5:H89)),SUMPRODUCT(('Sales Entry'!J5:J89="Ahmed")*('Sales Entry'!E5:E89="Produce")*('Sales Entry'!H5:H89))&gt;=SUMPRODUCT(('Sales Entry'!J5:J89="Ahmed")*('Sales Entry'!E5:E89="Snacks")*('Sales Entry'!H5:H89)),SUMPRODUCT(('Sales Entry'!J5:J89="Ahmed")*('Sales Entry'!E5:E89="Produce")*('Sales Entry'!H5:H89))&gt;=SUMPRODUCT(('Sales Entry'!J5:J89="Ahmed")*('Sales Entry'!E5:E89="Cleaning")*('Sales Entry'!H5:H89)),SUMPRODUCT(('Sales Entry'!J5:J89="Ahmed")*('Sales Entry'!E5:E89="Produce")*('Sales Entry'!H5:H89))&gt;=SUMPRODUCT(('Sales Entry'!J5:J89="Ahmed")*('Sales Entry'!E5:E89="Grains")*('Sales Entry'!H5:H89))),"Produce","Grains"))))))</f>
        <v/>
      </c>
      <c r="G5" s="16" t="inlineStr">
        <is>
          <t>Morning</t>
        </is>
      </c>
      <c r="H5" s="6">
        <f>C5*0.05</f>
        <v/>
      </c>
    </row>
    <row r="6" ht="22" customHeight="1">
      <c r="B6" s="18" t="inlineStr">
        <is>
          <t>Fatima</t>
        </is>
      </c>
      <c r="C6" s="10">
        <f>SUMPRODUCT(('Sales Entry'!J5:J89="Fatima")*('Sales Entry'!H5:H89))</f>
        <v/>
      </c>
      <c r="D6" s="9">
        <f>SUMPRODUCT(('Sales Entry'!J5:J89="Fatima")*1)</f>
        <v/>
      </c>
      <c r="E6" s="10">
        <f>IFERROR(C6/D6,0)</f>
        <v/>
      </c>
      <c r="F6" s="18">
        <f>IF(AND(SUMPRODUCT(('Sales Entry'!J5:J89="Fatima")*('Sales Entry'!E5:E89="Dairy")*('Sales Entry'!H5:H89))&gt;=SUMPRODUCT(('Sales Entry'!J5:J89="Fatima")*('Sales Entry'!E5:E89="Bakery")*('Sales Entry'!H5:H89)),SUMPRODUCT(('Sales Entry'!J5:J89="Fatima")*('Sales Entry'!E5:E89="Dairy")*('Sales Entry'!H5:H89))&gt;=SUMPRODUCT(('Sales Entry'!J5:J89="Fatima")*('Sales Entry'!E5:E89="Meat")*('Sales Entry'!H5:H89)),SUMPRODUCT(('Sales Entry'!J5:J89="Fatima")*('Sales Entry'!E5:E89="Dairy")*('Sales Entry'!H5:H89))&gt;=SUMPRODUCT(('Sales Entry'!J5:J89="Fatima")*('Sales Entry'!E5:E89="Beverages")*('Sales Entry'!H5:H89)),SUMPRODUCT(('Sales Entry'!J5:J89="Fatima")*('Sales Entry'!E5:E89="Dairy")*('Sales Entry'!H5:H89))&gt;=SUMPRODUCT(('Sales Entry'!J5:J89="Fatima")*('Sales Entry'!E5:E89="Snacks")*('Sales Entry'!H5:H89)),SUMPRODUCT(('Sales Entry'!J5:J89="Fatima")*('Sales Entry'!E5:E89="Dairy")*('Sales Entry'!H5:H89))&gt;=SUMPRODUCT(('Sales Entry'!J5:J89="Fatima")*('Sales Entry'!E5:E89="Cleaning")*('Sales Entry'!H5:H89)),SUMPRODUCT(('Sales Entry'!J5:J89="Fatima")*('Sales Entry'!E5:E89="Dairy")*('Sales Entry'!H5:H89))&gt;=SUMPRODUCT(('Sales Entry'!J5:J89="Fatima")*('Sales Entry'!E5:E89="Produce")*('Sales Entry'!H5:H89)),SUMPRODUCT(('Sales Entry'!J5:J89="Fatima")*('Sales Entry'!E5:E89="Dairy")*('Sales Entry'!H5:H89))&gt;=SUMPRODUCT(('Sales Entry'!J5:J89="Fatima")*('Sales Entry'!E5:E89="Grains")*('Sales Entry'!H5:H89))),"Dairy",IF(AND(SUMPRODUCT(('Sales Entry'!J5:J89="Fatima")*('Sales Entry'!E5:E89="Bakery")*('Sales Entry'!H5:H89))&gt;=SUMPRODUCT(('Sales Entry'!J5:J89="Fatima")*('Sales Entry'!E5:E89="Dairy")*('Sales Entry'!H5:H89)),SUMPRODUCT(('Sales Entry'!J5:J89="Fatima")*('Sales Entry'!E5:E89="Bakery")*('Sales Entry'!H5:H89))&gt;=SUMPRODUCT(('Sales Entry'!J5:J89="Fatima")*('Sales Entry'!E5:E89="Meat")*('Sales Entry'!H5:H89)),SUMPRODUCT(('Sales Entry'!J5:J89="Fatima")*('Sales Entry'!E5:E89="Bakery")*('Sales Entry'!H5:H89))&gt;=SUMPRODUCT(('Sales Entry'!J5:J89="Fatima")*('Sales Entry'!E5:E89="Beverages")*('Sales Entry'!H5:H89)),SUMPRODUCT(('Sales Entry'!J5:J89="Fatima")*('Sales Entry'!E5:E89="Bakery")*('Sales Entry'!H5:H89))&gt;=SUMPRODUCT(('Sales Entry'!J5:J89="Fatima")*('Sales Entry'!E5:E89="Snacks")*('Sales Entry'!H5:H89)),SUMPRODUCT(('Sales Entry'!J5:J89="Fatima")*('Sales Entry'!E5:E89="Bakery")*('Sales Entry'!H5:H89))&gt;=SUMPRODUCT(('Sales Entry'!J5:J89="Fatima")*('Sales Entry'!E5:E89="Cleaning")*('Sales Entry'!H5:H89)),SUMPRODUCT(('Sales Entry'!J5:J89="Fatima")*('Sales Entry'!E5:E89="Bakery")*('Sales Entry'!H5:H89))&gt;=SUMPRODUCT(('Sales Entry'!J5:J89="Fatima")*('Sales Entry'!E5:E89="Produce")*('Sales Entry'!H5:H89)),SUMPRODUCT(('Sales Entry'!J5:J89="Fatima")*('Sales Entry'!E5:E89="Bakery")*('Sales Entry'!H5:H89))&gt;=SUMPRODUCT(('Sales Entry'!J5:J89="Fatima")*('Sales Entry'!E5:E89="Grains")*('Sales Entry'!H5:H89))),"Bakery",IF(AND(SUMPRODUCT(('Sales Entry'!J5:J89="Fatima")*('Sales Entry'!E5:E89="Meat")*('Sales Entry'!H5:H89))&gt;=SUMPRODUCT(('Sales Entry'!J5:J89="Fatima")*('Sales Entry'!E5:E89="Dairy")*('Sales Entry'!H5:H89)),SUMPRODUCT(('Sales Entry'!J5:J89="Fatima")*('Sales Entry'!E5:E89="Meat")*('Sales Entry'!H5:H89))&gt;=SUMPRODUCT(('Sales Entry'!J5:J89="Fatima")*('Sales Entry'!E5:E89="Bakery")*('Sales Entry'!H5:H89)),SUMPRODUCT(('Sales Entry'!J5:J89="Fatima")*('Sales Entry'!E5:E89="Meat")*('Sales Entry'!H5:H89))&gt;=SUMPRODUCT(('Sales Entry'!J5:J89="Fatima")*('Sales Entry'!E5:E89="Beverages")*('Sales Entry'!H5:H89)),SUMPRODUCT(('Sales Entry'!J5:J89="Fatima")*('Sales Entry'!E5:E89="Meat")*('Sales Entry'!H5:H89))&gt;=SUMPRODUCT(('Sales Entry'!J5:J89="Fatima")*('Sales Entry'!E5:E89="Snacks")*('Sales Entry'!H5:H89)),SUMPRODUCT(('Sales Entry'!J5:J89="Fatima")*('Sales Entry'!E5:E89="Meat")*('Sales Entry'!H5:H89))&gt;=SUMPRODUCT(('Sales Entry'!J5:J89="Fatima")*('Sales Entry'!E5:E89="Cleaning")*('Sales Entry'!H5:H89)),SUMPRODUCT(('Sales Entry'!J5:J89="Fatima")*('Sales Entry'!E5:E89="Meat")*('Sales Entry'!H5:H89))&gt;=SUMPRODUCT(('Sales Entry'!J5:J89="Fatima")*('Sales Entry'!E5:E89="Produce")*('Sales Entry'!H5:H89)),SUMPRODUCT(('Sales Entry'!J5:J89="Fatima")*('Sales Entry'!E5:E89="Meat")*('Sales Entry'!H5:H89))&gt;=SUMPRODUCT(('Sales Entry'!J5:J89="Fatima")*('Sales Entry'!E5:E89="Grains")*('Sales Entry'!H5:H89))),"Meat",IF(AND(SUMPRODUCT(('Sales Entry'!J5:J89="Fatima")*('Sales Entry'!E5:E89="Beverages")*('Sales Entry'!H5:H89))&gt;=SUMPRODUCT(('Sales Entry'!J5:J89="Fatima")*('Sales Entry'!E5:E89="Dairy")*('Sales Entry'!H5:H89)),SUMPRODUCT(('Sales Entry'!J5:J89="Fatima")*('Sales Entry'!E5:E89="Beverages")*('Sales Entry'!H5:H89))&gt;=SUMPRODUCT(('Sales Entry'!J5:J89="Fatima")*('Sales Entry'!E5:E89="Bakery")*('Sales Entry'!H5:H89)),SUMPRODUCT(('Sales Entry'!J5:J89="Fatima")*('Sales Entry'!E5:E89="Beverages")*('Sales Entry'!H5:H89))&gt;=SUMPRODUCT(('Sales Entry'!J5:J89="Fatima")*('Sales Entry'!E5:E89="Meat")*('Sales Entry'!H5:H89)),SUMPRODUCT(('Sales Entry'!J5:J89="Fatima")*('Sales Entry'!E5:E89="Beverages")*('Sales Entry'!H5:H89))&gt;=SUMPRODUCT(('Sales Entry'!J5:J89="Fatima")*('Sales Entry'!E5:E89="Snacks")*('Sales Entry'!H5:H89)),SUMPRODUCT(('Sales Entry'!J5:J89="Fatima")*('Sales Entry'!E5:E89="Beverages")*('Sales Entry'!H5:H89))&gt;=SUMPRODUCT(('Sales Entry'!J5:J89="Fatima")*('Sales Entry'!E5:E89="Cleaning")*('Sales Entry'!H5:H89)),SUMPRODUCT(('Sales Entry'!J5:J89="Fatima")*('Sales Entry'!E5:E89="Beverages")*('Sales Entry'!H5:H89))&gt;=SUMPRODUCT(('Sales Entry'!J5:J89="Fatima")*('Sales Entry'!E5:E89="Produce")*('Sales Entry'!H5:H89)),SUMPRODUCT(('Sales Entry'!J5:J89="Fatima")*('Sales Entry'!E5:E89="Beverages")*('Sales Entry'!H5:H89))&gt;=SUMPRODUCT(('Sales Entry'!J5:J89="Fatima")*('Sales Entry'!E5:E89="Grains")*('Sales Entry'!H5:H89))),"Beverages",IF(AND(SUMPRODUCT(('Sales Entry'!J5:J89="Fatima")*('Sales Entry'!E5:E89="Snacks")*('Sales Entry'!H5:H89))&gt;=SUMPRODUCT(('Sales Entry'!J5:J89="Fatima")*('Sales Entry'!E5:E89="Dairy")*('Sales Entry'!H5:H89)),SUMPRODUCT(('Sales Entry'!J5:J89="Fatima")*('Sales Entry'!E5:E89="Snacks")*('Sales Entry'!H5:H89))&gt;=SUMPRODUCT(('Sales Entry'!J5:J89="Fatima")*('Sales Entry'!E5:E89="Bakery")*('Sales Entry'!H5:H89)),SUMPRODUCT(('Sales Entry'!J5:J89="Fatima")*('Sales Entry'!E5:E89="Snacks")*('Sales Entry'!H5:H89))&gt;=SUMPRODUCT(('Sales Entry'!J5:J89="Fatima")*('Sales Entry'!E5:E89="Meat")*('Sales Entry'!H5:H89)),SUMPRODUCT(('Sales Entry'!J5:J89="Fatima")*('Sales Entry'!E5:E89="Snacks")*('Sales Entry'!H5:H89))&gt;=SUMPRODUCT(('Sales Entry'!J5:J89="Fatima")*('Sales Entry'!E5:E89="Beverages")*('Sales Entry'!H5:H89)),SUMPRODUCT(('Sales Entry'!J5:J89="Fatima")*('Sales Entry'!E5:E89="Snacks")*('Sales Entry'!H5:H89))&gt;=SUMPRODUCT(('Sales Entry'!J5:J89="Fatima")*('Sales Entry'!E5:E89="Cleaning")*('Sales Entry'!H5:H89)),SUMPRODUCT(('Sales Entry'!J5:J89="Fatima")*('Sales Entry'!E5:E89="Snacks")*('Sales Entry'!H5:H89))&gt;=SUMPRODUCT(('Sales Entry'!J5:J89="Fatima")*('Sales Entry'!E5:E89="Produce")*('Sales Entry'!H5:H89)),SUMPRODUCT(('Sales Entry'!J5:J89="Fatima")*('Sales Entry'!E5:E89="Snacks")*('Sales Entry'!H5:H89))&gt;=SUMPRODUCT(('Sales Entry'!J5:J89="Fatima")*('Sales Entry'!E5:E89="Grains")*('Sales Entry'!H5:H89))),"Snacks",IF(AND(SUMPRODUCT(('Sales Entry'!J5:J89="Fatima")*('Sales Entry'!E5:E89="Cleaning")*('Sales Entry'!H5:H89))&gt;=SUMPRODUCT(('Sales Entry'!J5:J89="Fatima")*('Sales Entry'!E5:E89="Dairy")*('Sales Entry'!H5:H89)),SUMPRODUCT(('Sales Entry'!J5:J89="Fatima")*('Sales Entry'!E5:E89="Cleaning")*('Sales Entry'!H5:H89))&gt;=SUMPRODUCT(('Sales Entry'!J5:J89="Fatima")*('Sales Entry'!E5:E89="Bakery")*('Sales Entry'!H5:H89)),SUMPRODUCT(('Sales Entry'!J5:J89="Fatima")*('Sales Entry'!E5:E89="Cleaning")*('Sales Entry'!H5:H89))&gt;=SUMPRODUCT(('Sales Entry'!J5:J89="Fatima")*('Sales Entry'!E5:E89="Meat")*('Sales Entry'!H5:H89)),SUMPRODUCT(('Sales Entry'!J5:J89="Fatima")*('Sales Entry'!E5:E89="Cleaning")*('Sales Entry'!H5:H89))&gt;=SUMPRODUCT(('Sales Entry'!J5:J89="Fatima")*('Sales Entry'!E5:E89="Beverages")*('Sales Entry'!H5:H89)),SUMPRODUCT(('Sales Entry'!J5:J89="Fatima")*('Sales Entry'!E5:E89="Cleaning")*('Sales Entry'!H5:H89))&gt;=SUMPRODUCT(('Sales Entry'!J5:J89="Fatima")*('Sales Entry'!E5:E89="Snacks")*('Sales Entry'!H5:H89)),SUMPRODUCT(('Sales Entry'!J5:J89="Fatima")*('Sales Entry'!E5:E89="Cleaning")*('Sales Entry'!H5:H89))&gt;=SUMPRODUCT(('Sales Entry'!J5:J89="Fatima")*('Sales Entry'!E5:E89="Produce")*('Sales Entry'!H5:H89)),SUMPRODUCT(('Sales Entry'!J5:J89="Fatima")*('Sales Entry'!E5:E89="Cleaning")*('Sales Entry'!H5:H89))&gt;=SUMPRODUCT(('Sales Entry'!J5:J89="Fatima")*('Sales Entry'!E5:E89="Grains")*('Sales Entry'!H5:H89))),"Cleaning",IF(AND(SUMPRODUCT(('Sales Entry'!J5:J89="Fatima")*('Sales Entry'!E5:E89="Produce")*('Sales Entry'!H5:H89))&gt;=SUMPRODUCT(('Sales Entry'!J5:J89="Fatima")*('Sales Entry'!E5:E89="Dairy")*('Sales Entry'!H5:H89)),SUMPRODUCT(('Sales Entry'!J5:J89="Fatima")*('Sales Entry'!E5:E89="Produce")*('Sales Entry'!H5:H89))&gt;=SUMPRODUCT(('Sales Entry'!J5:J89="Fatima")*('Sales Entry'!E5:E89="Bakery")*('Sales Entry'!H5:H89)),SUMPRODUCT(('Sales Entry'!J5:J89="Fatima")*('Sales Entry'!E5:E89="Produce")*('Sales Entry'!H5:H89))&gt;=SUMPRODUCT(('Sales Entry'!J5:J89="Fatima")*('Sales Entry'!E5:E89="Meat")*('Sales Entry'!H5:H89)),SUMPRODUCT(('Sales Entry'!J5:J89="Fatima")*('Sales Entry'!E5:E89="Produce")*('Sales Entry'!H5:H89))&gt;=SUMPRODUCT(('Sales Entry'!J5:J89="Fatima")*('Sales Entry'!E5:E89="Beverages")*('Sales Entry'!H5:H89)),SUMPRODUCT(('Sales Entry'!J5:J89="Fatima")*('Sales Entry'!E5:E89="Produce")*('Sales Entry'!H5:H89))&gt;=SUMPRODUCT(('Sales Entry'!J5:J89="Fatima")*('Sales Entry'!E5:E89="Snacks")*('Sales Entry'!H5:H89)),SUMPRODUCT(('Sales Entry'!J5:J89="Fatima")*('Sales Entry'!E5:E89="Produce")*('Sales Entry'!H5:H89))&gt;=SUMPRODUCT(('Sales Entry'!J5:J89="Fatima")*('Sales Entry'!E5:E89="Cleaning")*('Sales Entry'!H5:H89)),SUMPRODUCT(('Sales Entry'!J5:J89="Fatima")*('Sales Entry'!E5:E89="Produce")*('Sales Entry'!H5:H89))&gt;=SUMPRODUCT(('Sales Entry'!J5:J89="Fatima")*('Sales Entry'!E5:E89="Grains")*('Sales Entry'!H5:H89))),"Produce","Grains"))))))</f>
        <v/>
      </c>
      <c r="G6" s="18" t="inlineStr">
        <is>
          <t>Morning</t>
        </is>
      </c>
      <c r="H6" s="10">
        <f>C6*0.05</f>
        <v/>
      </c>
    </row>
    <row r="7" ht="22" customHeight="1">
      <c r="B7" s="16" t="inlineStr">
        <is>
          <t>Omar</t>
        </is>
      </c>
      <c r="C7" s="6">
        <f>SUMPRODUCT(('Sales Entry'!J5:J89="Omar")*('Sales Entry'!H5:H89))</f>
        <v/>
      </c>
      <c r="D7" s="5">
        <f>SUMPRODUCT(('Sales Entry'!J5:J89="Omar")*1)</f>
        <v/>
      </c>
      <c r="E7" s="6">
        <f>IFERROR(C7/D7,0)</f>
        <v/>
      </c>
      <c r="F7" s="16">
        <f>IF(AND(SUMPRODUCT(('Sales Entry'!J5:J89="Omar")*('Sales Entry'!E5:E89="Dairy")*('Sales Entry'!H5:H89))&gt;=SUMPRODUCT(('Sales Entry'!J5:J89="Omar")*('Sales Entry'!E5:E89="Bakery")*('Sales Entry'!H5:H89)),SUMPRODUCT(('Sales Entry'!J5:J89="Omar")*('Sales Entry'!E5:E89="Dairy")*('Sales Entry'!H5:H89))&gt;=SUMPRODUCT(('Sales Entry'!J5:J89="Omar")*('Sales Entry'!E5:E89="Meat")*('Sales Entry'!H5:H89)),SUMPRODUCT(('Sales Entry'!J5:J89="Omar")*('Sales Entry'!E5:E89="Dairy")*('Sales Entry'!H5:H89))&gt;=SUMPRODUCT(('Sales Entry'!J5:J89="Omar")*('Sales Entry'!E5:E89="Beverages")*('Sales Entry'!H5:H89)),SUMPRODUCT(('Sales Entry'!J5:J89="Omar")*('Sales Entry'!E5:E89="Dairy")*('Sales Entry'!H5:H89))&gt;=SUMPRODUCT(('Sales Entry'!J5:J89="Omar")*('Sales Entry'!E5:E89="Snacks")*('Sales Entry'!H5:H89)),SUMPRODUCT(('Sales Entry'!J5:J89="Omar")*('Sales Entry'!E5:E89="Dairy")*('Sales Entry'!H5:H89))&gt;=SUMPRODUCT(('Sales Entry'!J5:J89="Omar")*('Sales Entry'!E5:E89="Cleaning")*('Sales Entry'!H5:H89)),SUMPRODUCT(('Sales Entry'!J5:J89="Omar")*('Sales Entry'!E5:E89="Dairy")*('Sales Entry'!H5:H89))&gt;=SUMPRODUCT(('Sales Entry'!J5:J89="Omar")*('Sales Entry'!E5:E89="Produce")*('Sales Entry'!H5:H89)),SUMPRODUCT(('Sales Entry'!J5:J89="Omar")*('Sales Entry'!E5:E89="Dairy")*('Sales Entry'!H5:H89))&gt;=SUMPRODUCT(('Sales Entry'!J5:J89="Omar")*('Sales Entry'!E5:E89="Grains")*('Sales Entry'!H5:H89))),"Dairy",IF(AND(SUMPRODUCT(('Sales Entry'!J5:J89="Omar")*('Sales Entry'!E5:E89="Bakery")*('Sales Entry'!H5:H89))&gt;=SUMPRODUCT(('Sales Entry'!J5:J89="Omar")*('Sales Entry'!E5:E89="Dairy")*('Sales Entry'!H5:H89)),SUMPRODUCT(('Sales Entry'!J5:J89="Omar")*('Sales Entry'!E5:E89="Bakery")*('Sales Entry'!H5:H89))&gt;=SUMPRODUCT(('Sales Entry'!J5:J89="Omar")*('Sales Entry'!E5:E89="Meat")*('Sales Entry'!H5:H89)),SUMPRODUCT(('Sales Entry'!J5:J89="Omar")*('Sales Entry'!E5:E89="Bakery")*('Sales Entry'!H5:H89))&gt;=SUMPRODUCT(('Sales Entry'!J5:J89="Omar")*('Sales Entry'!E5:E89="Beverages")*('Sales Entry'!H5:H89)),SUMPRODUCT(('Sales Entry'!J5:J89="Omar")*('Sales Entry'!E5:E89="Bakery")*('Sales Entry'!H5:H89))&gt;=SUMPRODUCT(('Sales Entry'!J5:J89="Omar")*('Sales Entry'!E5:E89="Snacks")*('Sales Entry'!H5:H89)),SUMPRODUCT(('Sales Entry'!J5:J89="Omar")*('Sales Entry'!E5:E89="Bakery")*('Sales Entry'!H5:H89))&gt;=SUMPRODUCT(('Sales Entry'!J5:J89="Omar")*('Sales Entry'!E5:E89="Cleaning")*('Sales Entry'!H5:H89)),SUMPRODUCT(('Sales Entry'!J5:J89="Omar")*('Sales Entry'!E5:E89="Bakery")*('Sales Entry'!H5:H89))&gt;=SUMPRODUCT(('Sales Entry'!J5:J89="Omar")*('Sales Entry'!E5:E89="Produce")*('Sales Entry'!H5:H89)),SUMPRODUCT(('Sales Entry'!J5:J89="Omar")*('Sales Entry'!E5:E89="Bakery")*('Sales Entry'!H5:H89))&gt;=SUMPRODUCT(('Sales Entry'!J5:J89="Omar")*('Sales Entry'!E5:E89="Grains")*('Sales Entry'!H5:H89))),"Bakery",IF(AND(SUMPRODUCT(('Sales Entry'!J5:J89="Omar")*('Sales Entry'!E5:E89="Meat")*('Sales Entry'!H5:H89))&gt;=SUMPRODUCT(('Sales Entry'!J5:J89="Omar")*('Sales Entry'!E5:E89="Dairy")*('Sales Entry'!H5:H89)),SUMPRODUCT(('Sales Entry'!J5:J89="Omar")*('Sales Entry'!E5:E89="Meat")*('Sales Entry'!H5:H89))&gt;=SUMPRODUCT(('Sales Entry'!J5:J89="Omar")*('Sales Entry'!E5:E89="Bakery")*('Sales Entry'!H5:H89)),SUMPRODUCT(('Sales Entry'!J5:J89="Omar")*('Sales Entry'!E5:E89="Meat")*('Sales Entry'!H5:H89))&gt;=SUMPRODUCT(('Sales Entry'!J5:J89="Omar")*('Sales Entry'!E5:E89="Beverages")*('Sales Entry'!H5:H89)),SUMPRODUCT(('Sales Entry'!J5:J89="Omar")*('Sales Entry'!E5:E89="Meat")*('Sales Entry'!H5:H89))&gt;=SUMPRODUCT(('Sales Entry'!J5:J89="Omar")*('Sales Entry'!E5:E89="Snacks")*('Sales Entry'!H5:H89)),SUMPRODUCT(('Sales Entry'!J5:J89="Omar")*('Sales Entry'!E5:E89="Meat")*('Sales Entry'!H5:H89))&gt;=SUMPRODUCT(('Sales Entry'!J5:J89="Omar")*('Sales Entry'!E5:E89="Cleaning")*('Sales Entry'!H5:H89)),SUMPRODUCT(('Sales Entry'!J5:J89="Omar")*('Sales Entry'!E5:E89="Meat")*('Sales Entry'!H5:H89))&gt;=SUMPRODUCT(('Sales Entry'!J5:J89="Omar")*('Sales Entry'!E5:E89="Produce")*('Sales Entry'!H5:H89)),SUMPRODUCT(('Sales Entry'!J5:J89="Omar")*('Sales Entry'!E5:E89="Meat")*('Sales Entry'!H5:H89))&gt;=SUMPRODUCT(('Sales Entry'!J5:J89="Omar")*('Sales Entry'!E5:E89="Grains")*('Sales Entry'!H5:H89))),"Meat",IF(AND(SUMPRODUCT(('Sales Entry'!J5:J89="Omar")*('Sales Entry'!E5:E89="Beverages")*('Sales Entry'!H5:H89))&gt;=SUMPRODUCT(('Sales Entry'!J5:J89="Omar")*('Sales Entry'!E5:E89="Dairy")*('Sales Entry'!H5:H89)),SUMPRODUCT(('Sales Entry'!J5:J89="Omar")*('Sales Entry'!E5:E89="Beverages")*('Sales Entry'!H5:H89))&gt;=SUMPRODUCT(('Sales Entry'!J5:J89="Omar")*('Sales Entry'!E5:E89="Bakery")*('Sales Entry'!H5:H89)),SUMPRODUCT(('Sales Entry'!J5:J89="Omar")*('Sales Entry'!E5:E89="Beverages")*('Sales Entry'!H5:H89))&gt;=SUMPRODUCT(('Sales Entry'!J5:J89="Omar")*('Sales Entry'!E5:E89="Meat")*('Sales Entry'!H5:H89)),SUMPRODUCT(('Sales Entry'!J5:J89="Omar")*('Sales Entry'!E5:E89="Beverages")*('Sales Entry'!H5:H89))&gt;=SUMPRODUCT(('Sales Entry'!J5:J89="Omar")*('Sales Entry'!E5:E89="Snacks")*('Sales Entry'!H5:H89)),SUMPRODUCT(('Sales Entry'!J5:J89="Omar")*('Sales Entry'!E5:E89="Beverages")*('Sales Entry'!H5:H89))&gt;=SUMPRODUCT(('Sales Entry'!J5:J89="Omar")*('Sales Entry'!E5:E89="Cleaning")*('Sales Entry'!H5:H89)),SUMPRODUCT(('Sales Entry'!J5:J89="Omar")*('Sales Entry'!E5:E89="Beverages")*('Sales Entry'!H5:H89))&gt;=SUMPRODUCT(('Sales Entry'!J5:J89="Omar")*('Sales Entry'!E5:E89="Produce")*('Sales Entry'!H5:H89)),SUMPRODUCT(('Sales Entry'!J5:J89="Omar")*('Sales Entry'!E5:E89="Beverages")*('Sales Entry'!H5:H89))&gt;=SUMPRODUCT(('Sales Entry'!J5:J89="Omar")*('Sales Entry'!E5:E89="Grains")*('Sales Entry'!H5:H89))),"Beverages",IF(AND(SUMPRODUCT(('Sales Entry'!J5:J89="Omar")*('Sales Entry'!E5:E89="Snacks")*('Sales Entry'!H5:H89))&gt;=SUMPRODUCT(('Sales Entry'!J5:J89="Omar")*('Sales Entry'!E5:E89="Dairy")*('Sales Entry'!H5:H89)),SUMPRODUCT(('Sales Entry'!J5:J89="Omar")*('Sales Entry'!E5:E89="Snacks")*('Sales Entry'!H5:H89))&gt;=SUMPRODUCT(('Sales Entry'!J5:J89="Omar")*('Sales Entry'!E5:E89="Bakery")*('Sales Entry'!H5:H89)),SUMPRODUCT(('Sales Entry'!J5:J89="Omar")*('Sales Entry'!E5:E89="Snacks")*('Sales Entry'!H5:H89))&gt;=SUMPRODUCT(('Sales Entry'!J5:J89="Omar")*('Sales Entry'!E5:E89="Meat")*('Sales Entry'!H5:H89)),SUMPRODUCT(('Sales Entry'!J5:J89="Omar")*('Sales Entry'!E5:E89="Snacks")*('Sales Entry'!H5:H89))&gt;=SUMPRODUCT(('Sales Entry'!J5:J89="Omar")*('Sales Entry'!E5:E89="Beverages")*('Sales Entry'!H5:H89)),SUMPRODUCT(('Sales Entry'!J5:J89="Omar")*('Sales Entry'!E5:E89="Snacks")*('Sales Entry'!H5:H89))&gt;=SUMPRODUCT(('Sales Entry'!J5:J89="Omar")*('Sales Entry'!E5:E89="Cleaning")*('Sales Entry'!H5:H89)),SUMPRODUCT(('Sales Entry'!J5:J89="Omar")*('Sales Entry'!E5:E89="Snacks")*('Sales Entry'!H5:H89))&gt;=SUMPRODUCT(('Sales Entry'!J5:J89="Omar")*('Sales Entry'!E5:E89="Produce")*('Sales Entry'!H5:H89)),SUMPRODUCT(('Sales Entry'!J5:J89="Omar")*('Sales Entry'!E5:E89="Snacks")*('Sales Entry'!H5:H89))&gt;=SUMPRODUCT(('Sales Entry'!J5:J89="Omar")*('Sales Entry'!E5:E89="Grains")*('Sales Entry'!H5:H89))),"Snacks",IF(AND(SUMPRODUCT(('Sales Entry'!J5:J89="Omar")*('Sales Entry'!E5:E89="Cleaning")*('Sales Entry'!H5:H89))&gt;=SUMPRODUCT(('Sales Entry'!J5:J89="Omar")*('Sales Entry'!E5:E89="Dairy")*('Sales Entry'!H5:H89)),SUMPRODUCT(('Sales Entry'!J5:J89="Omar")*('Sales Entry'!E5:E89="Cleaning")*('Sales Entry'!H5:H89))&gt;=SUMPRODUCT(('Sales Entry'!J5:J89="Omar")*('Sales Entry'!E5:E89="Bakery")*('Sales Entry'!H5:H89)),SUMPRODUCT(('Sales Entry'!J5:J89="Omar")*('Sales Entry'!E5:E89="Cleaning")*('Sales Entry'!H5:H89))&gt;=SUMPRODUCT(('Sales Entry'!J5:J89="Omar")*('Sales Entry'!E5:E89="Meat")*('Sales Entry'!H5:H89)),SUMPRODUCT(('Sales Entry'!J5:J89="Omar")*('Sales Entry'!E5:E89="Cleaning")*('Sales Entry'!H5:H89))&gt;=SUMPRODUCT(('Sales Entry'!J5:J89="Omar")*('Sales Entry'!E5:E89="Beverages")*('Sales Entry'!H5:H89)),SUMPRODUCT(('Sales Entry'!J5:J89="Omar")*('Sales Entry'!E5:E89="Cleaning")*('Sales Entry'!H5:H89))&gt;=SUMPRODUCT(('Sales Entry'!J5:J89="Omar")*('Sales Entry'!E5:E89="Snacks")*('Sales Entry'!H5:H89)),SUMPRODUCT(('Sales Entry'!J5:J89="Omar")*('Sales Entry'!E5:E89="Cleaning")*('Sales Entry'!H5:H89))&gt;=SUMPRODUCT(('Sales Entry'!J5:J89="Omar")*('Sales Entry'!E5:E89="Produce")*('Sales Entry'!H5:H89)),SUMPRODUCT(('Sales Entry'!J5:J89="Omar")*('Sales Entry'!E5:E89="Cleaning")*('Sales Entry'!H5:H89))&gt;=SUMPRODUCT(('Sales Entry'!J5:J89="Omar")*('Sales Entry'!E5:E89="Grains")*('Sales Entry'!H5:H89))),"Cleaning",IF(AND(SUMPRODUCT(('Sales Entry'!J5:J89="Omar")*('Sales Entry'!E5:E89="Produce")*('Sales Entry'!H5:H89))&gt;=SUMPRODUCT(('Sales Entry'!J5:J89="Omar")*('Sales Entry'!E5:E89="Dairy")*('Sales Entry'!H5:H89)),SUMPRODUCT(('Sales Entry'!J5:J89="Omar")*('Sales Entry'!E5:E89="Produce")*('Sales Entry'!H5:H89))&gt;=SUMPRODUCT(('Sales Entry'!J5:J89="Omar")*('Sales Entry'!E5:E89="Bakery")*('Sales Entry'!H5:H89)),SUMPRODUCT(('Sales Entry'!J5:J89="Omar")*('Sales Entry'!E5:E89="Produce")*('Sales Entry'!H5:H89))&gt;=SUMPRODUCT(('Sales Entry'!J5:J89="Omar")*('Sales Entry'!E5:E89="Meat")*('Sales Entry'!H5:H89)),SUMPRODUCT(('Sales Entry'!J5:J89="Omar")*('Sales Entry'!E5:E89="Produce")*('Sales Entry'!H5:H89))&gt;=SUMPRODUCT(('Sales Entry'!J5:J89="Omar")*('Sales Entry'!E5:E89="Beverages")*('Sales Entry'!H5:H89)),SUMPRODUCT(('Sales Entry'!J5:J89="Omar")*('Sales Entry'!E5:E89="Produce")*('Sales Entry'!H5:H89))&gt;=SUMPRODUCT(('Sales Entry'!J5:J89="Omar")*('Sales Entry'!E5:E89="Snacks")*('Sales Entry'!H5:H89)),SUMPRODUCT(('Sales Entry'!J5:J89="Omar")*('Sales Entry'!E5:E89="Produce")*('Sales Entry'!H5:H89))&gt;=SUMPRODUCT(('Sales Entry'!J5:J89="Omar")*('Sales Entry'!E5:E89="Cleaning")*('Sales Entry'!H5:H89)),SUMPRODUCT(('Sales Entry'!J5:J89="Omar")*('Sales Entry'!E5:E89="Produce")*('Sales Entry'!H5:H89))&gt;=SUMPRODUCT(('Sales Entry'!J5:J89="Omar")*('Sales Entry'!E5:E89="Grains")*('Sales Entry'!H5:H89))),"Produce","Grains"))))))</f>
        <v/>
      </c>
      <c r="G7" s="16" t="inlineStr">
        <is>
          <t>Evening</t>
        </is>
      </c>
      <c r="H7" s="6">
        <f>C7*0.05</f>
        <v/>
      </c>
    </row>
    <row r="8" ht="22" customHeight="1">
      <c r="B8" s="18" t="inlineStr">
        <is>
          <t>Sara</t>
        </is>
      </c>
      <c r="C8" s="10">
        <f>SUMPRODUCT(('Sales Entry'!J5:J89="Sara")*('Sales Entry'!H5:H89))</f>
        <v/>
      </c>
      <c r="D8" s="9">
        <f>SUMPRODUCT(('Sales Entry'!J5:J89="Sara")*1)</f>
        <v/>
      </c>
      <c r="E8" s="10">
        <f>IFERROR(C8/D8,0)</f>
        <v/>
      </c>
      <c r="F8" s="18">
        <f>IF(AND(SUMPRODUCT(('Sales Entry'!J5:J89="Sara")*('Sales Entry'!E5:E89="Dairy")*('Sales Entry'!H5:H89))&gt;=SUMPRODUCT(('Sales Entry'!J5:J89="Sara")*('Sales Entry'!E5:E89="Bakery")*('Sales Entry'!H5:H89)),SUMPRODUCT(('Sales Entry'!J5:J89="Sara")*('Sales Entry'!E5:E89="Dairy")*('Sales Entry'!H5:H89))&gt;=SUMPRODUCT(('Sales Entry'!J5:J89="Sara")*('Sales Entry'!E5:E89="Meat")*('Sales Entry'!H5:H89)),SUMPRODUCT(('Sales Entry'!J5:J89="Sara")*('Sales Entry'!E5:E89="Dairy")*('Sales Entry'!H5:H89))&gt;=SUMPRODUCT(('Sales Entry'!J5:J89="Sara")*('Sales Entry'!E5:E89="Beverages")*('Sales Entry'!H5:H89)),SUMPRODUCT(('Sales Entry'!J5:J89="Sara")*('Sales Entry'!E5:E89="Dairy")*('Sales Entry'!H5:H89))&gt;=SUMPRODUCT(('Sales Entry'!J5:J89="Sara")*('Sales Entry'!E5:E89="Snacks")*('Sales Entry'!H5:H89)),SUMPRODUCT(('Sales Entry'!J5:J89="Sara")*('Sales Entry'!E5:E89="Dairy")*('Sales Entry'!H5:H89))&gt;=SUMPRODUCT(('Sales Entry'!J5:J89="Sara")*('Sales Entry'!E5:E89="Cleaning")*('Sales Entry'!H5:H89)),SUMPRODUCT(('Sales Entry'!J5:J89="Sara")*('Sales Entry'!E5:E89="Dairy")*('Sales Entry'!H5:H89))&gt;=SUMPRODUCT(('Sales Entry'!J5:J89="Sara")*('Sales Entry'!E5:E89="Produce")*('Sales Entry'!H5:H89)),SUMPRODUCT(('Sales Entry'!J5:J89="Sara")*('Sales Entry'!E5:E89="Dairy")*('Sales Entry'!H5:H89))&gt;=SUMPRODUCT(('Sales Entry'!J5:J89="Sara")*('Sales Entry'!E5:E89="Grains")*('Sales Entry'!H5:H89))),"Dairy",IF(AND(SUMPRODUCT(('Sales Entry'!J5:J89="Sara")*('Sales Entry'!E5:E89="Bakery")*('Sales Entry'!H5:H89))&gt;=SUMPRODUCT(('Sales Entry'!J5:J89="Sara")*('Sales Entry'!E5:E89="Dairy")*('Sales Entry'!H5:H89)),SUMPRODUCT(('Sales Entry'!J5:J89="Sara")*('Sales Entry'!E5:E89="Bakery")*('Sales Entry'!H5:H89))&gt;=SUMPRODUCT(('Sales Entry'!J5:J89="Sara")*('Sales Entry'!E5:E89="Meat")*('Sales Entry'!H5:H89)),SUMPRODUCT(('Sales Entry'!J5:J89="Sara")*('Sales Entry'!E5:E89="Bakery")*('Sales Entry'!H5:H89))&gt;=SUMPRODUCT(('Sales Entry'!J5:J89="Sara")*('Sales Entry'!E5:E89="Beverages")*('Sales Entry'!H5:H89)),SUMPRODUCT(('Sales Entry'!J5:J89="Sara")*('Sales Entry'!E5:E89="Bakery")*('Sales Entry'!H5:H89))&gt;=SUMPRODUCT(('Sales Entry'!J5:J89="Sara")*('Sales Entry'!E5:E89="Snacks")*('Sales Entry'!H5:H89)),SUMPRODUCT(('Sales Entry'!J5:J89="Sara")*('Sales Entry'!E5:E89="Bakery")*('Sales Entry'!H5:H89))&gt;=SUMPRODUCT(('Sales Entry'!J5:J89="Sara")*('Sales Entry'!E5:E89="Cleaning")*('Sales Entry'!H5:H89)),SUMPRODUCT(('Sales Entry'!J5:J89="Sara")*('Sales Entry'!E5:E89="Bakery")*('Sales Entry'!H5:H89))&gt;=SUMPRODUCT(('Sales Entry'!J5:J89="Sara")*('Sales Entry'!E5:E89="Produce")*('Sales Entry'!H5:H89)),SUMPRODUCT(('Sales Entry'!J5:J89="Sara")*('Sales Entry'!E5:E89="Bakery")*('Sales Entry'!H5:H89))&gt;=SUMPRODUCT(('Sales Entry'!J5:J89="Sara")*('Sales Entry'!E5:E89="Grains")*('Sales Entry'!H5:H89))),"Bakery",IF(AND(SUMPRODUCT(('Sales Entry'!J5:J89="Sara")*('Sales Entry'!E5:E89="Meat")*('Sales Entry'!H5:H89))&gt;=SUMPRODUCT(('Sales Entry'!J5:J89="Sara")*('Sales Entry'!E5:E89="Dairy")*('Sales Entry'!H5:H89)),SUMPRODUCT(('Sales Entry'!J5:J89="Sara")*('Sales Entry'!E5:E89="Meat")*('Sales Entry'!H5:H89))&gt;=SUMPRODUCT(('Sales Entry'!J5:J89="Sara")*('Sales Entry'!E5:E89="Bakery")*('Sales Entry'!H5:H89)),SUMPRODUCT(('Sales Entry'!J5:J89="Sara")*('Sales Entry'!E5:E89="Meat")*('Sales Entry'!H5:H89))&gt;=SUMPRODUCT(('Sales Entry'!J5:J89="Sara")*('Sales Entry'!E5:E89="Beverages")*('Sales Entry'!H5:H89)),SUMPRODUCT(('Sales Entry'!J5:J89="Sara")*('Sales Entry'!E5:E89="Meat")*('Sales Entry'!H5:H89))&gt;=SUMPRODUCT(('Sales Entry'!J5:J89="Sara")*('Sales Entry'!E5:E89="Snacks")*('Sales Entry'!H5:H89)),SUMPRODUCT(('Sales Entry'!J5:J89="Sara")*('Sales Entry'!E5:E89="Meat")*('Sales Entry'!H5:H89))&gt;=SUMPRODUCT(('Sales Entry'!J5:J89="Sara")*('Sales Entry'!E5:E89="Cleaning")*('Sales Entry'!H5:H89)),SUMPRODUCT(('Sales Entry'!J5:J89="Sara")*('Sales Entry'!E5:E89="Meat")*('Sales Entry'!H5:H89))&gt;=SUMPRODUCT(('Sales Entry'!J5:J89="Sara")*('Sales Entry'!E5:E89="Produce")*('Sales Entry'!H5:H89)),SUMPRODUCT(('Sales Entry'!J5:J89="Sara")*('Sales Entry'!E5:E89="Meat")*('Sales Entry'!H5:H89))&gt;=SUMPRODUCT(('Sales Entry'!J5:J89="Sara")*('Sales Entry'!E5:E89="Grains")*('Sales Entry'!H5:H89))),"Meat",IF(AND(SUMPRODUCT(('Sales Entry'!J5:J89="Sara")*('Sales Entry'!E5:E89="Beverages")*('Sales Entry'!H5:H89))&gt;=SUMPRODUCT(('Sales Entry'!J5:J89="Sara")*('Sales Entry'!E5:E89="Dairy")*('Sales Entry'!H5:H89)),SUMPRODUCT(('Sales Entry'!J5:J89="Sara")*('Sales Entry'!E5:E89="Beverages")*('Sales Entry'!H5:H89))&gt;=SUMPRODUCT(('Sales Entry'!J5:J89="Sara")*('Sales Entry'!E5:E89="Bakery")*('Sales Entry'!H5:H89)),SUMPRODUCT(('Sales Entry'!J5:J89="Sara")*('Sales Entry'!E5:E89="Beverages")*('Sales Entry'!H5:H89))&gt;=SUMPRODUCT(('Sales Entry'!J5:J89="Sara")*('Sales Entry'!E5:E89="Meat")*('Sales Entry'!H5:H89)),SUMPRODUCT(('Sales Entry'!J5:J89="Sara")*('Sales Entry'!E5:E89="Beverages")*('Sales Entry'!H5:H89))&gt;=SUMPRODUCT(('Sales Entry'!J5:J89="Sara")*('Sales Entry'!E5:E89="Snacks")*('Sales Entry'!H5:H89)),SUMPRODUCT(('Sales Entry'!J5:J89="Sara")*('Sales Entry'!E5:E89="Beverages")*('Sales Entry'!H5:H89))&gt;=SUMPRODUCT(('Sales Entry'!J5:J89="Sara")*('Sales Entry'!E5:E89="Cleaning")*('Sales Entry'!H5:H89)),SUMPRODUCT(('Sales Entry'!J5:J89="Sara")*('Sales Entry'!E5:E89="Beverages")*('Sales Entry'!H5:H89))&gt;=SUMPRODUCT(('Sales Entry'!J5:J89="Sara")*('Sales Entry'!E5:E89="Produce")*('Sales Entry'!H5:H89)),SUMPRODUCT(('Sales Entry'!J5:J89="Sara")*('Sales Entry'!E5:E89="Beverages")*('Sales Entry'!H5:H89))&gt;=SUMPRODUCT(('Sales Entry'!J5:J89="Sara")*('Sales Entry'!E5:E89="Grains")*('Sales Entry'!H5:H89))),"Beverages",IF(AND(SUMPRODUCT(('Sales Entry'!J5:J89="Sara")*('Sales Entry'!E5:E89="Snacks")*('Sales Entry'!H5:H89))&gt;=SUMPRODUCT(('Sales Entry'!J5:J89="Sara")*('Sales Entry'!E5:E89="Dairy")*('Sales Entry'!H5:H89)),SUMPRODUCT(('Sales Entry'!J5:J89="Sara")*('Sales Entry'!E5:E89="Snacks")*('Sales Entry'!H5:H89))&gt;=SUMPRODUCT(('Sales Entry'!J5:J89="Sara")*('Sales Entry'!E5:E89="Bakery")*('Sales Entry'!H5:H89)),SUMPRODUCT(('Sales Entry'!J5:J89="Sara")*('Sales Entry'!E5:E89="Snacks")*('Sales Entry'!H5:H89))&gt;=SUMPRODUCT(('Sales Entry'!J5:J89="Sara")*('Sales Entry'!E5:E89="Meat")*('Sales Entry'!H5:H89)),SUMPRODUCT(('Sales Entry'!J5:J89="Sara")*('Sales Entry'!E5:E89="Snacks")*('Sales Entry'!H5:H89))&gt;=SUMPRODUCT(('Sales Entry'!J5:J89="Sara")*('Sales Entry'!E5:E89="Beverages")*('Sales Entry'!H5:H89)),SUMPRODUCT(('Sales Entry'!J5:J89="Sara")*('Sales Entry'!E5:E89="Snacks")*('Sales Entry'!H5:H89))&gt;=SUMPRODUCT(('Sales Entry'!J5:J89="Sara")*('Sales Entry'!E5:E89="Cleaning")*('Sales Entry'!H5:H89)),SUMPRODUCT(('Sales Entry'!J5:J89="Sara")*('Sales Entry'!E5:E89="Snacks")*('Sales Entry'!H5:H89))&gt;=SUMPRODUCT(('Sales Entry'!J5:J89="Sara")*('Sales Entry'!E5:E89="Produce")*('Sales Entry'!H5:H89)),SUMPRODUCT(('Sales Entry'!J5:J89="Sara")*('Sales Entry'!E5:E89="Snacks")*('Sales Entry'!H5:H89))&gt;=SUMPRODUCT(('Sales Entry'!J5:J89="Sara")*('Sales Entry'!E5:E89="Grains")*('Sales Entry'!H5:H89))),"Snacks",IF(AND(SUMPRODUCT(('Sales Entry'!J5:J89="Sara")*('Sales Entry'!E5:E89="Cleaning")*('Sales Entry'!H5:H89))&gt;=SUMPRODUCT(('Sales Entry'!J5:J89="Sara")*('Sales Entry'!E5:E89="Dairy")*('Sales Entry'!H5:H89)),SUMPRODUCT(('Sales Entry'!J5:J89="Sara")*('Sales Entry'!E5:E89="Cleaning")*('Sales Entry'!H5:H89))&gt;=SUMPRODUCT(('Sales Entry'!J5:J89="Sara")*('Sales Entry'!E5:E89="Bakery")*('Sales Entry'!H5:H89)),SUMPRODUCT(('Sales Entry'!J5:J89="Sara")*('Sales Entry'!E5:E89="Cleaning")*('Sales Entry'!H5:H89))&gt;=SUMPRODUCT(('Sales Entry'!J5:J89="Sara")*('Sales Entry'!E5:E89="Meat")*('Sales Entry'!H5:H89)),SUMPRODUCT(('Sales Entry'!J5:J89="Sara")*('Sales Entry'!E5:E89="Cleaning")*('Sales Entry'!H5:H89))&gt;=SUMPRODUCT(('Sales Entry'!J5:J89="Sara")*('Sales Entry'!E5:E89="Beverages")*('Sales Entry'!H5:H89)),SUMPRODUCT(('Sales Entry'!J5:J89="Sara")*('Sales Entry'!E5:E89="Cleaning")*('Sales Entry'!H5:H89))&gt;=SUMPRODUCT(('Sales Entry'!J5:J89="Sara")*('Sales Entry'!E5:E89="Snacks")*('Sales Entry'!H5:H89)),SUMPRODUCT(('Sales Entry'!J5:J89="Sara")*('Sales Entry'!E5:E89="Cleaning")*('Sales Entry'!H5:H89))&gt;=SUMPRODUCT(('Sales Entry'!J5:J89="Sara")*('Sales Entry'!E5:E89="Produce")*('Sales Entry'!H5:H89)),SUMPRODUCT(('Sales Entry'!J5:J89="Sara")*('Sales Entry'!E5:E89="Cleaning")*('Sales Entry'!H5:H89))&gt;=SUMPRODUCT(('Sales Entry'!J5:J89="Sara")*('Sales Entry'!E5:E89="Grains")*('Sales Entry'!H5:H89))),"Cleaning",IF(AND(SUMPRODUCT(('Sales Entry'!J5:J89="Sara")*('Sales Entry'!E5:E89="Produce")*('Sales Entry'!H5:H89))&gt;=SUMPRODUCT(('Sales Entry'!J5:J89="Sara")*('Sales Entry'!E5:E89="Dairy")*('Sales Entry'!H5:H89)),SUMPRODUCT(('Sales Entry'!J5:J89="Sara")*('Sales Entry'!E5:E89="Produce")*('Sales Entry'!H5:H89))&gt;=SUMPRODUCT(('Sales Entry'!J5:J89="Sara")*('Sales Entry'!E5:E89="Bakery")*('Sales Entry'!H5:H89)),SUMPRODUCT(('Sales Entry'!J5:J89="Sara")*('Sales Entry'!E5:E89="Produce")*('Sales Entry'!H5:H89))&gt;=SUMPRODUCT(('Sales Entry'!J5:J89="Sara")*('Sales Entry'!E5:E89="Meat")*('Sales Entry'!H5:H89)),SUMPRODUCT(('Sales Entry'!J5:J89="Sara")*('Sales Entry'!E5:E89="Produce")*('Sales Entry'!H5:H89))&gt;=SUMPRODUCT(('Sales Entry'!J5:J89="Sara")*('Sales Entry'!E5:E89="Beverages")*('Sales Entry'!H5:H89)),SUMPRODUCT(('Sales Entry'!J5:J89="Sara")*('Sales Entry'!E5:E89="Produce")*('Sales Entry'!H5:H89))&gt;=SUMPRODUCT(('Sales Entry'!J5:J89="Sara")*('Sales Entry'!E5:E89="Snacks")*('Sales Entry'!H5:H89)),SUMPRODUCT(('Sales Entry'!J5:J89="Sara")*('Sales Entry'!E5:E89="Produce")*('Sales Entry'!H5:H89))&gt;=SUMPRODUCT(('Sales Entry'!J5:J89="Sara")*('Sales Entry'!E5:E89="Cleaning")*('Sales Entry'!H5:H89)),SUMPRODUCT(('Sales Entry'!J5:J89="Sara")*('Sales Entry'!E5:E89="Produce")*('Sales Entry'!H5:H89))&gt;=SUMPRODUCT(('Sales Entry'!J5:J89="Sara")*('Sales Entry'!E5:E89="Grains")*('Sales Entry'!H5:H89))),"Produce","Grains"))))))</f>
        <v/>
      </c>
      <c r="G8" s="18" t="inlineStr">
        <is>
          <t>Evening</t>
        </is>
      </c>
      <c r="H8" s="10">
        <f>C8*0.05</f>
        <v/>
      </c>
    </row>
    <row r="9" ht="22" customHeight="1">
      <c r="B9" s="16" t="inlineStr">
        <is>
          <t>Khalid</t>
        </is>
      </c>
      <c r="C9" s="6">
        <f>SUMPRODUCT(('Sales Entry'!J5:J89="Khalid")*('Sales Entry'!H5:H89))</f>
        <v/>
      </c>
      <c r="D9" s="5">
        <f>SUMPRODUCT(('Sales Entry'!J5:J89="Khalid")*1)</f>
        <v/>
      </c>
      <c r="E9" s="6">
        <f>IFERROR(C9/D9,0)</f>
        <v/>
      </c>
      <c r="F9" s="16">
        <f>IF(AND(SUMPRODUCT(('Sales Entry'!J5:J89="Khalid")*('Sales Entry'!E5:E89="Dairy")*('Sales Entry'!H5:H89))&gt;=SUMPRODUCT(('Sales Entry'!J5:J89="Khalid")*('Sales Entry'!E5:E89="Bakery")*('Sales Entry'!H5:H89)),SUMPRODUCT(('Sales Entry'!J5:J89="Khalid")*('Sales Entry'!E5:E89="Dairy")*('Sales Entry'!H5:H89))&gt;=SUMPRODUCT(('Sales Entry'!J5:J89="Khalid")*('Sales Entry'!E5:E89="Meat")*('Sales Entry'!H5:H89)),SUMPRODUCT(('Sales Entry'!J5:J89="Khalid")*('Sales Entry'!E5:E89="Dairy")*('Sales Entry'!H5:H89))&gt;=SUMPRODUCT(('Sales Entry'!J5:J89="Khalid")*('Sales Entry'!E5:E89="Beverages")*('Sales Entry'!H5:H89)),SUMPRODUCT(('Sales Entry'!J5:J89="Khalid")*('Sales Entry'!E5:E89="Dairy")*('Sales Entry'!H5:H89))&gt;=SUMPRODUCT(('Sales Entry'!J5:J89="Khalid")*('Sales Entry'!E5:E89="Snacks")*('Sales Entry'!H5:H89)),SUMPRODUCT(('Sales Entry'!J5:J89="Khalid")*('Sales Entry'!E5:E89="Dairy")*('Sales Entry'!H5:H89))&gt;=SUMPRODUCT(('Sales Entry'!J5:J89="Khalid")*('Sales Entry'!E5:E89="Cleaning")*('Sales Entry'!H5:H89)),SUMPRODUCT(('Sales Entry'!J5:J89="Khalid")*('Sales Entry'!E5:E89="Dairy")*('Sales Entry'!H5:H89))&gt;=SUMPRODUCT(('Sales Entry'!J5:J89="Khalid")*('Sales Entry'!E5:E89="Produce")*('Sales Entry'!H5:H89)),SUMPRODUCT(('Sales Entry'!J5:J89="Khalid")*('Sales Entry'!E5:E89="Dairy")*('Sales Entry'!H5:H89))&gt;=SUMPRODUCT(('Sales Entry'!J5:J89="Khalid")*('Sales Entry'!E5:E89="Grains")*('Sales Entry'!H5:H89))),"Dairy",IF(AND(SUMPRODUCT(('Sales Entry'!J5:J89="Khalid")*('Sales Entry'!E5:E89="Bakery")*('Sales Entry'!H5:H89))&gt;=SUMPRODUCT(('Sales Entry'!J5:J89="Khalid")*('Sales Entry'!E5:E89="Dairy")*('Sales Entry'!H5:H89)),SUMPRODUCT(('Sales Entry'!J5:J89="Khalid")*('Sales Entry'!E5:E89="Bakery")*('Sales Entry'!H5:H89))&gt;=SUMPRODUCT(('Sales Entry'!J5:J89="Khalid")*('Sales Entry'!E5:E89="Meat")*('Sales Entry'!H5:H89)),SUMPRODUCT(('Sales Entry'!J5:J89="Khalid")*('Sales Entry'!E5:E89="Bakery")*('Sales Entry'!H5:H89))&gt;=SUMPRODUCT(('Sales Entry'!J5:J89="Khalid")*('Sales Entry'!E5:E89="Beverages")*('Sales Entry'!H5:H89)),SUMPRODUCT(('Sales Entry'!J5:J89="Khalid")*('Sales Entry'!E5:E89="Bakery")*('Sales Entry'!H5:H89))&gt;=SUMPRODUCT(('Sales Entry'!J5:J89="Khalid")*('Sales Entry'!E5:E89="Snacks")*('Sales Entry'!H5:H89)),SUMPRODUCT(('Sales Entry'!J5:J89="Khalid")*('Sales Entry'!E5:E89="Bakery")*('Sales Entry'!H5:H89))&gt;=SUMPRODUCT(('Sales Entry'!J5:J89="Khalid")*('Sales Entry'!E5:E89="Cleaning")*('Sales Entry'!H5:H89)),SUMPRODUCT(('Sales Entry'!J5:J89="Khalid")*('Sales Entry'!E5:E89="Bakery")*('Sales Entry'!H5:H89))&gt;=SUMPRODUCT(('Sales Entry'!J5:J89="Khalid")*('Sales Entry'!E5:E89="Produce")*('Sales Entry'!H5:H89)),SUMPRODUCT(('Sales Entry'!J5:J89="Khalid")*('Sales Entry'!E5:E89="Bakery")*('Sales Entry'!H5:H89))&gt;=SUMPRODUCT(('Sales Entry'!J5:J89="Khalid")*('Sales Entry'!E5:E89="Grains")*('Sales Entry'!H5:H89))),"Bakery",IF(AND(SUMPRODUCT(('Sales Entry'!J5:J89="Khalid")*('Sales Entry'!E5:E89="Meat")*('Sales Entry'!H5:H89))&gt;=SUMPRODUCT(('Sales Entry'!J5:J89="Khalid")*('Sales Entry'!E5:E89="Dairy")*('Sales Entry'!H5:H89)),SUMPRODUCT(('Sales Entry'!J5:J89="Khalid")*('Sales Entry'!E5:E89="Meat")*('Sales Entry'!H5:H89))&gt;=SUMPRODUCT(('Sales Entry'!J5:J89="Khalid")*('Sales Entry'!E5:E89="Bakery")*('Sales Entry'!H5:H89)),SUMPRODUCT(('Sales Entry'!J5:J89="Khalid")*('Sales Entry'!E5:E89="Meat")*('Sales Entry'!H5:H89))&gt;=SUMPRODUCT(('Sales Entry'!J5:J89="Khalid")*('Sales Entry'!E5:E89="Beverages")*('Sales Entry'!H5:H89)),SUMPRODUCT(('Sales Entry'!J5:J89="Khalid")*('Sales Entry'!E5:E89="Meat")*('Sales Entry'!H5:H89))&gt;=SUMPRODUCT(('Sales Entry'!J5:J89="Khalid")*('Sales Entry'!E5:E89="Snacks")*('Sales Entry'!H5:H89)),SUMPRODUCT(('Sales Entry'!J5:J89="Khalid")*('Sales Entry'!E5:E89="Meat")*('Sales Entry'!H5:H89))&gt;=SUMPRODUCT(('Sales Entry'!J5:J89="Khalid")*('Sales Entry'!E5:E89="Cleaning")*('Sales Entry'!H5:H89)),SUMPRODUCT(('Sales Entry'!J5:J89="Khalid")*('Sales Entry'!E5:E89="Meat")*('Sales Entry'!H5:H89))&gt;=SUMPRODUCT(('Sales Entry'!J5:J89="Khalid")*('Sales Entry'!E5:E89="Produce")*('Sales Entry'!H5:H89)),SUMPRODUCT(('Sales Entry'!J5:J89="Khalid")*('Sales Entry'!E5:E89="Meat")*('Sales Entry'!H5:H89))&gt;=SUMPRODUCT(('Sales Entry'!J5:J89="Khalid")*('Sales Entry'!E5:E89="Grains")*('Sales Entry'!H5:H89))),"Meat",IF(AND(SUMPRODUCT(('Sales Entry'!J5:J89="Khalid")*('Sales Entry'!E5:E89="Beverages")*('Sales Entry'!H5:H89))&gt;=SUMPRODUCT(('Sales Entry'!J5:J89="Khalid")*('Sales Entry'!E5:E89="Dairy")*('Sales Entry'!H5:H89)),SUMPRODUCT(('Sales Entry'!J5:J89="Khalid")*('Sales Entry'!E5:E89="Beverages")*('Sales Entry'!H5:H89))&gt;=SUMPRODUCT(('Sales Entry'!J5:J89="Khalid")*('Sales Entry'!E5:E89="Bakery")*('Sales Entry'!H5:H89)),SUMPRODUCT(('Sales Entry'!J5:J89="Khalid")*('Sales Entry'!E5:E89="Beverages")*('Sales Entry'!H5:H89))&gt;=SUMPRODUCT(('Sales Entry'!J5:J89="Khalid")*('Sales Entry'!E5:E89="Meat")*('Sales Entry'!H5:H89)),SUMPRODUCT(('Sales Entry'!J5:J89="Khalid")*('Sales Entry'!E5:E89="Beverages")*('Sales Entry'!H5:H89))&gt;=SUMPRODUCT(('Sales Entry'!J5:J89="Khalid")*('Sales Entry'!E5:E89="Snacks")*('Sales Entry'!H5:H89)),SUMPRODUCT(('Sales Entry'!J5:J89="Khalid")*('Sales Entry'!E5:E89="Beverages")*('Sales Entry'!H5:H89))&gt;=SUMPRODUCT(('Sales Entry'!J5:J89="Khalid")*('Sales Entry'!E5:E89="Cleaning")*('Sales Entry'!H5:H89)),SUMPRODUCT(('Sales Entry'!J5:J89="Khalid")*('Sales Entry'!E5:E89="Beverages")*('Sales Entry'!H5:H89))&gt;=SUMPRODUCT(('Sales Entry'!J5:J89="Khalid")*('Sales Entry'!E5:E89="Produce")*('Sales Entry'!H5:H89)),SUMPRODUCT(('Sales Entry'!J5:J89="Khalid")*('Sales Entry'!E5:E89="Beverages")*('Sales Entry'!H5:H89))&gt;=SUMPRODUCT(('Sales Entry'!J5:J89="Khalid")*('Sales Entry'!E5:E89="Grains")*('Sales Entry'!H5:H89))),"Beverages",IF(AND(SUMPRODUCT(('Sales Entry'!J5:J89="Khalid")*('Sales Entry'!E5:E89="Snacks")*('Sales Entry'!H5:H89))&gt;=SUMPRODUCT(('Sales Entry'!J5:J89="Khalid")*('Sales Entry'!E5:E89="Dairy")*('Sales Entry'!H5:H89)),SUMPRODUCT(('Sales Entry'!J5:J89="Khalid")*('Sales Entry'!E5:E89="Snacks")*('Sales Entry'!H5:H89))&gt;=SUMPRODUCT(('Sales Entry'!J5:J89="Khalid")*('Sales Entry'!E5:E89="Bakery")*('Sales Entry'!H5:H89)),SUMPRODUCT(('Sales Entry'!J5:J89="Khalid")*('Sales Entry'!E5:E89="Snacks")*('Sales Entry'!H5:H89))&gt;=SUMPRODUCT(('Sales Entry'!J5:J89="Khalid")*('Sales Entry'!E5:E89="Meat")*('Sales Entry'!H5:H89)),SUMPRODUCT(('Sales Entry'!J5:J89="Khalid")*('Sales Entry'!E5:E89="Snacks")*('Sales Entry'!H5:H89))&gt;=SUMPRODUCT(('Sales Entry'!J5:J89="Khalid")*('Sales Entry'!E5:E89="Beverages")*('Sales Entry'!H5:H89)),SUMPRODUCT(('Sales Entry'!J5:J89="Khalid")*('Sales Entry'!E5:E89="Snacks")*('Sales Entry'!H5:H89))&gt;=SUMPRODUCT(('Sales Entry'!J5:J89="Khalid")*('Sales Entry'!E5:E89="Cleaning")*('Sales Entry'!H5:H89)),SUMPRODUCT(('Sales Entry'!J5:J89="Khalid")*('Sales Entry'!E5:E89="Snacks")*('Sales Entry'!H5:H89))&gt;=SUMPRODUCT(('Sales Entry'!J5:J89="Khalid")*('Sales Entry'!E5:E89="Produce")*('Sales Entry'!H5:H89)),SUMPRODUCT(('Sales Entry'!J5:J89="Khalid")*('Sales Entry'!E5:E89="Snacks")*('Sales Entry'!H5:H89))&gt;=SUMPRODUCT(('Sales Entry'!J5:J89="Khalid")*('Sales Entry'!E5:E89="Grains")*('Sales Entry'!H5:H89))),"Snacks",IF(AND(SUMPRODUCT(('Sales Entry'!J5:J89="Khalid")*('Sales Entry'!E5:E89="Cleaning")*('Sales Entry'!H5:H89))&gt;=SUMPRODUCT(('Sales Entry'!J5:J89="Khalid")*('Sales Entry'!E5:E89="Dairy")*('Sales Entry'!H5:H89)),SUMPRODUCT(('Sales Entry'!J5:J89="Khalid")*('Sales Entry'!E5:E89="Cleaning")*('Sales Entry'!H5:H89))&gt;=SUMPRODUCT(('Sales Entry'!J5:J89="Khalid")*('Sales Entry'!E5:E89="Bakery")*('Sales Entry'!H5:H89)),SUMPRODUCT(('Sales Entry'!J5:J89="Khalid")*('Sales Entry'!E5:E89="Cleaning")*('Sales Entry'!H5:H89))&gt;=SUMPRODUCT(('Sales Entry'!J5:J89="Khalid")*('Sales Entry'!E5:E89="Meat")*('Sales Entry'!H5:H89)),SUMPRODUCT(('Sales Entry'!J5:J89="Khalid")*('Sales Entry'!E5:E89="Cleaning")*('Sales Entry'!H5:H89))&gt;=SUMPRODUCT(('Sales Entry'!J5:J89="Khalid")*('Sales Entry'!E5:E89="Beverages")*('Sales Entry'!H5:H89)),SUMPRODUCT(('Sales Entry'!J5:J89="Khalid")*('Sales Entry'!E5:E89="Cleaning")*('Sales Entry'!H5:H89))&gt;=SUMPRODUCT(('Sales Entry'!J5:J89="Khalid")*('Sales Entry'!E5:E89="Snacks")*('Sales Entry'!H5:H89)),SUMPRODUCT(('Sales Entry'!J5:J89="Khalid")*('Sales Entry'!E5:E89="Cleaning")*('Sales Entry'!H5:H89))&gt;=SUMPRODUCT(('Sales Entry'!J5:J89="Khalid")*('Sales Entry'!E5:E89="Produce")*('Sales Entry'!H5:H89)),SUMPRODUCT(('Sales Entry'!J5:J89="Khalid")*('Sales Entry'!E5:E89="Cleaning")*('Sales Entry'!H5:H89))&gt;=SUMPRODUCT(('Sales Entry'!J5:J89="Khalid")*('Sales Entry'!E5:E89="Grains")*('Sales Entry'!H5:H89))),"Cleaning",IF(AND(SUMPRODUCT(('Sales Entry'!J5:J89="Khalid")*('Sales Entry'!E5:E89="Produce")*('Sales Entry'!H5:H89))&gt;=SUMPRODUCT(('Sales Entry'!J5:J89="Khalid")*('Sales Entry'!E5:E89="Dairy")*('Sales Entry'!H5:H89)),SUMPRODUCT(('Sales Entry'!J5:J89="Khalid")*('Sales Entry'!E5:E89="Produce")*('Sales Entry'!H5:H89))&gt;=SUMPRODUCT(('Sales Entry'!J5:J89="Khalid")*('Sales Entry'!E5:E89="Bakery")*('Sales Entry'!H5:H89)),SUMPRODUCT(('Sales Entry'!J5:J89="Khalid")*('Sales Entry'!E5:E89="Produce")*('Sales Entry'!H5:H89))&gt;=SUMPRODUCT(('Sales Entry'!J5:J89="Khalid")*('Sales Entry'!E5:E89="Meat")*('Sales Entry'!H5:H89)),SUMPRODUCT(('Sales Entry'!J5:J89="Khalid")*('Sales Entry'!E5:E89="Produce")*('Sales Entry'!H5:H89))&gt;=SUMPRODUCT(('Sales Entry'!J5:J89="Khalid")*('Sales Entry'!E5:E89="Beverages")*('Sales Entry'!H5:H89)),SUMPRODUCT(('Sales Entry'!J5:J89="Khalid")*('Sales Entry'!E5:E89="Produce")*('Sales Entry'!H5:H89))&gt;=SUMPRODUCT(('Sales Entry'!J5:J89="Khalid")*('Sales Entry'!E5:E89="Snacks")*('Sales Entry'!H5:H89)),SUMPRODUCT(('Sales Entry'!J5:J89="Khalid")*('Sales Entry'!E5:E89="Produce")*('Sales Entry'!H5:H89))&gt;=SUMPRODUCT(('Sales Entry'!J5:J89="Khalid")*('Sales Entry'!E5:E89="Cleaning")*('Sales Entry'!H5:H89)),SUMPRODUCT(('Sales Entry'!J5:J89="Khalid")*('Sales Entry'!E5:E89="Produce")*('Sales Entry'!H5:H89))&gt;=SUMPRODUCT(('Sales Entry'!J5:J89="Khalid")*('Sales Entry'!E5:E89="Grains")*('Sales Entry'!H5:H89))),"Produce","Grains"))))))</f>
        <v/>
      </c>
      <c r="G9" s="16" t="inlineStr">
        <is>
          <t>Morning</t>
        </is>
      </c>
      <c r="H9" s="6">
        <f>C9*0.05</f>
        <v/>
      </c>
    </row>
    <row r="10" ht="26" customHeight="1">
      <c r="B10" s="11" t="inlineStr">
        <is>
          <t>TOTAL</t>
        </is>
      </c>
      <c r="C10" s="14">
        <f>SUM(C5:C9)</f>
        <v/>
      </c>
      <c r="D10" s="13">
        <f>SUM(D5:D9)</f>
        <v/>
      </c>
      <c r="E10" s="14">
        <f>IFERROR(C10/D10,0)</f>
        <v/>
      </c>
      <c r="F10" s="12" t="n"/>
      <c r="G10" s="12" t="n"/>
      <c r="H10" s="14">
        <f>SUM(H5:H9)</f>
        <v/>
      </c>
    </row>
  </sheetData>
  <mergeCells count="1">
    <mergeCell ref="B2:H2"/>
  </mergeCells>
  <conditionalFormatting sqref="C5:C9">
    <cfRule type="dataBar" priority="1">
      <dataBar>
        <cfvo type="min"/>
        <cfvo type="max"/>
        <color rgb="001B2A4A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32" customWidth="1" min="8" max="8"/>
    <col width="18" customWidth="1" min="9" max="9"/>
  </cols>
  <sheetData>
    <row r="1" ht="15" customHeight="1"/>
    <row r="2" ht="32" customHeight="1">
      <c r="B2" s="1" t="inlineStr">
        <is>
          <t>Product List — Al Noor Supermarket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Cost Price</t>
        </is>
      </c>
      <c r="G4" s="2" t="inlineStr">
        <is>
          <t>Margin %</t>
        </is>
      </c>
      <c r="H4" s="2" t="inlineStr">
        <is>
          <t>Description</t>
        </is>
      </c>
      <c r="I4" s="2" t="inlineStr">
        <is>
          <t>Supplier</t>
        </is>
      </c>
    </row>
    <row r="5" ht="22" customHeight="1">
      <c r="B5" s="16" t="inlineStr">
        <is>
          <t>PRD001</t>
        </is>
      </c>
      <c r="C5" s="16" t="inlineStr">
        <is>
          <t>Rice (5kg)</t>
        </is>
      </c>
      <c r="D5" s="16" t="inlineStr">
        <is>
          <t>Grains</t>
        </is>
      </c>
      <c r="E5" s="6" t="n">
        <v>35</v>
      </c>
      <c r="F5" s="6" t="n">
        <v>26</v>
      </c>
      <c r="G5" s="32">
        <f>IFERROR((E5-F5)/E5,0)</f>
        <v/>
      </c>
      <c r="H5" s="16" t="inlineStr">
        <is>
          <t>Premium basmati rice 5kg bag</t>
        </is>
      </c>
      <c r="I5" s="16" t="inlineStr">
        <is>
          <t>Al Falaj</t>
        </is>
      </c>
    </row>
    <row r="6" ht="22" customHeight="1">
      <c r="B6" s="18" t="inlineStr">
        <is>
          <t>PRD002</t>
        </is>
      </c>
      <c r="C6" s="18" t="inlineStr">
        <is>
          <t>Milk (1L)</t>
        </is>
      </c>
      <c r="D6" s="18" t="inlineStr">
        <is>
          <t>Dairy</t>
        </is>
      </c>
      <c r="E6" s="10" t="n">
        <v>8</v>
      </c>
      <c r="F6" s="10" t="n">
        <v>5.5</v>
      </c>
      <c r="G6" s="33">
        <f>IFERROR((E6-F6)/E6,0)</f>
        <v/>
      </c>
      <c r="H6" s="18" t="inlineStr">
        <is>
          <t>Fresh full cream milk</t>
        </is>
      </c>
      <c r="I6" s="18" t="inlineStr">
        <is>
          <t>GCC Foods</t>
        </is>
      </c>
    </row>
    <row r="7" ht="22" customHeight="1">
      <c r="B7" s="16" t="inlineStr">
        <is>
          <t>PRD003</t>
        </is>
      </c>
      <c r="C7" s="16" t="inlineStr">
        <is>
          <t>Bread</t>
        </is>
      </c>
      <c r="D7" s="16" t="inlineStr">
        <is>
          <t>Bakery</t>
        </is>
      </c>
      <c r="E7" s="6" t="n">
        <v>5</v>
      </c>
      <c r="F7" s="6" t="n">
        <v>3</v>
      </c>
      <c r="G7" s="32">
        <f>IFERROR((E7-F7)/E7,0)</f>
        <v/>
      </c>
      <c r="H7" s="16" t="inlineStr">
        <is>
          <t>White sliced bread loaf</t>
        </is>
      </c>
      <c r="I7" s="16" t="inlineStr">
        <is>
          <t>Emirates Trading</t>
        </is>
      </c>
    </row>
    <row r="8" ht="22" customHeight="1">
      <c r="B8" s="18" t="inlineStr">
        <is>
          <t>PRD004</t>
        </is>
      </c>
      <c r="C8" s="18" t="inlineStr">
        <is>
          <t>Eggs (12pc)</t>
        </is>
      </c>
      <c r="D8" s="18" t="inlineStr">
        <is>
          <t>Dairy</t>
        </is>
      </c>
      <c r="E8" s="10" t="n">
        <v>12</v>
      </c>
      <c r="F8" s="10" t="n">
        <v>8</v>
      </c>
      <c r="G8" s="33">
        <f>IFERROR((E8-F8)/E8,0)</f>
        <v/>
      </c>
      <c r="H8" s="18" t="inlineStr">
        <is>
          <t>Farm fresh eggs 12 pack</t>
        </is>
      </c>
      <c r="I8" s="18" t="inlineStr">
        <is>
          <t>GCC Foods</t>
        </is>
      </c>
    </row>
    <row r="9" ht="22" customHeight="1">
      <c r="B9" s="16" t="inlineStr">
        <is>
          <t>PRD005</t>
        </is>
      </c>
      <c r="C9" s="16" t="inlineStr">
        <is>
          <t>Chicken (kg)</t>
        </is>
      </c>
      <c r="D9" s="16" t="inlineStr">
        <is>
          <t>Meat</t>
        </is>
      </c>
      <c r="E9" s="6" t="n">
        <v>28</v>
      </c>
      <c r="F9" s="6" t="n">
        <v>20</v>
      </c>
      <c r="G9" s="32">
        <f>IFERROR((E9-F9)/E9,0)</f>
        <v/>
      </c>
      <c r="H9" s="16" t="inlineStr">
        <is>
          <t>Fresh whole chicken per kg</t>
        </is>
      </c>
      <c r="I9" s="16" t="inlineStr">
        <is>
          <t>Al Falaj</t>
        </is>
      </c>
    </row>
    <row r="10" ht="22" customHeight="1">
      <c r="B10" s="18" t="inlineStr">
        <is>
          <t>PRD006</t>
        </is>
      </c>
      <c r="C10" s="18" t="inlineStr">
        <is>
          <t>Cooking Oil (1L)</t>
        </is>
      </c>
      <c r="D10" s="18" t="inlineStr">
        <is>
          <t>Grains</t>
        </is>
      </c>
      <c r="E10" s="10" t="n">
        <v>22</v>
      </c>
      <c r="F10" s="10" t="n">
        <v>15</v>
      </c>
      <c r="G10" s="33">
        <f>IFERROR((E10-F10)/E10,0)</f>
        <v/>
      </c>
      <c r="H10" s="18" t="inlineStr">
        <is>
          <t>Vegetable cooking oil 1L</t>
        </is>
      </c>
      <c r="I10" s="18" t="inlineStr">
        <is>
          <t>Emirates Trading</t>
        </is>
      </c>
    </row>
    <row r="11" ht="22" customHeight="1">
      <c r="B11" s="16" t="inlineStr">
        <is>
          <t>PRD007</t>
        </is>
      </c>
      <c r="C11" s="16" t="inlineStr">
        <is>
          <t>Water (6pk)</t>
        </is>
      </c>
      <c r="D11" s="16" t="inlineStr">
        <is>
          <t>Beverages</t>
        </is>
      </c>
      <c r="E11" s="6" t="n">
        <v>2</v>
      </c>
      <c r="F11" s="6" t="n">
        <v>1.2</v>
      </c>
      <c r="G11" s="32">
        <f>IFERROR((E11-F11)/E11,0)</f>
        <v/>
      </c>
      <c r="H11" s="16" t="inlineStr">
        <is>
          <t>Mineral water 6 bottles</t>
        </is>
      </c>
      <c r="I11" s="16" t="inlineStr">
        <is>
          <t>GCC Foods</t>
        </is>
      </c>
    </row>
    <row r="12" ht="22" customHeight="1">
      <c r="B12" s="18" t="inlineStr">
        <is>
          <t>PRD008</t>
        </is>
      </c>
      <c r="C12" s="18" t="inlineStr">
        <is>
          <t>Orange Juice (1L)</t>
        </is>
      </c>
      <c r="D12" s="18" t="inlineStr">
        <is>
          <t>Beverages</t>
        </is>
      </c>
      <c r="E12" s="10" t="n">
        <v>6</v>
      </c>
      <c r="F12" s="10" t="n">
        <v>3.8</v>
      </c>
      <c r="G12" s="33">
        <f>IFERROR((E12-F12)/E12,0)</f>
        <v/>
      </c>
      <c r="H12" s="18" t="inlineStr">
        <is>
          <t>Fresh orange juice 1L</t>
        </is>
      </c>
      <c r="I12" s="18" t="inlineStr">
        <is>
          <t>GCC Foods</t>
        </is>
      </c>
    </row>
    <row r="13" ht="22" customHeight="1">
      <c r="B13" s="16" t="inlineStr">
        <is>
          <t>PRD009</t>
        </is>
      </c>
      <c r="C13" s="16" t="inlineStr">
        <is>
          <t>Pasta (500g)</t>
        </is>
      </c>
      <c r="D13" s="16" t="inlineStr">
        <is>
          <t>Grains</t>
        </is>
      </c>
      <c r="E13" s="6" t="n">
        <v>4</v>
      </c>
      <c r="F13" s="6" t="n">
        <v>2.5</v>
      </c>
      <c r="G13" s="32">
        <f>IFERROR((E13-F13)/E13,0)</f>
        <v/>
      </c>
      <c r="H13" s="16" t="inlineStr">
        <is>
          <t>Italian spaghetti 500g</t>
        </is>
      </c>
      <c r="I13" s="16" t="inlineStr">
        <is>
          <t>Emirates Trading</t>
        </is>
      </c>
    </row>
    <row r="14" ht="22" customHeight="1">
      <c r="B14" s="18" t="inlineStr">
        <is>
          <t>PRD010</t>
        </is>
      </c>
      <c r="C14" s="18" t="inlineStr">
        <is>
          <t>Tomatoes (kg)</t>
        </is>
      </c>
      <c r="D14" s="18" t="inlineStr">
        <is>
          <t>Produce</t>
        </is>
      </c>
      <c r="E14" s="10" t="n">
        <v>6</v>
      </c>
      <c r="F14" s="10" t="n">
        <v>3.5</v>
      </c>
      <c r="G14" s="33">
        <f>IFERROR((E14-F14)/E14,0)</f>
        <v/>
      </c>
      <c r="H14" s="18" t="inlineStr">
        <is>
          <t>Fresh vine tomatoes per kg</t>
        </is>
      </c>
      <c r="I14" s="18" t="inlineStr">
        <is>
          <t>Al Falaj</t>
        </is>
      </c>
    </row>
    <row r="15" ht="22" customHeight="1">
      <c r="B15" s="16" t="inlineStr">
        <is>
          <t>PRD011</t>
        </is>
      </c>
      <c r="C15" s="16" t="inlineStr">
        <is>
          <t>Potatoes (kg)</t>
        </is>
      </c>
      <c r="D15" s="16" t="inlineStr">
        <is>
          <t>Produce</t>
        </is>
      </c>
      <c r="E15" s="6" t="n">
        <v>4</v>
      </c>
      <c r="F15" s="6" t="n">
        <v>2</v>
      </c>
      <c r="G15" s="32">
        <f>IFERROR((E15-F15)/E15,0)</f>
        <v/>
      </c>
      <c r="H15" s="16" t="inlineStr">
        <is>
          <t>Fresh potatoes per kg</t>
        </is>
      </c>
      <c r="I15" s="16" t="inlineStr">
        <is>
          <t>Al Falaj</t>
        </is>
      </c>
    </row>
    <row r="16" ht="22" customHeight="1">
      <c r="B16" s="18" t="inlineStr">
        <is>
          <t>PRD012</t>
        </is>
      </c>
      <c r="C16" s="18" t="inlineStr">
        <is>
          <t>Onions (kg)</t>
        </is>
      </c>
      <c r="D16" s="18" t="inlineStr">
        <is>
          <t>Produce</t>
        </is>
      </c>
      <c r="E16" s="10" t="n">
        <v>3</v>
      </c>
      <c r="F16" s="10" t="n">
        <v>1.5</v>
      </c>
      <c r="G16" s="33">
        <f>IFERROR((E16-F16)/E16,0)</f>
        <v/>
      </c>
      <c r="H16" s="18" t="inlineStr">
        <is>
          <t>Red onions per kg</t>
        </is>
      </c>
      <c r="I16" s="18" t="inlineStr">
        <is>
          <t>Al Falaj</t>
        </is>
      </c>
    </row>
    <row r="17" ht="22" customHeight="1">
      <c r="B17" s="16" t="inlineStr">
        <is>
          <t>PRD013</t>
        </is>
      </c>
      <c r="C17" s="16" t="inlineStr">
        <is>
          <t>Cheese (200g)</t>
        </is>
      </c>
      <c r="D17" s="16" t="inlineStr">
        <is>
          <t>Dairy</t>
        </is>
      </c>
      <c r="E17" s="6" t="n">
        <v>15</v>
      </c>
      <c r="F17" s="6" t="n">
        <v>10</v>
      </c>
      <c r="G17" s="32">
        <f>IFERROR((E17-F17)/E17,0)</f>
        <v/>
      </c>
      <c r="H17" s="16" t="inlineStr">
        <is>
          <t>Cheddar cheese slices 200g</t>
        </is>
      </c>
      <c r="I17" s="16" t="inlineStr">
        <is>
          <t>GCC Foods</t>
        </is>
      </c>
    </row>
    <row r="18" ht="22" customHeight="1">
      <c r="B18" s="18" t="inlineStr">
        <is>
          <t>PRD014</t>
        </is>
      </c>
      <c r="C18" s="18" t="inlineStr">
        <is>
          <t>Yogurt (500g)</t>
        </is>
      </c>
      <c r="D18" s="18" t="inlineStr">
        <is>
          <t>Dairy</t>
        </is>
      </c>
      <c r="E18" s="10" t="n">
        <v>7</v>
      </c>
      <c r="F18" s="10" t="n">
        <v>4.5</v>
      </c>
      <c r="G18" s="33">
        <f>IFERROR((E18-F18)/E18,0)</f>
        <v/>
      </c>
      <c r="H18" s="18" t="inlineStr">
        <is>
          <t>Natural yogurt 500g tub</t>
        </is>
      </c>
      <c r="I18" s="18" t="inlineStr">
        <is>
          <t>GCC Foods</t>
        </is>
      </c>
    </row>
    <row r="19" ht="22" customHeight="1">
      <c r="B19" s="16" t="inlineStr">
        <is>
          <t>PRD015</t>
        </is>
      </c>
      <c r="C19" s="16" t="inlineStr">
        <is>
          <t>Sugar (1kg)</t>
        </is>
      </c>
      <c r="D19" s="16" t="inlineStr">
        <is>
          <t>Grains</t>
        </is>
      </c>
      <c r="E19" s="6" t="n">
        <v>5</v>
      </c>
      <c r="F19" s="6" t="n">
        <v>3</v>
      </c>
      <c r="G19" s="32">
        <f>IFERROR((E19-F19)/E19,0)</f>
        <v/>
      </c>
      <c r="H19" s="16" t="inlineStr">
        <is>
          <t>White granulated sugar 1kg</t>
        </is>
      </c>
      <c r="I19" s="16" t="inlineStr">
        <is>
          <t>Emirates Trading</t>
        </is>
      </c>
    </row>
    <row r="20" ht="22" customHeight="1">
      <c r="B20" s="18" t="inlineStr">
        <is>
          <t>PRD016</t>
        </is>
      </c>
      <c r="C20" s="18" t="inlineStr">
        <is>
          <t>Flour (1kg)</t>
        </is>
      </c>
      <c r="D20" s="18" t="inlineStr">
        <is>
          <t>Grains</t>
        </is>
      </c>
      <c r="E20" s="10" t="n">
        <v>3</v>
      </c>
      <c r="F20" s="10" t="n">
        <v>1.8</v>
      </c>
      <c r="G20" s="33">
        <f>IFERROR((E20-F20)/E20,0)</f>
        <v/>
      </c>
      <c r="H20" s="18" t="inlineStr">
        <is>
          <t>All purpose flour 1kg</t>
        </is>
      </c>
      <c r="I20" s="18" t="inlineStr">
        <is>
          <t>Emirates Trading</t>
        </is>
      </c>
    </row>
    <row r="21" ht="22" customHeight="1">
      <c r="B21" s="16" t="inlineStr">
        <is>
          <t>PRD017</t>
        </is>
      </c>
      <c r="C21" s="16" t="inlineStr">
        <is>
          <t>Tea (25 bags)</t>
        </is>
      </c>
      <c r="D21" s="16" t="inlineStr">
        <is>
          <t>Beverages</t>
        </is>
      </c>
      <c r="E21" s="6" t="n">
        <v>10</v>
      </c>
      <c r="F21" s="6" t="n">
        <v>6.5</v>
      </c>
      <c r="G21" s="32">
        <f>IFERROR((E21-F21)/E21,0)</f>
        <v/>
      </c>
      <c r="H21" s="16" t="inlineStr">
        <is>
          <t>Black tea bags 25 count</t>
        </is>
      </c>
      <c r="I21" s="16" t="inlineStr">
        <is>
          <t>Emirates Trading</t>
        </is>
      </c>
    </row>
    <row r="22" ht="22" customHeight="1">
      <c r="B22" s="18" t="inlineStr">
        <is>
          <t>PRD018</t>
        </is>
      </c>
      <c r="C22" s="18" t="inlineStr">
        <is>
          <t>Coffee (200g)</t>
        </is>
      </c>
      <c r="D22" s="18" t="inlineStr">
        <is>
          <t>Beverages</t>
        </is>
      </c>
      <c r="E22" s="10" t="n">
        <v>18</v>
      </c>
      <c r="F22" s="10" t="n">
        <v>12</v>
      </c>
      <c r="G22" s="33">
        <f>IFERROR((E22-F22)/E22,0)</f>
        <v/>
      </c>
      <c r="H22" s="18" t="inlineStr">
        <is>
          <t>Arabic coffee 200g</t>
        </is>
      </c>
      <c r="I22" s="18" t="inlineStr">
        <is>
          <t>Emirates Trading</t>
        </is>
      </c>
    </row>
    <row r="23" ht="22" customHeight="1">
      <c r="B23" s="16" t="inlineStr">
        <is>
          <t>PRD019</t>
        </is>
      </c>
      <c r="C23" s="16" t="inlineStr">
        <is>
          <t>Butter (200g)</t>
        </is>
      </c>
      <c r="D23" s="16" t="inlineStr">
        <is>
          <t>Dairy</t>
        </is>
      </c>
      <c r="E23" s="6" t="n">
        <v>11</v>
      </c>
      <c r="F23" s="6" t="n">
        <v>7</v>
      </c>
      <c r="G23" s="32">
        <f>IFERROR((E23-F23)/E23,0)</f>
        <v/>
      </c>
      <c r="H23" s="16" t="inlineStr">
        <is>
          <t>Unsalted butter 200g</t>
        </is>
      </c>
      <c r="I23" s="16" t="inlineStr">
        <is>
          <t>GCC Foods</t>
        </is>
      </c>
    </row>
    <row r="24" ht="22" customHeight="1">
      <c r="B24" s="18" t="inlineStr">
        <is>
          <t>PRD020</t>
        </is>
      </c>
      <c r="C24" s="18" t="inlineStr">
        <is>
          <t>Detergent (1L)</t>
        </is>
      </c>
      <c r="D24" s="18" t="inlineStr">
        <is>
          <t>Cleaning</t>
        </is>
      </c>
      <c r="E24" s="10" t="n">
        <v>14</v>
      </c>
      <c r="F24" s="10" t="n">
        <v>9</v>
      </c>
      <c r="G24" s="33">
        <f>IFERROR((E24-F24)/E24,0)</f>
        <v/>
      </c>
      <c r="H24" s="18" t="inlineStr">
        <is>
          <t>Laundry detergent 1L</t>
        </is>
      </c>
      <c r="I24" s="18" t="inlineStr">
        <is>
          <t>Emirates Trading</t>
        </is>
      </c>
    </row>
    <row r="25" ht="22" customHeight="1">
      <c r="B25" s="16" t="inlineStr">
        <is>
          <t>PRD021</t>
        </is>
      </c>
      <c r="C25" s="16" t="inlineStr">
        <is>
          <t>Dish Soap (500ml)</t>
        </is>
      </c>
      <c r="D25" s="16" t="inlineStr">
        <is>
          <t>Cleaning</t>
        </is>
      </c>
      <c r="E25" s="6" t="n">
        <v>8</v>
      </c>
      <c r="F25" s="6" t="n">
        <v>5</v>
      </c>
      <c r="G25" s="32">
        <f>IFERROR((E25-F25)/E25,0)</f>
        <v/>
      </c>
      <c r="H25" s="16" t="inlineStr">
        <is>
          <t>Dishwashing liquid 500ml</t>
        </is>
      </c>
      <c r="I25" s="16" t="inlineStr">
        <is>
          <t>Emirates Trading</t>
        </is>
      </c>
    </row>
    <row r="26" ht="22" customHeight="1">
      <c r="B26" s="18" t="inlineStr">
        <is>
          <t>PRD022</t>
        </is>
      </c>
      <c r="C26" s="18" t="inlineStr">
        <is>
          <t>Chips (150g)</t>
        </is>
      </c>
      <c r="D26" s="18" t="inlineStr">
        <is>
          <t>Snacks</t>
        </is>
      </c>
      <c r="E26" s="10" t="n">
        <v>5</v>
      </c>
      <c r="F26" s="10" t="n">
        <v>3</v>
      </c>
      <c r="G26" s="33">
        <f>IFERROR((E26-F26)/E26,0)</f>
        <v/>
      </c>
      <c r="H26" s="18" t="inlineStr">
        <is>
          <t>Potato chips 150g bag</t>
        </is>
      </c>
      <c r="I26" s="18" t="inlineStr">
        <is>
          <t>GCC Foods</t>
        </is>
      </c>
    </row>
    <row r="27" ht="22" customHeight="1">
      <c r="B27" s="16" t="inlineStr">
        <is>
          <t>PRD023</t>
        </is>
      </c>
      <c r="C27" s="16" t="inlineStr">
        <is>
          <t>Chocolate Bar</t>
        </is>
      </c>
      <c r="D27" s="16" t="inlineStr">
        <is>
          <t>Snacks</t>
        </is>
      </c>
      <c r="E27" s="6" t="n">
        <v>7</v>
      </c>
      <c r="F27" s="6" t="n">
        <v>4.5</v>
      </c>
      <c r="G27" s="32">
        <f>IFERROR((E27-F27)/E27,0)</f>
        <v/>
      </c>
      <c r="H27" s="16" t="inlineStr">
        <is>
          <t>Milk chocolate bar 100g</t>
        </is>
      </c>
      <c r="I27" s="16" t="inlineStr">
        <is>
          <t>GCC Foods</t>
        </is>
      </c>
    </row>
    <row r="28" ht="22" customHeight="1">
      <c r="B28" s="18" t="inlineStr">
        <is>
          <t>PRD024</t>
        </is>
      </c>
      <c r="C28" s="18" t="inlineStr">
        <is>
          <t>Biscuits (200g)</t>
        </is>
      </c>
      <c r="D28" s="18" t="inlineStr">
        <is>
          <t>Snacks</t>
        </is>
      </c>
      <c r="E28" s="10" t="n">
        <v>4</v>
      </c>
      <c r="F28" s="10" t="n">
        <v>2.5</v>
      </c>
      <c r="G28" s="33">
        <f>IFERROR((E28-F28)/E28,0)</f>
        <v/>
      </c>
      <c r="H28" s="18" t="inlineStr">
        <is>
          <t>Assorted biscuits 200g</t>
        </is>
      </c>
      <c r="I28" s="18" t="inlineStr">
        <is>
          <t>Emirates Trading</t>
        </is>
      </c>
    </row>
    <row r="29" ht="22" customHeight="1">
      <c r="B29" s="16" t="inlineStr">
        <is>
          <t>PRD025</t>
        </is>
      </c>
      <c r="C29" s="16" t="inlineStr">
        <is>
          <t>Cereal (375g)</t>
        </is>
      </c>
      <c r="D29" s="16" t="inlineStr">
        <is>
          <t>Snacks</t>
        </is>
      </c>
      <c r="E29" s="6" t="n">
        <v>12</v>
      </c>
      <c r="F29" s="6" t="n">
        <v>8</v>
      </c>
      <c r="G29" s="32">
        <f>IFERROR((E29-F29)/E29,0)</f>
        <v/>
      </c>
      <c r="H29" s="16" t="inlineStr">
        <is>
          <t>Corn flakes cereal 375g</t>
        </is>
      </c>
      <c r="I29" s="16" t="inlineStr">
        <is>
          <t>Emirates Trading</t>
        </is>
      </c>
    </row>
    <row r="30" ht="22" customHeight="1">
      <c r="B30" s="18" t="inlineStr">
        <is>
          <t>PRD026</t>
        </is>
      </c>
      <c r="C30" s="18" t="inlineStr">
        <is>
          <t>Canned Beans</t>
        </is>
      </c>
      <c r="D30" s="18" t="inlineStr">
        <is>
          <t>Grains</t>
        </is>
      </c>
      <c r="E30" s="10" t="n">
        <v>3</v>
      </c>
      <c r="F30" s="10" t="n">
        <v>1.8</v>
      </c>
      <c r="G30" s="33">
        <f>IFERROR((E30-F30)/E30,0)</f>
        <v/>
      </c>
      <c r="H30" s="18" t="inlineStr">
        <is>
          <t>Baked beans in tomato sauce</t>
        </is>
      </c>
      <c r="I30" s="18" t="inlineStr">
        <is>
          <t>Al Falaj</t>
        </is>
      </c>
    </row>
    <row r="31" ht="22" customHeight="1">
      <c r="B31" s="16" t="inlineStr">
        <is>
          <t>PRD027</t>
        </is>
      </c>
      <c r="C31" s="16" t="inlineStr">
        <is>
          <t>Lamb (kg)</t>
        </is>
      </c>
      <c r="D31" s="16" t="inlineStr">
        <is>
          <t>Meat</t>
        </is>
      </c>
      <c r="E31" s="6" t="n">
        <v>55</v>
      </c>
      <c r="F31" s="6" t="n">
        <v>40</v>
      </c>
      <c r="G31" s="32">
        <f>IFERROR((E31-F31)/E31,0)</f>
        <v/>
      </c>
      <c r="H31" s="16" t="inlineStr">
        <is>
          <t>Fresh lamb meat per kg</t>
        </is>
      </c>
      <c r="I31" s="16" t="inlineStr">
        <is>
          <t>Al Falaj</t>
        </is>
      </c>
    </row>
    <row r="32" ht="22" customHeight="1">
      <c r="B32" s="18" t="inlineStr">
        <is>
          <t>PRD028</t>
        </is>
      </c>
      <c r="C32" s="18" t="inlineStr">
        <is>
          <t>Fish (kg)</t>
        </is>
      </c>
      <c r="D32" s="18" t="inlineStr">
        <is>
          <t>Meat</t>
        </is>
      </c>
      <c r="E32" s="10" t="n">
        <v>32</v>
      </c>
      <c r="F32" s="10" t="n">
        <v>22</v>
      </c>
      <c r="G32" s="33">
        <f>IFERROR((E32-F32)/E32,0)</f>
        <v/>
      </c>
      <c r="H32" s="18" t="inlineStr">
        <is>
          <t>Fresh fish per kg</t>
        </is>
      </c>
      <c r="I32" s="18" t="inlineStr">
        <is>
          <t>Al Falaj</t>
        </is>
      </c>
    </row>
    <row r="33" ht="26" customHeight="1">
      <c r="B33" s="11" t="inlineStr">
        <is>
          <t>AVERAGE</t>
        </is>
      </c>
      <c r="C33" s="12" t="n"/>
      <c r="D33" s="12" t="n"/>
      <c r="E33" s="34">
        <f>IFERROR(AVERAGE(E5:E32),0)</f>
        <v/>
      </c>
      <c r="F33" s="34">
        <f>IFERROR(AVERAGE(F5:F32),0)</f>
        <v/>
      </c>
      <c r="G33" s="35">
        <f>IFERROR(AVERAGE(G5:G32),0)</f>
        <v/>
      </c>
      <c r="H33" s="12" t="n"/>
      <c r="I33" s="12" t="n"/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2026-05-23T21:43:58Z</dcterms:created>
  <dcterms:modified xmlns:dcterms="http://purl.org/dc/terms/" xmlns:xsi="http://www.w3.org/2001/XMLSchema-instance" xsi:type="dcterms:W3CDTF">2026-05-23T21:43:59Z</dcterms:modified>
</cp:coreProperties>
</file>