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Analysis" sheetId="2" state="visible" r:id="rId2"/>
    <sheet xmlns:r="http://schemas.openxmlformats.org/officeDocument/2006/relationships" name="Expense Analysis" sheetId="3" state="visible" r:id="rId3"/>
    <sheet xmlns:r="http://schemas.openxmlformats.org/officeDocument/2006/relationships" name="Staff &amp; Operation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9C8B78"/>
      <sz val="9"/>
    </font>
    <font>
      <name val="Noto Sans CJK SC"/>
      <color rgb="00B85C1E"/>
      <sz val="22"/>
    </font>
    <font>
      <name val="Noto Sans CJK SC"/>
      <color rgb="00FFFFFF"/>
      <sz val="11"/>
    </font>
    <font>
      <name val="Noto Sans CJK SC"/>
      <color rgb="003E2F1F"/>
      <sz val="11"/>
    </font>
    <font>
      <name val="Noto Sans CJK SC"/>
      <color rgb="00B85C1E"/>
      <sz val="11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bottom"/>
    </xf>
    <xf numFmtId="3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 vertical="top"/>
    </xf>
    <xf numFmtId="4" fontId="3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4" fontId="5" fillId="4" borderId="0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3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4" fontId="6" fillId="5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left" vertical="center"/>
    </xf>
    <xf numFmtId="165" fontId="5" fillId="4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center" vertical="center"/>
    </xf>
    <xf numFmtId="165" fontId="6" fillId="5" borderId="2" applyAlignment="1" pivotButton="0" quotePrefix="0" xfId="0">
      <alignment horizontal="left" vertical="center"/>
    </xf>
    <xf numFmtId="0" fontId="6" fillId="5" borderId="2" pivotButton="0" quotePrefix="0" xfId="0"/>
    <xf numFmtId="3" fontId="6" fillId="5" borderId="2" pivotButton="0" quotePrefix="0" xfId="0"/>
    <xf numFmtId="3" fontId="0" fillId="0" borderId="0" pivotButton="0" quotePrefix="0" xfId="0"/>
    <xf numFmtId="9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9" fontId="5" fillId="4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66" fontId="6" fillId="5" borderId="2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color rgb="00C0392B"/>
      </font>
      <fill>
        <patternFill>
          <bgColor rgb="00FDEDEC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'Executive Summary'!$B$8:$B$13</f>
            </numRef>
          </cat>
          <val>
            <numRef>
              <f>'Executive Summary'!$C$7:$C$13</f>
            </numRef>
          </val>
        </ser>
        <ser>
          <idx val="1"/>
          <order val="1"/>
          <tx>
            <v>Expenses</v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cat>
            <numRef>
              <f>'Executive Summary'!$B$8:$B$13</f>
            </numRef>
          </cat>
          <val>
            <numRef>
              <f>'Executive Summary'!$D$7:$D$13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Profit Margin Trend</a:t>
            </a:r>
          </a:p>
        </rich>
      </tx>
    </title>
    <plotArea>
      <lineChart>
        <grouping val="standard"/>
        <ser>
          <idx val="0"/>
          <order val="0"/>
          <tx>
            <v>Profit Margin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Summary'!$B$8:$B$13</f>
            </numRef>
          </cat>
          <val>
            <numRef>
              <f>'Executive Summary'!$E$7:$E$13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Margin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Orders Trend</a:t>
            </a:r>
          </a:p>
        </rich>
      </tx>
    </title>
    <plotArea>
      <lineChart>
        <grouping val="standard"/>
        <ser>
          <idx val="0"/>
          <order val="0"/>
          <tx>
            <v>Orders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Summary'!$B$8:$B$13</f>
            </numRef>
          </cat>
          <val>
            <numRef>
              <f>'Executive Summary'!$G$7:$G$13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Orders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B85C1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C8B7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85C1E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65100"/>
              </a:solidFill>
              <a:ln xmlns:a="http://schemas.openxmlformats.org/drawingml/2006/main">
                <a:prstDash val="solid"/>
              </a:ln>
            </spPr>
          </dPt>
          <cat>
            <numRef>
              <f>'Sales Analysis'!$B$5:$B$12</f>
            </numRef>
          </cat>
          <val>
            <numRef>
              <f>'Sales Analysis'!$D$4:$D$12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v>Orders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'Sales Analysis'!$B$5:$B$12</f>
            </numRef>
          </cat>
          <val>
            <numRef>
              <f>'Sales Analysis'!$C$4:$C$12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Orders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Daily Revenue — January 2026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 Analysis'!$B$34:$B$64</f>
            </numRef>
          </cat>
          <val>
            <numRef>
              <f>'Sales Analysis'!$C$33:$C$64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Budget vs Actual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Budget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'Expense Analysis'!$B$5:$B$16</f>
            </numRef>
          </cat>
          <val>
            <numRef>
              <f>'Expense Analysis'!$C$4:$C$16</f>
            </numRef>
          </val>
        </ser>
        <ser>
          <idx val="1"/>
          <order val="1"/>
          <tx>
            <v>Actual</v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cat>
            <numRef>
              <f>'Expense Analysis'!$B$5:$B$16</f>
            </numRef>
          </cat>
          <val>
            <numRef>
              <f>'Expense Analysis'!$D$4:$D$16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Total Expense Trend</a:t>
            </a:r>
          </a:p>
        </rich>
      </tx>
    </title>
    <plotArea>
      <lineChart>
        <grouping val="standard"/>
        <ser>
          <idx val="0"/>
          <order val="0"/>
          <tx>
            <v>Total Expenses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'Expense Analysis'!$B$52:$E$52</f>
            </numRef>
          </cat>
          <val>
            <numRef>
              <f>'Expense Analysis'!$B$53</f>
            </numRef>
          </val>
        </ser>
        <ser>
          <idx val="1"/>
          <order val="1"/>
          <spPr>
            <a:solidFill xmlns:a="http://schemas.openxmlformats.org/drawingml/2006/main">
              <a:srgbClr val="2E7D32"/>
            </a:solidFill>
            <a:ln xmlns:a="http://schemas.openxmlformats.org/drawingml/2006/main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'Expense Analysis'!$B$52:$E$52</f>
            </numRef>
          </cat>
          <val>
            <numRef>
              <f>'Expense Analysis'!$C$53</f>
            </numRef>
          </val>
        </ser>
        <ser>
          <idx val="2"/>
          <order val="2"/>
          <spPr>
            <a:solidFill xmlns:a="http://schemas.openxmlformats.org/drawingml/2006/main">
              <a:srgbClr val="E65100"/>
            </a:solidFill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'Expense Analysis'!$B$52:$E$52</f>
            </numRef>
          </cat>
          <val>
            <numRef>
              <f>'Expense Analysis'!$D$53</f>
            </numRef>
          </val>
        </ser>
        <ser>
          <idx val="3"/>
          <order val="3"/>
          <spPr>
            <a:solidFill xmlns:a="http://schemas.openxmlformats.org/drawingml/2006/main">
              <a:srgbClr val="C62828"/>
            </a:solidFill>
            <a:ln xmlns:a="http://schemas.openxmlformats.org/drawingml/2006/main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'Expense Analysis'!$B$52:$E$52</f>
            </numRef>
          </cat>
          <val>
            <numRef>
              <f>'Expense Analysis'!$E$53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Revenue by Staff Member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 (AED)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'Staff &amp; Operations'!$B$5:$B$12</f>
            </numRef>
          </cat>
          <val>
            <numRef>
              <f>'Staff &amp; Operations'!$F$4:$F$12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Peak Hours Revenue</a:t>
            </a:r>
          </a:p>
        </rich>
      </tx>
    </title>
    <plotArea>
      <lineChart>
        <grouping val="standard"/>
        <ser>
          <idx val="0"/>
          <order val="0"/>
          <tx>
            <v>Avg Revenue</v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'Staff &amp; Operations'!$B$34:$B$39</f>
            </numRef>
          </cat>
          <val>
            <numRef>
              <f>'Staff &amp; Operations'!$D$33:$D$39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AED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43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66</row>
      <rowOff>0</rowOff>
    </from>
    <ext cx="79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53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40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6" customWidth="1" min="4" max="4"/>
    <col width="18" customWidth="1" min="5" max="5"/>
    <col width="15" customWidth="1" min="6" max="6"/>
    <col width="8" customWidth="1" min="7" max="7"/>
    <col width="17" customWidth="1" min="8" max="8"/>
    <col width="8" customWidth="1" min="9" max="9"/>
    <col width="14" customWidth="1" min="10" max="10"/>
    <col width="8" customWidth="1" min="11" max="11"/>
    <col width="17" customWidth="1" min="12" max="12"/>
    <col width="8" customWidth="1" min="13" max="13"/>
  </cols>
  <sheetData>
    <row r="1" ht="15" customHeight="1"/>
    <row r="2" ht="32" customHeight="1">
      <c r="B2" s="1" t="inlineStr">
        <is>
          <t>Al Matar Restaurant — Executive Dashboard</t>
        </is>
      </c>
    </row>
    <row r="3" ht="8" customHeight="1"/>
    <row r="4" ht="18" customHeight="1">
      <c r="B4" s="2" t="inlineStr">
        <is>
          <t>Total Revenue</t>
        </is>
      </c>
      <c r="D4" s="2" t="inlineStr">
        <is>
          <t>Total Expenses</t>
        </is>
      </c>
      <c r="F4" s="2" t="inlineStr">
        <is>
          <t>Net Profit</t>
        </is>
      </c>
      <c r="H4" s="2" t="inlineStr">
        <is>
          <t>Profit Margin</t>
        </is>
      </c>
      <c r="J4" s="2" t="inlineStr">
        <is>
          <t>Total Orders</t>
        </is>
      </c>
      <c r="L4" s="2" t="inlineStr">
        <is>
          <t>Avg Order Value</t>
        </is>
      </c>
    </row>
    <row r="5" ht="36" customHeight="1">
      <c r="C5" s="3" t="n">
        <v>1847500</v>
      </c>
      <c r="E5" s="3" t="n">
        <v>1218350</v>
      </c>
      <c r="G5" s="3" t="n">
        <v>629150</v>
      </c>
      <c r="I5" s="4" t="n">
        <v>0.3406</v>
      </c>
      <c r="K5" s="3" t="n">
        <v>34280</v>
      </c>
      <c r="M5" s="5" t="n">
        <v>53.88</v>
      </c>
    </row>
    <row r="6"/>
    <row r="7" ht="28" customHeight="1">
      <c r="B7" s="6" t="inlineStr">
        <is>
          <t>Month</t>
        </is>
      </c>
      <c r="C7" s="6" t="inlineStr">
        <is>
          <t>Revenue (AED)</t>
        </is>
      </c>
      <c r="D7" s="6" t="inlineStr">
        <is>
          <t>Expenses (AED)</t>
        </is>
      </c>
      <c r="E7" s="6" t="inlineStr">
        <is>
          <t>Net Profit (AED)</t>
        </is>
      </c>
      <c r="F7" s="6" t="inlineStr">
        <is>
          <t>Profit Margin</t>
        </is>
      </c>
      <c r="G7" s="6" t="inlineStr">
        <is>
          <t>Orders</t>
        </is>
      </c>
      <c r="H7" s="6" t="inlineStr">
        <is>
          <t>Avg Order (AED)</t>
        </is>
      </c>
    </row>
    <row r="8" ht="22" customHeight="1">
      <c r="B8" s="7" t="inlineStr">
        <is>
          <t>Aug 2025</t>
        </is>
      </c>
      <c r="C8" s="8" t="n">
        <v>278500</v>
      </c>
      <c r="D8" s="8" t="n">
        <v>189200</v>
      </c>
      <c r="E8" s="8" t="n">
        <v>89300</v>
      </c>
      <c r="F8" s="9" t="n">
        <v>0.3207</v>
      </c>
      <c r="G8" s="8" t="n">
        <v>5120</v>
      </c>
      <c r="H8" s="10" t="n">
        <v>54.39</v>
      </c>
    </row>
    <row r="9" ht="22" customHeight="1">
      <c r="B9" s="11" t="inlineStr">
        <is>
          <t>Sep 2025</t>
        </is>
      </c>
      <c r="C9" s="12" t="n">
        <v>296800</v>
      </c>
      <c r="D9" s="12" t="n">
        <v>198500</v>
      </c>
      <c r="E9" s="12" t="n">
        <v>98300</v>
      </c>
      <c r="F9" s="13" t="n">
        <v>0.3312</v>
      </c>
      <c r="G9" s="12" t="n">
        <v>5480</v>
      </c>
      <c r="H9" s="14" t="n">
        <v>54.16</v>
      </c>
    </row>
    <row r="10" ht="22" customHeight="1">
      <c r="B10" s="7" t="inlineStr">
        <is>
          <t>Oct 2025</t>
        </is>
      </c>
      <c r="C10" s="8" t="n">
        <v>312400</v>
      </c>
      <c r="D10" s="8" t="n">
        <v>205600</v>
      </c>
      <c r="E10" s="8" t="n">
        <v>106800</v>
      </c>
      <c r="F10" s="9" t="n">
        <v>0.3419</v>
      </c>
      <c r="G10" s="8" t="n">
        <v>5790</v>
      </c>
      <c r="H10" s="10" t="n">
        <v>53.95</v>
      </c>
    </row>
    <row r="11" ht="22" customHeight="1">
      <c r="B11" s="11" t="inlineStr">
        <is>
          <t>Nov 2025</t>
        </is>
      </c>
      <c r="C11" s="12" t="n">
        <v>325600</v>
      </c>
      <c r="D11" s="12" t="n">
        <v>213400</v>
      </c>
      <c r="E11" s="12" t="n">
        <v>112200</v>
      </c>
      <c r="F11" s="13" t="n">
        <v>0.3446</v>
      </c>
      <c r="G11" s="12" t="n">
        <v>5960</v>
      </c>
      <c r="H11" s="14" t="n">
        <v>54.63</v>
      </c>
    </row>
    <row r="12" ht="22" customHeight="1">
      <c r="B12" s="7" t="inlineStr">
        <is>
          <t>Dec 2025</t>
        </is>
      </c>
      <c r="C12" s="8" t="n">
        <v>308900</v>
      </c>
      <c r="D12" s="8" t="n">
        <v>202650</v>
      </c>
      <c r="E12" s="8" t="n">
        <v>106250</v>
      </c>
      <c r="F12" s="9" t="n">
        <v>0.3439</v>
      </c>
      <c r="G12" s="8" t="n">
        <v>5720</v>
      </c>
      <c r="H12" s="10" t="n">
        <v>54</v>
      </c>
    </row>
    <row r="13" ht="22" customHeight="1">
      <c r="B13" s="11" t="inlineStr">
        <is>
          <t>Jan 2026</t>
        </is>
      </c>
      <c r="C13" s="12" t="n">
        <v>325300</v>
      </c>
      <c r="D13" s="12" t="n">
        <v>209000</v>
      </c>
      <c r="E13" s="12" t="n">
        <v>116300</v>
      </c>
      <c r="F13" s="13" t="n">
        <v>0.3575</v>
      </c>
      <c r="G13" s="12" t="n">
        <v>6210</v>
      </c>
      <c r="H13" s="14" t="n">
        <v>52.38</v>
      </c>
    </row>
    <row r="14" ht="26" customHeight="1">
      <c r="B14" s="15" t="inlineStr">
        <is>
          <t>TOTAL</t>
        </is>
      </c>
      <c r="C14" s="16" t="n">
        <v>1847500</v>
      </c>
      <c r="D14" s="16" t="n">
        <v>1218350</v>
      </c>
      <c r="E14" s="16" t="n">
        <v>629150</v>
      </c>
      <c r="F14" s="17" t="n">
        <v>0.3406</v>
      </c>
      <c r="G14" s="16" t="n">
        <v>34280</v>
      </c>
      <c r="H14" s="18" t="n">
        <v>53.88</v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20" customHeight="1">
      <c r="B32" s="19" t="inlineStr">
        <is>
          <t>Prepared by Ahmed Ali | Data Analysis Services | ahmed-ali-ops.vercel.app</t>
        </is>
      </c>
    </row>
  </sheetData>
  <mergeCells count="2">
    <mergeCell ref="B32:M32"/>
    <mergeCell ref="B2:M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16" customWidth="1" min="5" max="5"/>
    <col width="17" customWidth="1" min="6" max="6"/>
    <col width="12" customWidth="1" min="7" max="7"/>
    <col width="10" customWidth="1" min="8" max="8"/>
    <col width="8" customWidth="1" min="9" max="9"/>
  </cols>
  <sheetData>
    <row r="1" ht="15" customHeight="1"/>
    <row r="2" ht="32" customHeight="1">
      <c r="B2" s="1" t="inlineStr">
        <is>
          <t>Sales Performance — January 2026</t>
        </is>
      </c>
    </row>
    <row r="3" ht="8" customHeight="1"/>
    <row r="4" ht="28" customHeight="1">
      <c r="B4" s="6" t="inlineStr">
        <is>
          <t>Category</t>
        </is>
      </c>
      <c r="C4" s="6" t="inlineStr">
        <is>
          <t>Orders</t>
        </is>
      </c>
      <c r="D4" s="6" t="inlineStr">
        <is>
          <t>Revenue (AED)</t>
        </is>
      </c>
      <c r="E4" s="6" t="inlineStr">
        <is>
          <t>% of Revenue</t>
        </is>
      </c>
      <c r="F4" s="6" t="inlineStr">
        <is>
          <t>Avg Order (AED)</t>
        </is>
      </c>
      <c r="G4" s="6" t="inlineStr">
        <is>
          <t>YoY Growth</t>
        </is>
      </c>
      <c r="H4" s="6" t="inlineStr">
        <is>
          <t>Trend</t>
        </is>
      </c>
    </row>
    <row r="5" ht="22" customHeight="1">
      <c r="B5" s="7" t="inlineStr">
        <is>
          <t>Grills &amp; BBQ</t>
        </is>
      </c>
      <c r="C5" s="8" t="n">
        <v>1420</v>
      </c>
      <c r="D5" s="8" t="n">
        <v>128500</v>
      </c>
      <c r="E5" s="9" t="n">
        <v>0.3949</v>
      </c>
      <c r="F5" s="10" t="n">
        <v>90.48999999999999</v>
      </c>
      <c r="G5" s="9" t="n">
        <v>0.12</v>
      </c>
      <c r="H5" s="7" t="inlineStr">
        <is>
          <t>▲ Up</t>
        </is>
      </c>
    </row>
    <row r="6" ht="22" customHeight="1">
      <c r="B6" s="11" t="inlineStr">
        <is>
          <t>Rice &amp; Biryani</t>
        </is>
      </c>
      <c r="C6" s="12" t="n">
        <v>1380</v>
      </c>
      <c r="D6" s="12" t="n">
        <v>95600</v>
      </c>
      <c r="E6" s="13" t="n">
        <v>0.2938</v>
      </c>
      <c r="F6" s="14" t="n">
        <v>69.28</v>
      </c>
      <c r="G6" s="13" t="n">
        <v>0.08</v>
      </c>
      <c r="H6" s="11" t="inlineStr">
        <is>
          <t>▲ Up</t>
        </is>
      </c>
    </row>
    <row r="7" ht="22" customHeight="1">
      <c r="B7" s="7" t="inlineStr">
        <is>
          <t>Shawarma</t>
        </is>
      </c>
      <c r="C7" s="8" t="n">
        <v>1650</v>
      </c>
      <c r="D7" s="8" t="n">
        <v>72600</v>
      </c>
      <c r="E7" s="9" t="n">
        <v>0.2232</v>
      </c>
      <c r="F7" s="10" t="n">
        <v>44</v>
      </c>
      <c r="G7" s="9" t="n">
        <v>0.15</v>
      </c>
      <c r="H7" s="7" t="inlineStr">
        <is>
          <t>▲ Up</t>
        </is>
      </c>
    </row>
    <row r="8" ht="22" customHeight="1">
      <c r="B8" s="11" t="inlineStr">
        <is>
          <t>Beverages</t>
        </is>
      </c>
      <c r="C8" s="12" t="n">
        <v>5800</v>
      </c>
      <c r="D8" s="12" t="n">
        <v>40600</v>
      </c>
      <c r="E8" s="13" t="n">
        <v>0.1248</v>
      </c>
      <c r="F8" s="14" t="n">
        <v>7</v>
      </c>
      <c r="G8" s="13" t="n">
        <v>0.05</v>
      </c>
      <c r="H8" s="11" t="inlineStr">
        <is>
          <t>→ Stable</t>
        </is>
      </c>
    </row>
    <row r="9" ht="22" customHeight="1">
      <c r="B9" s="7" t="inlineStr">
        <is>
          <t>Desserts</t>
        </is>
      </c>
      <c r="C9" s="8" t="n">
        <v>920</v>
      </c>
      <c r="D9" s="8" t="n">
        <v>28400</v>
      </c>
      <c r="E9" s="9" t="n">
        <v>0.0873</v>
      </c>
      <c r="F9" s="10" t="n">
        <v>30.87</v>
      </c>
      <c r="G9" s="9" t="n">
        <v>-0.03</v>
      </c>
      <c r="H9" s="7" t="inlineStr">
        <is>
          <t>▼ Down</t>
        </is>
      </c>
    </row>
    <row r="10" ht="22" customHeight="1">
      <c r="B10" s="11" t="inlineStr">
        <is>
          <t>Appetizers</t>
        </is>
      </c>
      <c r="C10" s="12" t="n">
        <v>1100</v>
      </c>
      <c r="D10" s="12" t="n">
        <v>24200</v>
      </c>
      <c r="E10" s="13" t="n">
        <v>0.07439999999999999</v>
      </c>
      <c r="F10" s="14" t="n">
        <v>22</v>
      </c>
      <c r="G10" s="13" t="n">
        <v>0.06</v>
      </c>
      <c r="H10" s="11" t="inlineStr">
        <is>
          <t>→ Stable</t>
        </is>
      </c>
    </row>
    <row r="11" ht="22" customHeight="1">
      <c r="B11" s="7" t="inlineStr">
        <is>
          <t>Seafood</t>
        </is>
      </c>
      <c r="C11" s="8" t="n">
        <v>420</v>
      </c>
      <c r="D11" s="8" t="n">
        <v>32500</v>
      </c>
      <c r="E11" s="9" t="n">
        <v>0.0999</v>
      </c>
      <c r="F11" s="10" t="n">
        <v>77.38</v>
      </c>
      <c r="G11" s="9" t="n">
        <v>0.18</v>
      </c>
      <c r="H11" s="7" t="inlineStr">
        <is>
          <t>▲ Up</t>
        </is>
      </c>
    </row>
    <row r="12" ht="22" customHeight="1">
      <c r="B12" s="11" t="inlineStr">
        <is>
          <t>Salads</t>
        </is>
      </c>
      <c r="C12" s="12" t="n">
        <v>680</v>
      </c>
      <c r="D12" s="12" t="n">
        <v>18500</v>
      </c>
      <c r="E12" s="13" t="n">
        <v>0.0569</v>
      </c>
      <c r="F12" s="14" t="n">
        <v>27.21</v>
      </c>
      <c r="G12" s="13" t="n">
        <v>0.02</v>
      </c>
      <c r="H12" s="11" t="inlineStr">
        <is>
          <t>→ Stable</t>
        </is>
      </c>
    </row>
    <row r="13" ht="26" customHeight="1">
      <c r="B13" s="15" t="inlineStr">
        <is>
          <t>TOTAL</t>
        </is>
      </c>
      <c r="C13" s="16" t="n">
        <v>13370</v>
      </c>
      <c r="D13" s="16" t="n">
        <v>325300</v>
      </c>
      <c r="E13" s="17" t="n">
        <v>1</v>
      </c>
      <c r="F13" s="18" t="n">
        <v>36.23</v>
      </c>
      <c r="G13" s="17" t="n">
        <v>0.09</v>
      </c>
      <c r="H13" s="15" t="inlineStr">
        <is>
          <t>—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28" customHeight="1">
      <c r="B33" s="6" t="inlineStr">
        <is>
          <t>Date</t>
        </is>
      </c>
      <c r="C33" s="6" t="inlineStr">
        <is>
          <t>Revenue (AED)</t>
        </is>
      </c>
      <c r="D33" s="6" t="inlineStr">
        <is>
          <t>Orders</t>
        </is>
      </c>
      <c r="E33" s="6" t="inlineStr">
        <is>
          <t>Top Category</t>
        </is>
      </c>
    </row>
    <row r="34" ht="22" customHeight="1">
      <c r="B34" s="20" t="inlineStr">
        <is>
          <t>2026-01-01</t>
        </is>
      </c>
      <c r="C34" s="8" t="n">
        <v>9800</v>
      </c>
      <c r="D34" s="8" t="n">
        <v>188</v>
      </c>
      <c r="E34" s="7" t="inlineStr">
        <is>
          <t>Grills &amp; BBQ</t>
        </is>
      </c>
    </row>
    <row r="35" ht="22" customHeight="1">
      <c r="B35" s="21" t="inlineStr">
        <is>
          <t>2026-01-02</t>
        </is>
      </c>
      <c r="C35" s="12" t="n">
        <v>10200</v>
      </c>
      <c r="D35" s="12" t="n">
        <v>196</v>
      </c>
      <c r="E35" s="11" t="inlineStr">
        <is>
          <t>Shawarma</t>
        </is>
      </c>
    </row>
    <row r="36" ht="22" customHeight="1">
      <c r="B36" s="20" t="inlineStr">
        <is>
          <t>2026-01-03</t>
        </is>
      </c>
      <c r="C36" s="8" t="n">
        <v>11500</v>
      </c>
      <c r="D36" s="8" t="n">
        <v>220</v>
      </c>
      <c r="E36" s="7" t="inlineStr">
        <is>
          <t>Rice &amp; Biryani</t>
        </is>
      </c>
    </row>
    <row r="37" ht="22" customHeight="1">
      <c r="B37" s="21" t="inlineStr">
        <is>
          <t>2026-01-04</t>
        </is>
      </c>
      <c r="C37" s="12" t="n">
        <v>10800</v>
      </c>
      <c r="D37" s="12" t="n">
        <v>208</v>
      </c>
      <c r="E37" s="11" t="inlineStr">
        <is>
          <t>Grills &amp; BBQ</t>
        </is>
      </c>
    </row>
    <row r="38" ht="22" customHeight="1">
      <c r="B38" s="20" t="inlineStr">
        <is>
          <t>2026-01-05</t>
        </is>
      </c>
      <c r="C38" s="8" t="n">
        <v>11200</v>
      </c>
      <c r="D38" s="8" t="n">
        <v>215</v>
      </c>
      <c r="E38" s="7" t="inlineStr">
        <is>
          <t>Seafood</t>
        </is>
      </c>
    </row>
    <row r="39" ht="22" customHeight="1">
      <c r="B39" s="21" t="inlineStr">
        <is>
          <t>2026-01-06</t>
        </is>
      </c>
      <c r="C39" s="12" t="n">
        <v>10600</v>
      </c>
      <c r="D39" s="12" t="n">
        <v>204</v>
      </c>
      <c r="E39" s="11" t="inlineStr">
        <is>
          <t>Shawarma</t>
        </is>
      </c>
    </row>
    <row r="40" ht="22" customHeight="1">
      <c r="B40" s="20" t="inlineStr">
        <is>
          <t>2026-01-07</t>
        </is>
      </c>
      <c r="C40" s="8" t="n">
        <v>10100</v>
      </c>
      <c r="D40" s="8" t="n">
        <v>194</v>
      </c>
      <c r="E40" s="7" t="inlineStr">
        <is>
          <t>Rice &amp; Biryani</t>
        </is>
      </c>
    </row>
    <row r="41" ht="22" customHeight="1">
      <c r="B41" s="21" t="inlineStr">
        <is>
          <t>2026-01-08</t>
        </is>
      </c>
      <c r="C41" s="12" t="n">
        <v>9900</v>
      </c>
      <c r="D41" s="12" t="n">
        <v>190</v>
      </c>
      <c r="E41" s="11" t="inlineStr">
        <is>
          <t>Grills &amp; BBQ</t>
        </is>
      </c>
    </row>
    <row r="42" ht="22" customHeight="1">
      <c r="B42" s="20" t="inlineStr">
        <is>
          <t>2026-01-09</t>
        </is>
      </c>
      <c r="C42" s="8" t="n">
        <v>10400</v>
      </c>
      <c r="D42" s="8" t="n">
        <v>200</v>
      </c>
      <c r="E42" s="7" t="inlineStr">
        <is>
          <t>Beverages</t>
        </is>
      </c>
    </row>
    <row r="43" ht="22" customHeight="1">
      <c r="B43" s="21" t="inlineStr">
        <is>
          <t>2026-01-10</t>
        </is>
      </c>
      <c r="C43" s="12" t="n">
        <v>11000</v>
      </c>
      <c r="D43" s="12" t="n">
        <v>212</v>
      </c>
      <c r="E43" s="11" t="inlineStr">
        <is>
          <t>Shawarma</t>
        </is>
      </c>
    </row>
    <row r="44" ht="22" customHeight="1">
      <c r="B44" s="20" t="inlineStr">
        <is>
          <t>2026-01-11</t>
        </is>
      </c>
      <c r="C44" s="8" t="n">
        <v>10800</v>
      </c>
      <c r="D44" s="8" t="n">
        <v>208</v>
      </c>
      <c r="E44" s="7" t="inlineStr">
        <is>
          <t>Grills &amp; BBQ</t>
        </is>
      </c>
    </row>
    <row r="45" ht="22" customHeight="1">
      <c r="B45" s="21" t="inlineStr">
        <is>
          <t>2026-01-12</t>
        </is>
      </c>
      <c r="C45" s="12" t="n">
        <v>11200</v>
      </c>
      <c r="D45" s="12" t="n">
        <v>215</v>
      </c>
      <c r="E45" s="11" t="inlineStr">
        <is>
          <t>Rice &amp; Biryani</t>
        </is>
      </c>
    </row>
    <row r="46" ht="22" customHeight="1">
      <c r="B46" s="20" t="inlineStr">
        <is>
          <t>2026-01-13</t>
        </is>
      </c>
      <c r="C46" s="8" t="n">
        <v>10600</v>
      </c>
      <c r="D46" s="8" t="n">
        <v>204</v>
      </c>
      <c r="E46" s="7" t="inlineStr">
        <is>
          <t>Shawarma</t>
        </is>
      </c>
    </row>
    <row r="47" ht="22" customHeight="1">
      <c r="B47" s="21" t="inlineStr">
        <is>
          <t>2026-01-14</t>
        </is>
      </c>
      <c r="C47" s="12" t="n">
        <v>11500</v>
      </c>
      <c r="D47" s="12" t="n">
        <v>221</v>
      </c>
      <c r="E47" s="11" t="inlineStr">
        <is>
          <t>Seafood</t>
        </is>
      </c>
    </row>
    <row r="48" ht="22" customHeight="1">
      <c r="B48" s="20" t="inlineStr">
        <is>
          <t>2026-01-15</t>
        </is>
      </c>
      <c r="C48" s="8" t="n">
        <v>10900</v>
      </c>
      <c r="D48" s="8" t="n">
        <v>210</v>
      </c>
      <c r="E48" s="7" t="inlineStr">
        <is>
          <t>Grills &amp; BBQ</t>
        </is>
      </c>
    </row>
    <row r="49" ht="22" customHeight="1">
      <c r="B49" s="21" t="inlineStr">
        <is>
          <t>2026-01-16</t>
        </is>
      </c>
      <c r="C49" s="12" t="n">
        <v>11100</v>
      </c>
      <c r="D49" s="12" t="n">
        <v>214</v>
      </c>
      <c r="E49" s="11" t="inlineStr">
        <is>
          <t>Rice &amp; Biryani</t>
        </is>
      </c>
    </row>
    <row r="50" ht="22" customHeight="1">
      <c r="B50" s="20" t="inlineStr">
        <is>
          <t>2026-01-17</t>
        </is>
      </c>
      <c r="C50" s="8" t="n">
        <v>10400</v>
      </c>
      <c r="D50" s="8" t="n">
        <v>200</v>
      </c>
      <c r="E50" s="7" t="inlineStr">
        <is>
          <t>Shawarma</t>
        </is>
      </c>
    </row>
    <row r="51" ht="22" customHeight="1">
      <c r="B51" s="21" t="inlineStr">
        <is>
          <t>2026-01-18</t>
        </is>
      </c>
      <c r="C51" s="12" t="n">
        <v>9800</v>
      </c>
      <c r="D51" s="12" t="n">
        <v>188</v>
      </c>
      <c r="E51" s="11" t="inlineStr">
        <is>
          <t>Grills &amp; BBQ</t>
        </is>
      </c>
    </row>
    <row r="52" ht="20" customHeight="1">
      <c r="B52" s="22" t="inlineStr">
        <is>
          <t>Prepared by Ahmed Ali | Data Analysis Services | ahmed-ali-ops.vercel.app</t>
        </is>
      </c>
    </row>
    <row r="53" ht="22" customHeight="1">
      <c r="B53" s="21" t="inlineStr">
        <is>
          <t>2026-01-20</t>
        </is>
      </c>
      <c r="C53" s="12" t="n">
        <v>10300</v>
      </c>
      <c r="D53" s="12" t="n">
        <v>198</v>
      </c>
      <c r="E53" s="11" t="inlineStr">
        <is>
          <t>Rice &amp; Biryani</t>
        </is>
      </c>
    </row>
    <row r="54" ht="22" customHeight="1">
      <c r="B54" s="20" t="inlineStr">
        <is>
          <t>2026-01-21</t>
        </is>
      </c>
      <c r="C54" s="8" t="n">
        <v>11200</v>
      </c>
      <c r="D54" s="8" t="n">
        <v>215</v>
      </c>
      <c r="E54" s="7" t="inlineStr">
        <is>
          <t>Grills &amp; BBQ</t>
        </is>
      </c>
    </row>
    <row r="55" ht="22" customHeight="1">
      <c r="B55" s="21" t="inlineStr">
        <is>
          <t>2026-01-22</t>
        </is>
      </c>
      <c r="C55" s="12" t="n">
        <v>10900</v>
      </c>
      <c r="D55" s="12" t="n">
        <v>210</v>
      </c>
      <c r="E55" s="11" t="inlineStr">
        <is>
          <t>Shawarma</t>
        </is>
      </c>
    </row>
    <row r="56" ht="22" customHeight="1">
      <c r="B56" s="20" t="inlineStr">
        <is>
          <t>2026-01-23</t>
        </is>
      </c>
      <c r="C56" s="8" t="n">
        <v>11600</v>
      </c>
      <c r="D56" s="8" t="n">
        <v>223</v>
      </c>
      <c r="E56" s="7" t="inlineStr">
        <is>
          <t>Seafood</t>
        </is>
      </c>
    </row>
    <row r="57" ht="22" customHeight="1">
      <c r="B57" s="21" t="inlineStr">
        <is>
          <t>2026-01-24</t>
        </is>
      </c>
      <c r="C57" s="12" t="n">
        <v>10100</v>
      </c>
      <c r="D57" s="12" t="n">
        <v>194</v>
      </c>
      <c r="E57" s="11" t="inlineStr">
        <is>
          <t>Grills &amp; BBQ</t>
        </is>
      </c>
    </row>
    <row r="58" ht="22" customHeight="1">
      <c r="B58" s="20" t="inlineStr">
        <is>
          <t>2026-01-25</t>
        </is>
      </c>
      <c r="C58" s="8" t="n">
        <v>10800</v>
      </c>
      <c r="D58" s="8" t="n">
        <v>208</v>
      </c>
      <c r="E58" s="7" t="inlineStr">
        <is>
          <t>Rice &amp; Biryani</t>
        </is>
      </c>
    </row>
    <row r="59" ht="22" customHeight="1">
      <c r="B59" s="21" t="inlineStr">
        <is>
          <t>2026-01-26</t>
        </is>
      </c>
      <c r="C59" s="12" t="n">
        <v>11300</v>
      </c>
      <c r="D59" s="12" t="n">
        <v>218</v>
      </c>
      <c r="E59" s="11" t="inlineStr">
        <is>
          <t>Shawarma</t>
        </is>
      </c>
    </row>
    <row r="60" ht="22" customHeight="1">
      <c r="B60" s="20" t="inlineStr">
        <is>
          <t>2026-01-27</t>
        </is>
      </c>
      <c r="C60" s="8" t="n">
        <v>10500</v>
      </c>
      <c r="D60" s="8" t="n">
        <v>202</v>
      </c>
      <c r="E60" s="7" t="inlineStr">
        <is>
          <t>Grills &amp; BBQ</t>
        </is>
      </c>
    </row>
    <row r="61" ht="22" customHeight="1">
      <c r="B61" s="21" t="inlineStr">
        <is>
          <t>2026-01-28</t>
        </is>
      </c>
      <c r="C61" s="12" t="n">
        <v>10200</v>
      </c>
      <c r="D61" s="12" t="n">
        <v>196</v>
      </c>
      <c r="E61" s="11" t="inlineStr">
        <is>
          <t>Beverages</t>
        </is>
      </c>
    </row>
    <row r="62" ht="22" customHeight="1">
      <c r="B62" s="20" t="inlineStr">
        <is>
          <t>2026-01-29</t>
        </is>
      </c>
      <c r="C62" s="8" t="n">
        <v>11000</v>
      </c>
      <c r="D62" s="8" t="n">
        <v>212</v>
      </c>
      <c r="E62" s="7" t="inlineStr">
        <is>
          <t>Grills &amp; BBQ</t>
        </is>
      </c>
    </row>
    <row r="63" ht="22" customHeight="1">
      <c r="B63" s="21" t="inlineStr">
        <is>
          <t>2026-01-30</t>
        </is>
      </c>
      <c r="C63" s="12" t="n">
        <v>11400</v>
      </c>
      <c r="D63" s="12" t="n">
        <v>219</v>
      </c>
      <c r="E63" s="11" t="inlineStr">
        <is>
          <t>Rice &amp; Biryani</t>
        </is>
      </c>
    </row>
    <row r="64" ht="22" customHeight="1">
      <c r="B64" s="20" t="inlineStr">
        <is>
          <t>2026-01-31</t>
        </is>
      </c>
      <c r="C64" s="8" t="n">
        <v>10900</v>
      </c>
      <c r="D64" s="8" t="n">
        <v>210</v>
      </c>
      <c r="E64" s="7" t="inlineStr">
        <is>
          <t>Shawarma</t>
        </is>
      </c>
    </row>
    <row r="65" ht="26" customHeight="1">
      <c r="B65" s="23" t="inlineStr">
        <is>
          <t>TOTAL</t>
        </is>
      </c>
      <c r="C65" s="16" t="n">
        <v>332700</v>
      </c>
      <c r="D65" s="16" t="n">
        <v>6398</v>
      </c>
      <c r="E65" s="15" t="inlineStr">
        <is>
          <t>—</t>
        </is>
      </c>
    </row>
  </sheetData>
  <mergeCells count="2">
    <mergeCell ref="B52:I52"/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6" customWidth="1" min="5" max="5"/>
    <col width="22" customWidth="1" min="6" max="6"/>
    <col width="14" customWidth="1" min="7" max="7"/>
    <col width="21" customWidth="1" min="8" max="8"/>
    <col width="8" customWidth="1" min="9" max="9"/>
  </cols>
  <sheetData>
    <row r="1" ht="15" customHeight="1"/>
    <row r="2" ht="32" customHeight="1">
      <c r="B2" s="1" t="inlineStr">
        <is>
          <t>Expense Breakdown — January 2026</t>
        </is>
      </c>
    </row>
    <row r="3" ht="8" customHeight="1"/>
    <row r="4" ht="28" customHeight="1">
      <c r="B4" s="6" t="inlineStr">
        <is>
          <t>Category</t>
        </is>
      </c>
      <c r="C4" s="6" t="inlineStr">
        <is>
          <t>Budget (AED)</t>
        </is>
      </c>
      <c r="D4" s="6" t="inlineStr">
        <is>
          <t>Actual (AED)</t>
        </is>
      </c>
      <c r="E4" s="6" t="inlineStr">
        <is>
          <t>Variance (AED)</t>
        </is>
      </c>
      <c r="F4" s="6" t="inlineStr">
        <is>
          <t>Variance %</t>
        </is>
      </c>
      <c r="G4" s="6" t="inlineStr">
        <is>
          <t>Status</t>
        </is>
      </c>
      <c r="H4" s="6" t="inlineStr">
        <is>
          <t>Notes</t>
        </is>
      </c>
    </row>
    <row r="5" ht="22" customHeight="1">
      <c r="B5" s="7" t="inlineStr">
        <is>
          <t>Rent</t>
        </is>
      </c>
      <c r="C5" s="8" t="n">
        <v>45000</v>
      </c>
      <c r="D5" s="8" t="n">
        <v>45000</v>
      </c>
      <c r="E5" s="8" t="n">
        <v>0</v>
      </c>
      <c r="F5" s="9" t="n">
        <v>0</v>
      </c>
      <c r="G5" s="7" t="inlineStr">
        <is>
          <t>On Budget</t>
        </is>
      </c>
      <c r="H5" s="7" t="inlineStr">
        <is>
          <t>Fixed lease</t>
        </is>
      </c>
    </row>
    <row r="6" ht="22" customHeight="1">
      <c r="B6" s="11" t="inlineStr">
        <is>
          <t>Staff Salaries</t>
        </is>
      </c>
      <c r="C6" s="12" t="n">
        <v>68000</v>
      </c>
      <c r="D6" s="12" t="n">
        <v>69500</v>
      </c>
      <c r="E6" s="12" t="n">
        <v>-1500</v>
      </c>
      <c r="F6" s="13" t="n">
        <v>-0.0221</v>
      </c>
      <c r="G6" s="11" t="inlineStr">
        <is>
          <t>Over Budget</t>
        </is>
      </c>
      <c r="H6" s="11" t="inlineStr">
        <is>
          <t>Overtime pay</t>
        </is>
      </c>
    </row>
    <row r="7" ht="22" customHeight="1">
      <c r="B7" s="7" t="inlineStr">
        <is>
          <t>Food Supplies</t>
        </is>
      </c>
      <c r="C7" s="8" t="n">
        <v>42000</v>
      </c>
      <c r="D7" s="8" t="n">
        <v>39800</v>
      </c>
      <c r="E7" s="8" t="n">
        <v>2200</v>
      </c>
      <c r="F7" s="9" t="n">
        <v>0.0524</v>
      </c>
      <c r="G7" s="7" t="inlineStr">
        <is>
          <t>Under Budget</t>
        </is>
      </c>
      <c r="H7" s="7" t="inlineStr">
        <is>
          <t>Bulk discount</t>
        </is>
      </c>
    </row>
    <row r="8" ht="22" customHeight="1">
      <c r="B8" s="11" t="inlineStr">
        <is>
          <t>Utilities</t>
        </is>
      </c>
      <c r="C8" s="12" t="n">
        <v>12000</v>
      </c>
      <c r="D8" s="12" t="n">
        <v>13200</v>
      </c>
      <c r="E8" s="12" t="n">
        <v>-1200</v>
      </c>
      <c r="F8" s="13" t="n">
        <v>-0.1</v>
      </c>
      <c r="G8" s="11" t="inlineStr">
        <is>
          <t>Over Budget</t>
        </is>
      </c>
      <c r="H8" s="11" t="inlineStr">
        <is>
          <t>AC usage high</t>
        </is>
      </c>
    </row>
    <row r="9" ht="22" customHeight="1">
      <c r="B9" s="7" t="inlineStr">
        <is>
          <t>Marketing</t>
        </is>
      </c>
      <c r="C9" s="8" t="n">
        <v>15000</v>
      </c>
      <c r="D9" s="8" t="n">
        <v>14800</v>
      </c>
      <c r="E9" s="8" t="n">
        <v>200</v>
      </c>
      <c r="F9" s="9" t="n">
        <v>0.0133</v>
      </c>
      <c r="G9" s="7" t="inlineStr">
        <is>
          <t>On Budget</t>
        </is>
      </c>
      <c r="H9" s="7" t="inlineStr">
        <is>
          <t>Social media ads</t>
        </is>
      </c>
    </row>
    <row r="10" ht="22" customHeight="1">
      <c r="B10" s="11" t="inlineStr">
        <is>
          <t>Maintenance</t>
        </is>
      </c>
      <c r="C10" s="12" t="n">
        <v>8000</v>
      </c>
      <c r="D10" s="12" t="n">
        <v>9200</v>
      </c>
      <c r="E10" s="12" t="n">
        <v>-1200</v>
      </c>
      <c r="F10" s="13" t="n">
        <v>-0.15</v>
      </c>
      <c r="G10" s="11" t="inlineStr">
        <is>
          <t>Over Budget</t>
        </is>
      </c>
      <c r="H10" s="11" t="inlineStr">
        <is>
          <t>Kitchen repair</t>
        </is>
      </c>
    </row>
    <row r="11" ht="22" customHeight="1">
      <c r="B11" s="7" t="inlineStr">
        <is>
          <t>Delivery Commissions</t>
        </is>
      </c>
      <c r="C11" s="8" t="n">
        <v>10000</v>
      </c>
      <c r="D11" s="8" t="n">
        <v>11500</v>
      </c>
      <c r="E11" s="8" t="n">
        <v>-1500</v>
      </c>
      <c r="F11" s="9" t="n">
        <v>-0.15</v>
      </c>
      <c r="G11" s="7" t="inlineStr">
        <is>
          <t>Over Budget</t>
        </is>
      </c>
      <c r="H11" s="7" t="inlineStr">
        <is>
          <t>Talabat surge</t>
        </is>
      </c>
    </row>
    <row r="12" ht="22" customHeight="1">
      <c r="B12" s="11" t="inlineStr">
        <is>
          <t>Insurance</t>
        </is>
      </c>
      <c r="C12" s="12" t="n">
        <v>5000</v>
      </c>
      <c r="D12" s="12" t="n">
        <v>5000</v>
      </c>
      <c r="E12" s="12" t="n">
        <v>0</v>
      </c>
      <c r="F12" s="13" t="n">
        <v>0</v>
      </c>
      <c r="G12" s="11" t="inlineStr">
        <is>
          <t>On Budget</t>
        </is>
      </c>
      <c r="H12" s="11" t="inlineStr">
        <is>
          <t>Annual policy</t>
        </is>
      </c>
    </row>
    <row r="13" ht="22" customHeight="1">
      <c r="B13" s="7" t="inlineStr">
        <is>
          <t>POS Fees</t>
        </is>
      </c>
      <c r="C13" s="8" t="n">
        <v>3000</v>
      </c>
      <c r="D13" s="8" t="n">
        <v>3100</v>
      </c>
      <c r="E13" s="8" t="n">
        <v>-100</v>
      </c>
      <c r="F13" s="9" t="n">
        <v>-0.0333</v>
      </c>
      <c r="G13" s="7" t="inlineStr">
        <is>
          <t>On Budget</t>
        </is>
      </c>
      <c r="H13" s="7" t="inlineStr">
        <is>
          <t>Card transactions</t>
        </is>
      </c>
    </row>
    <row r="14" ht="22" customHeight="1">
      <c r="B14" s="11" t="inlineStr">
        <is>
          <t>Cleaning</t>
        </is>
      </c>
      <c r="C14" s="12" t="n">
        <v>4000</v>
      </c>
      <c r="D14" s="12" t="n">
        <v>3800</v>
      </c>
      <c r="E14" s="12" t="n">
        <v>200</v>
      </c>
      <c r="F14" s="13" t="n">
        <v>0.05</v>
      </c>
      <c r="G14" s="11" t="inlineStr">
        <is>
          <t>Under Budget</t>
        </is>
      </c>
      <c r="H14" s="11" t="inlineStr">
        <is>
          <t>Negotiated rate</t>
        </is>
      </c>
    </row>
    <row r="15" ht="22" customHeight="1">
      <c r="B15" s="7" t="inlineStr">
        <is>
          <t>Miscellaneous</t>
        </is>
      </c>
      <c r="C15" s="8" t="n">
        <v>6000</v>
      </c>
      <c r="D15" s="8" t="n">
        <v>5400</v>
      </c>
      <c r="E15" s="8" t="n">
        <v>600</v>
      </c>
      <c r="F15" s="9" t="n">
        <v>0.1</v>
      </c>
      <c r="G15" s="7" t="inlineStr">
        <is>
          <t>Under Budget</t>
        </is>
      </c>
      <c r="H15" s="7" t="inlineStr">
        <is>
          <t>Lower than expected</t>
        </is>
      </c>
    </row>
    <row r="16" ht="22" customHeight="1">
      <c r="B16" s="11" t="inlineStr">
        <is>
          <t>Licenses</t>
        </is>
      </c>
      <c r="C16" s="12" t="n">
        <v>2000</v>
      </c>
      <c r="D16" s="12" t="n">
        <v>2000</v>
      </c>
      <c r="E16" s="12" t="n">
        <v>0</v>
      </c>
      <c r="F16" s="13" t="n">
        <v>0</v>
      </c>
      <c r="G16" s="11" t="inlineStr">
        <is>
          <t>On Budget</t>
        </is>
      </c>
      <c r="H16" s="11" t="inlineStr">
        <is>
          <t>Annual renewal</t>
        </is>
      </c>
    </row>
    <row r="17" ht="26" customHeight="1">
      <c r="B17" s="15" t="inlineStr">
        <is>
          <t>TOTAL</t>
        </is>
      </c>
      <c r="C17" s="16" t="n">
        <v>220000</v>
      </c>
      <c r="D17" s="16" t="n">
        <v>222300</v>
      </c>
      <c r="E17" s="16" t="n">
        <v>2300</v>
      </c>
      <c r="F17" s="17" t="n">
        <v>0.01045454545454545</v>
      </c>
      <c r="G17" s="15" t="inlineStr"/>
      <c r="H17" s="15" t="inlineStr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 ht="28" customHeight="1">
      <c r="B37" s="6" t="inlineStr">
        <is>
          <t>Category</t>
        </is>
      </c>
      <c r="C37" s="6" t="inlineStr">
        <is>
          <t>Oct 2025</t>
        </is>
      </c>
      <c r="D37" s="6" t="inlineStr">
        <is>
          <t>Nov 2025</t>
        </is>
      </c>
      <c r="E37" s="6" t="inlineStr">
        <is>
          <t>Dec 2025</t>
        </is>
      </c>
      <c r="F37" s="6" t="inlineStr">
        <is>
          <t>Jan 2026</t>
        </is>
      </c>
    </row>
    <row r="38" ht="22" customHeight="1">
      <c r="B38" s="7" t="inlineStr">
        <is>
          <t>Rent</t>
        </is>
      </c>
      <c r="C38" s="8" t="n">
        <v>45000</v>
      </c>
      <c r="D38" s="8" t="n">
        <v>45000</v>
      </c>
      <c r="E38" s="8" t="n">
        <v>45000</v>
      </c>
      <c r="F38" s="8" t="n">
        <v>45000</v>
      </c>
    </row>
    <row r="39" ht="22" customHeight="1">
      <c r="B39" s="11" t="inlineStr">
        <is>
          <t>Staff Salaries</t>
        </is>
      </c>
      <c r="C39" s="12" t="n">
        <v>67200</v>
      </c>
      <c r="D39" s="12" t="n">
        <v>68000</v>
      </c>
      <c r="E39" s="12" t="n">
        <v>68500</v>
      </c>
      <c r="F39" s="12" t="n">
        <v>69500</v>
      </c>
    </row>
    <row r="40" ht="22" customHeight="1">
      <c r="B40" s="7" t="inlineStr">
        <is>
          <t>Food Supplies</t>
        </is>
      </c>
      <c r="C40" s="8" t="n">
        <v>41500</v>
      </c>
      <c r="D40" s="8" t="n">
        <v>40200</v>
      </c>
      <c r="E40" s="8" t="n">
        <v>40800</v>
      </c>
      <c r="F40" s="8" t="n">
        <v>39800</v>
      </c>
    </row>
    <row r="41" ht="22" customHeight="1">
      <c r="B41" s="11" t="inlineStr">
        <is>
          <t>Utilities</t>
        </is>
      </c>
      <c r="C41" s="12" t="n">
        <v>11500</v>
      </c>
      <c r="D41" s="12" t="n">
        <v>11800</v>
      </c>
      <c r="E41" s="12" t="n">
        <v>12400</v>
      </c>
      <c r="F41" s="12" t="n">
        <v>13200</v>
      </c>
    </row>
    <row r="42" ht="22" customHeight="1">
      <c r="B42" s="7" t="inlineStr">
        <is>
          <t>Marketing</t>
        </is>
      </c>
      <c r="C42" s="8" t="n">
        <v>14000</v>
      </c>
      <c r="D42" s="8" t="n">
        <v>14500</v>
      </c>
      <c r="E42" s="8" t="n">
        <v>15200</v>
      </c>
      <c r="F42" s="8" t="n">
        <v>14800</v>
      </c>
    </row>
    <row r="43" ht="22" customHeight="1">
      <c r="B43" s="11" t="inlineStr">
        <is>
          <t>Maintenance</t>
        </is>
      </c>
      <c r="C43" s="12" t="n">
        <v>7500</v>
      </c>
      <c r="D43" s="12" t="n">
        <v>8200</v>
      </c>
      <c r="E43" s="12" t="n">
        <v>7800</v>
      </c>
      <c r="F43" s="12" t="n">
        <v>9200</v>
      </c>
    </row>
    <row r="44" ht="22" customHeight="1">
      <c r="B44" s="7" t="inlineStr">
        <is>
          <t>Delivery Commissions</t>
        </is>
      </c>
      <c r="C44" s="8" t="n">
        <v>9500</v>
      </c>
      <c r="D44" s="8" t="n">
        <v>10200</v>
      </c>
      <c r="E44" s="8" t="n">
        <v>10800</v>
      </c>
      <c r="F44" s="8" t="n">
        <v>11500</v>
      </c>
    </row>
    <row r="45" ht="22" customHeight="1">
      <c r="B45" s="11" t="inlineStr">
        <is>
          <t>Insurance</t>
        </is>
      </c>
      <c r="C45" s="12" t="n">
        <v>5000</v>
      </c>
      <c r="D45" s="12" t="n">
        <v>5000</v>
      </c>
      <c r="E45" s="12" t="n">
        <v>5000</v>
      </c>
      <c r="F45" s="12" t="n">
        <v>5000</v>
      </c>
    </row>
    <row r="46" ht="22" customHeight="1">
      <c r="B46" s="7" t="inlineStr">
        <is>
          <t>POS Fees</t>
        </is>
      </c>
      <c r="C46" s="8" t="n">
        <v>2800</v>
      </c>
      <c r="D46" s="8" t="n">
        <v>2900</v>
      </c>
      <c r="E46" s="8" t="n">
        <v>2950</v>
      </c>
      <c r="F46" s="8" t="n">
        <v>3100</v>
      </c>
    </row>
    <row r="47" ht="22" customHeight="1">
      <c r="B47" s="11" t="inlineStr">
        <is>
          <t>Cleaning</t>
        </is>
      </c>
      <c r="C47" s="12" t="n">
        <v>4200</v>
      </c>
      <c r="D47" s="12" t="n">
        <v>4000</v>
      </c>
      <c r="E47" s="12" t="n">
        <v>3900</v>
      </c>
      <c r="F47" s="12" t="n">
        <v>3800</v>
      </c>
    </row>
    <row r="48" ht="22" customHeight="1">
      <c r="B48" s="7" t="inlineStr">
        <is>
          <t>Miscellaneous</t>
        </is>
      </c>
      <c r="C48" s="8" t="n">
        <v>5800</v>
      </c>
      <c r="D48" s="8" t="n">
        <v>5500</v>
      </c>
      <c r="E48" s="8" t="n">
        <v>5700</v>
      </c>
      <c r="F48" s="8" t="n">
        <v>5400</v>
      </c>
    </row>
    <row r="49" ht="22" customHeight="1">
      <c r="B49" s="11" t="inlineStr">
        <is>
          <t>Licenses</t>
        </is>
      </c>
      <c r="C49" s="12" t="n">
        <v>2000</v>
      </c>
      <c r="D49" s="12" t="n">
        <v>2000</v>
      </c>
      <c r="E49" s="12" t="n">
        <v>2000</v>
      </c>
      <c r="F49" s="12" t="n">
        <v>2000</v>
      </c>
    </row>
    <row r="50" ht="26" customHeight="1">
      <c r="B50" s="24" t="inlineStr">
        <is>
          <t>TOTAL</t>
        </is>
      </c>
      <c r="C50" s="25" t="n">
        <v>216000</v>
      </c>
      <c r="D50" s="25" t="n">
        <v>217300</v>
      </c>
      <c r="E50" s="25" t="n">
        <v>220050</v>
      </c>
      <c r="F50" s="25" t="n">
        <v>222300</v>
      </c>
    </row>
    <row r="51"/>
    <row r="52">
      <c r="B52" t="inlineStr">
        <is>
          <t>Oct 2025</t>
        </is>
      </c>
      <c r="C52" t="inlineStr">
        <is>
          <t>Nov 2025</t>
        </is>
      </c>
      <c r="D52" t="inlineStr">
        <is>
          <t>Dec 2025</t>
        </is>
      </c>
      <c r="E52" t="inlineStr">
        <is>
          <t>Jan 2026</t>
        </is>
      </c>
    </row>
    <row r="53">
      <c r="B53" s="26" t="n">
        <v>216000</v>
      </c>
      <c r="C53" s="26" t="n">
        <v>217300</v>
      </c>
      <c r="D53" s="26" t="n">
        <v>220050</v>
      </c>
      <c r="E53" s="26" t="n">
        <v>222300</v>
      </c>
    </row>
    <row r="54"/>
    <row r="55"/>
    <row r="56"/>
    <row r="57"/>
    <row r="58" ht="20" customHeight="1">
      <c r="B58" s="19" t="inlineStr">
        <is>
          <t>Prepared by Ahmed Ali | Data Analysis Services | ahmed-ali-ops.vercel.app</t>
        </is>
      </c>
    </row>
  </sheetData>
  <mergeCells count="2">
    <mergeCell ref="B58:I58"/>
    <mergeCell ref="B2:I2"/>
  </mergeCells>
  <conditionalFormatting sqref="F5:F1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G5:G16">
    <cfRule type="cellIs" priority="3" operator="equal" dxfId="0">
      <formula>"Over Budget"</formula>
    </cfRule>
    <cfRule type="cellIs" priority="4" operator="equal" dxfId="1">
      <formula>"Under Budget"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9" customWidth="1" min="4" max="4"/>
    <col width="16" customWidth="1" min="5" max="5"/>
    <col width="25" customWidth="1" min="6" max="6"/>
    <col width="18" customWidth="1" min="7" max="7"/>
    <col width="8" customWidth="1" min="8" max="8"/>
    <col width="8" customWidth="1" min="9" max="9"/>
  </cols>
  <sheetData>
    <row r="1" ht="15" customHeight="1"/>
    <row r="2" ht="32" customHeight="1">
      <c r="B2" s="1" t="inlineStr">
        <is>
          <t>Staff Performance &amp; Operations — January 2026</t>
        </is>
      </c>
    </row>
    <row r="3" ht="8" customHeight="1"/>
    <row r="4" ht="28" customHeight="1">
      <c r="B4" s="6" t="inlineStr">
        <is>
          <t>Name</t>
        </is>
      </c>
      <c r="C4" s="6" t="inlineStr">
        <is>
          <t>Role</t>
        </is>
      </c>
      <c r="D4" s="6" t="inlineStr">
        <is>
          <t>Hours Worked</t>
        </is>
      </c>
      <c r="E4" s="6" t="inlineStr">
        <is>
          <t>Clients Served</t>
        </is>
      </c>
      <c r="F4" s="6" t="inlineStr">
        <is>
          <t>Revenue Generated (AED)</t>
        </is>
      </c>
      <c r="G4" s="6" t="inlineStr">
        <is>
          <t>Efficiency Score</t>
        </is>
      </c>
      <c r="H4" s="6" t="inlineStr">
        <is>
          <t>Rating</t>
        </is>
      </c>
    </row>
    <row r="5" ht="22" customHeight="1">
      <c r="B5" s="7" t="inlineStr">
        <is>
          <t>Mohammed Al Suwaidi</t>
        </is>
      </c>
      <c r="C5" s="7" t="inlineStr">
        <is>
          <t>Head Chef</t>
        </is>
      </c>
      <c r="D5" s="8" t="n">
        <v>220</v>
      </c>
      <c r="E5" s="8" t="n">
        <v>890</v>
      </c>
      <c r="F5" s="8" t="n">
        <v>142500</v>
      </c>
      <c r="G5" s="27" t="n">
        <v>0.95</v>
      </c>
      <c r="H5" s="28" t="n">
        <v>4.8</v>
      </c>
    </row>
    <row r="6" ht="22" customHeight="1">
      <c r="B6" s="11" t="inlineStr">
        <is>
          <t>Fatima Al Zaabi</t>
        </is>
      </c>
      <c r="C6" s="11" t="inlineStr">
        <is>
          <t>Floor Manager</t>
        </is>
      </c>
      <c r="D6" s="12" t="n">
        <v>200</v>
      </c>
      <c r="E6" s="12" t="n">
        <v>1200</v>
      </c>
      <c r="F6" s="12" t="n">
        <v>98000</v>
      </c>
      <c r="G6" s="29" t="n">
        <v>0.88</v>
      </c>
      <c r="H6" s="30" t="n">
        <v>4.6</v>
      </c>
    </row>
    <row r="7" ht="22" customHeight="1">
      <c r="B7" s="7" t="inlineStr">
        <is>
          <t>Ahmed Hassan</t>
        </is>
      </c>
      <c r="C7" s="7" t="inlineStr">
        <is>
          <t>Grill Master</t>
        </is>
      </c>
      <c r="D7" s="8" t="n">
        <v>210</v>
      </c>
      <c r="E7" s="8" t="n">
        <v>720</v>
      </c>
      <c r="F7" s="8" t="n">
        <v>86500</v>
      </c>
      <c r="G7" s="27" t="n">
        <v>0.92</v>
      </c>
      <c r="H7" s="28" t="n">
        <v>4.5</v>
      </c>
    </row>
    <row r="8" ht="22" customHeight="1">
      <c r="B8" s="11" t="inlineStr">
        <is>
          <t>Sara Ibrahim</t>
        </is>
      </c>
      <c r="C8" s="11" t="inlineStr">
        <is>
          <t>Cashier</t>
        </is>
      </c>
      <c r="D8" s="12" t="n">
        <v>190</v>
      </c>
      <c r="E8" s="12" t="n">
        <v>2400</v>
      </c>
      <c r="F8" s="12" t="n">
        <v>52300</v>
      </c>
      <c r="G8" s="29" t="n">
        <v>0.85</v>
      </c>
      <c r="H8" s="30" t="n">
        <v>4.3</v>
      </c>
    </row>
    <row r="9" ht="22" customHeight="1">
      <c r="B9" s="7" t="inlineStr">
        <is>
          <t>Khalid Omar</t>
        </is>
      </c>
      <c r="C9" s="7" t="inlineStr">
        <is>
          <t>Waiter</t>
        </is>
      </c>
      <c r="D9" s="8" t="n">
        <v>180</v>
      </c>
      <c r="E9" s="8" t="n">
        <v>1650</v>
      </c>
      <c r="F9" s="8" t="n">
        <v>48200</v>
      </c>
      <c r="G9" s="27" t="n">
        <v>0.8</v>
      </c>
      <c r="H9" s="28" t="n">
        <v>4.1</v>
      </c>
    </row>
    <row r="10" ht="22" customHeight="1">
      <c r="B10" s="11" t="inlineStr">
        <is>
          <t>Nour Ali</t>
        </is>
      </c>
      <c r="C10" s="11" t="inlineStr">
        <is>
          <t>Pastry Chef</t>
        </is>
      </c>
      <c r="D10" s="12" t="n">
        <v>200</v>
      </c>
      <c r="E10" s="12" t="n">
        <v>580</v>
      </c>
      <c r="F10" s="12" t="n">
        <v>38900</v>
      </c>
      <c r="G10" s="29" t="n">
        <v>0.9</v>
      </c>
      <c r="H10" s="30" t="n">
        <v>4.7</v>
      </c>
    </row>
    <row r="11" ht="22" customHeight="1">
      <c r="B11" s="7" t="inlineStr">
        <is>
          <t>Youssef Majeed</t>
        </is>
      </c>
      <c r="C11" s="7" t="inlineStr">
        <is>
          <t>Delivery Lead</t>
        </is>
      </c>
      <c r="D11" s="8" t="n">
        <v>195</v>
      </c>
      <c r="E11" s="8" t="n">
        <v>980</v>
      </c>
      <c r="F11" s="8" t="n">
        <v>42100</v>
      </c>
      <c r="G11" s="27" t="n">
        <v>0.82</v>
      </c>
      <c r="H11" s="28" t="n">
        <v>4</v>
      </c>
    </row>
    <row r="12" ht="22" customHeight="1">
      <c r="B12" s="11" t="inlineStr">
        <is>
          <t>Mariam Saeed</t>
        </is>
      </c>
      <c r="C12" s="11" t="inlineStr">
        <is>
          <t>Hostess</t>
        </is>
      </c>
      <c r="D12" s="12" t="n">
        <v>175</v>
      </c>
      <c r="E12" s="12" t="n">
        <v>1800</v>
      </c>
      <c r="F12" s="12" t="n">
        <v>35400</v>
      </c>
      <c r="G12" s="29" t="n">
        <v>0.78</v>
      </c>
      <c r="H12" s="30" t="n">
        <v>4.2</v>
      </c>
    </row>
    <row r="13" ht="26" customHeight="1">
      <c r="B13" s="15" t="inlineStr">
        <is>
          <t>TOTAL</t>
        </is>
      </c>
      <c r="C13" s="15" t="inlineStr"/>
      <c r="D13" s="16" t="n">
        <v>1570</v>
      </c>
      <c r="E13" s="16" t="n">
        <v>10220</v>
      </c>
      <c r="F13" s="16" t="n">
        <v>543900</v>
      </c>
      <c r="G13" s="31" t="n">
        <v>0.86</v>
      </c>
      <c r="H13" s="32" t="n">
        <v>4.4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28" customHeight="1">
      <c r="B33" s="6" t="inlineStr">
        <is>
          <t>Time Slot</t>
        </is>
      </c>
      <c r="C33" s="6" t="inlineStr">
        <is>
          <t>Avg Orders</t>
        </is>
      </c>
      <c r="D33" s="6" t="inlineStr">
        <is>
          <t>Avg Revenue (AED)</t>
        </is>
      </c>
    </row>
    <row r="34" ht="22" customHeight="1">
      <c r="B34" s="7" t="inlineStr">
        <is>
          <t>10:00 AM – 12:00 PM</t>
        </is>
      </c>
      <c r="C34" s="8" t="n">
        <v>45</v>
      </c>
      <c r="D34" s="8" t="n">
        <v>2430</v>
      </c>
    </row>
    <row r="35" ht="22" customHeight="1">
      <c r="B35" s="11" t="inlineStr">
        <is>
          <t>12:00 PM – 2:00 PM</t>
        </is>
      </c>
      <c r="C35" s="12" t="n">
        <v>128</v>
      </c>
      <c r="D35" s="12" t="n">
        <v>6920</v>
      </c>
    </row>
    <row r="36" ht="22" customHeight="1">
      <c r="B36" s="7" t="inlineStr">
        <is>
          <t>2:00 PM – 5:00 PM</t>
        </is>
      </c>
      <c r="C36" s="8" t="n">
        <v>62</v>
      </c>
      <c r="D36" s="8" t="n">
        <v>3350</v>
      </c>
    </row>
    <row r="37" ht="22" customHeight="1">
      <c r="B37" s="11" t="inlineStr">
        <is>
          <t>5:00 PM – 8:00 PM</t>
        </is>
      </c>
      <c r="C37" s="12" t="n">
        <v>145</v>
      </c>
      <c r="D37" s="12" t="n">
        <v>7830</v>
      </c>
    </row>
    <row r="38" ht="22" customHeight="1">
      <c r="B38" s="7" t="inlineStr">
        <is>
          <t>8:00 PM – 10:00 PM</t>
        </is>
      </c>
      <c r="C38" s="8" t="n">
        <v>98</v>
      </c>
      <c r="D38" s="8" t="n">
        <v>5290</v>
      </c>
    </row>
    <row r="39" ht="22" customHeight="1">
      <c r="B39" s="11" t="inlineStr">
        <is>
          <t>10:00 PM – 12:00 AM</t>
        </is>
      </c>
      <c r="C39" s="12" t="n">
        <v>42</v>
      </c>
      <c r="D39" s="12" t="n">
        <v>2270</v>
      </c>
    </row>
    <row r="40"/>
    <row r="41"/>
    <row r="42"/>
    <row r="43"/>
    <row r="44"/>
    <row r="45"/>
    <row r="46"/>
    <row r="47"/>
    <row r="48"/>
    <row r="49"/>
    <row r="50"/>
    <row r="51"/>
    <row r="52"/>
    <row r="53" ht="20" customHeight="1">
      <c r="B53" s="19" t="inlineStr">
        <is>
          <t>Prepared by Ahmed Ali | Data Analysis Services | ahmed-ali-ops.vercel.app</t>
        </is>
      </c>
    </row>
  </sheetData>
  <mergeCells count="2">
    <mergeCell ref="B53:I53"/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28" customWidth="1" min="4" max="4"/>
    <col width="8" customWidth="1" min="5" max="5"/>
    <col width="28" customWidth="1" min="6" max="6"/>
    <col width="10" customWidth="1" min="7" max="7"/>
    <col width="8" customWidth="1" min="8" max="8"/>
  </cols>
  <sheetData>
    <row r="1" ht="15" customHeight="1"/>
    <row r="2" ht="32" customHeight="1">
      <c r="B2" s="1" t="inlineStr">
        <is>
          <t>Key Insights &amp; Strategic Recommendations</t>
        </is>
      </c>
    </row>
    <row r="3" ht="8" customHeight="1"/>
    <row r="4" ht="28" customHeight="1">
      <c r="B4" s="6" t="inlineStr">
        <is>
          <t>#</t>
        </is>
      </c>
      <c r="C4" s="6" t="inlineStr">
        <is>
          <t>Category</t>
        </is>
      </c>
      <c r="D4" s="6" t="inlineStr">
        <is>
          <t>Insight</t>
        </is>
      </c>
      <c r="E4" s="6" t="inlineStr">
        <is>
          <t>Impact</t>
        </is>
      </c>
      <c r="F4" s="6" t="inlineStr">
        <is>
          <t>Action Item</t>
        </is>
      </c>
      <c r="G4" s="6" t="inlineStr">
        <is>
          <t>Priority</t>
        </is>
      </c>
    </row>
    <row r="5" ht="22" customHeight="1">
      <c r="B5" s="33" t="n">
        <v>1</v>
      </c>
      <c r="C5" s="7" t="inlineStr">
        <is>
          <t>Revenue</t>
        </is>
      </c>
      <c r="D5" s="7" t="inlineStr">
        <is>
          <t>Seafood category shows highest YoY growth (18%) with strong margins</t>
        </is>
      </c>
      <c r="E5" s="7" t="inlineStr">
        <is>
          <t>High</t>
        </is>
      </c>
      <c r="F5" s="7" t="inlineStr">
        <is>
          <t>Expand seafood menu with 3-4 new premium items</t>
        </is>
      </c>
      <c r="G5" s="7" t="inlineStr">
        <is>
          <t>High</t>
        </is>
      </c>
    </row>
    <row r="6" ht="22" customHeight="1">
      <c r="B6" s="34" t="n">
        <v>2</v>
      </c>
      <c r="C6" s="11" t="inlineStr">
        <is>
          <t>Operations</t>
        </is>
      </c>
      <c r="D6" s="11" t="inlineStr">
        <is>
          <t>Evening peak (5-8 PM) generates 29% of daily revenue</t>
        </is>
      </c>
      <c r="E6" s="11" t="inlineStr">
        <is>
          <t>High</t>
        </is>
      </c>
      <c r="F6" s="11" t="inlineStr">
        <is>
          <t>Add 2 staff members during evening shift</t>
        </is>
      </c>
      <c r="G6" s="11" t="inlineStr">
        <is>
          <t>High</t>
        </is>
      </c>
    </row>
    <row r="7" ht="22" customHeight="1">
      <c r="B7" s="33" t="n">
        <v>3</v>
      </c>
      <c r="C7" s="7" t="inlineStr">
        <is>
          <t>Cost Control</t>
        </is>
      </c>
      <c r="D7" s="7" t="inlineStr">
        <is>
          <t>Delivery commissions exceed budget by 15% due to Talabat surge pricing</t>
        </is>
      </c>
      <c r="E7" s="7" t="inlineStr">
        <is>
          <t>High</t>
        </is>
      </c>
      <c r="F7" s="7" t="inlineStr">
        <is>
          <t>Negotiate flat-rate commission or add direct ordering channel</t>
        </is>
      </c>
      <c r="G7" s="7" t="inlineStr">
        <is>
          <t>High</t>
        </is>
      </c>
    </row>
    <row r="8" ht="22" customHeight="1">
      <c r="B8" s="34" t="n">
        <v>4</v>
      </c>
      <c r="C8" s="11" t="inlineStr">
        <is>
          <t>Marketing</t>
        </is>
      </c>
      <c r="D8" s="11" t="inlineStr">
        <is>
          <t>Beverage category has low avg order value (AED 7) but high volume</t>
        </is>
      </c>
      <c r="E8" s="11" t="inlineStr">
        <is>
          <t>Medium</t>
        </is>
      </c>
      <c r="F8" s="11" t="inlineStr">
        <is>
          <t>Introduce combo deals pairing beverages with main dishes</t>
        </is>
      </c>
      <c r="G8" s="11" t="inlineStr">
        <is>
          <t>Medium</t>
        </is>
      </c>
    </row>
    <row r="9" ht="22" customHeight="1">
      <c r="B9" s="33" t="n">
        <v>5</v>
      </c>
      <c r="C9" s="7" t="inlineStr">
        <is>
          <t>Staff</t>
        </is>
      </c>
      <c r="D9" s="7" t="inlineStr">
        <is>
          <t>Mohammed Al Suwaidi generates 26% of total revenue as Head Chef</t>
        </is>
      </c>
      <c r="E9" s="7" t="inlineStr">
        <is>
          <t>Medium</t>
        </is>
      </c>
      <c r="F9" s="7" t="inlineStr">
        <is>
          <t>Develop succession plan and document signature recipes</t>
        </is>
      </c>
      <c r="G9" s="7" t="inlineStr">
        <is>
          <t>Medium</t>
        </is>
      </c>
    </row>
    <row r="10" ht="22" customHeight="1">
      <c r="B10" s="34" t="n">
        <v>6</v>
      </c>
      <c r="C10" s="11" t="inlineStr">
        <is>
          <t>Customer</t>
        </is>
      </c>
      <c r="D10" s="11" t="inlineStr">
        <is>
          <t>Dessert category declined 3% YoY despite overall growth</t>
        </is>
      </c>
      <c r="E10" s="11" t="inlineStr">
        <is>
          <t>Medium</t>
        </is>
      </c>
      <c r="F10" s="11" t="inlineStr">
        <is>
          <t>Introduce seasonal dessert specials and loyalty discounts</t>
        </is>
      </c>
      <c r="G10" s="11" t="inlineStr">
        <is>
          <t>Medium</t>
        </is>
      </c>
    </row>
    <row r="11" ht="22" customHeight="1">
      <c r="B11" s="33" t="n">
        <v>7</v>
      </c>
      <c r="C11" s="7" t="inlineStr">
        <is>
          <t>Efficiency</t>
        </is>
      </c>
      <c r="D11" s="7" t="inlineStr">
        <is>
          <t>Kitchen maintenance costs spiked 15% due to aging equipment</t>
        </is>
      </c>
      <c r="E11" s="7" t="inlineStr">
        <is>
          <t>Low</t>
        </is>
      </c>
      <c r="F11" s="7" t="inlineStr">
        <is>
          <t>Schedule preventive maintenance and budget for equipment upgrade</t>
        </is>
      </c>
      <c r="G11" s="7" t="inlineStr">
        <is>
          <t>Low</t>
        </is>
      </c>
    </row>
    <row r="12" ht="22" customHeight="1">
      <c r="B12" s="34" t="n">
        <v>8</v>
      </c>
      <c r="C12" s="11" t="inlineStr">
        <is>
          <t>Growth</t>
        </is>
      </c>
      <c r="D12" s="11" t="inlineStr">
        <is>
          <t>Profit margin improved to 35.7% in Jan — highest in 6 months</t>
        </is>
      </c>
      <c r="E12" s="11" t="inlineStr">
        <is>
          <t>High</t>
        </is>
      </c>
      <c r="F12" s="11" t="inlineStr">
        <is>
          <t>Reinvest margin gains into marketing for customer acquisition</t>
        </is>
      </c>
      <c r="G12" s="11" t="inlineStr">
        <is>
          <t>Medium</t>
        </is>
      </c>
    </row>
    <row r="13"/>
    <row r="14"/>
    <row r="15" ht="20" customHeight="1">
      <c r="B15" s="19" t="inlineStr">
        <is>
          <t>Prepared by Ahmed Ali | Data Analysis Services | ahmed-ali-ops.vercel.app</t>
        </is>
      </c>
    </row>
  </sheetData>
  <mergeCells count="2">
    <mergeCell ref="B2:H2"/>
    <mergeCell ref="B15:H15"/>
  </mergeCells>
  <conditionalFormatting sqref="G5:G12">
    <cfRule type="cellIs" priority="1" operator="equal" dxfId="0">
      <formula>"High"</formula>
    </cfRule>
    <cfRule type="cellIs" priority="2" operator="equal" dxfId="2">
      <formula>"Medium"</formula>
    </cfRule>
    <cfRule type="cellIs" priority="3" operator="equal" dxfId="1">
      <formula>"Low"</formula>
    </cfRule>
  </conditionalFormatting>
  <conditionalFormatting sqref="E5:E12">
    <cfRule type="cellIs" priority="4" operator="equal" dxfId="0">
      <formula>"High"</formula>
    </cfRule>
    <cfRule type="cellIs" priority="5" operator="equal" dxfId="2">
      <formula>"Medium"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2026-05-23T16:05:38Z</dcterms:created>
  <dcterms:modified xmlns:dcterms="http://purl.org/dc/terms/" xmlns:xsi="http://www.w3.org/2001/XMLSchema-instance" xsi:type="dcterms:W3CDTF">2026-05-23T16:05:38Z</dcterms:modified>
</cp:coreProperties>
</file>