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Invoice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Staff Performance" sheetId="7" state="visible" r:id="rId7"/>
    <sheet xmlns:r="http://schemas.openxmlformats.org/officeDocument/2006/relationships" name="Product List" sheetId="8" state="visible" r:id="rId8"/>
  </sheets>
  <definedNames>
    <definedName name="_xlnm.Print_Titles" localSheetId="0">'Sales Entry'!$4:$4</definedName>
    <definedName name="_xlnm.Print_Area" localSheetId="0">'Sales Entry'!$B$2:$L$305</definedName>
    <definedName name="_xlnm.Print_Titles" localSheetId="1">'Daily Summary'!$4:$4</definedName>
    <definedName name="_xlnm.Print_Area" localSheetId="1">'Daily Summary'!$B$2:$I$36</definedName>
    <definedName name="_xlnm.Print_Titles" localSheetId="2">'Weekly Summary'!$4:$4</definedName>
    <definedName name="_xlnm.Print_Area" localSheetId="2">'Weekly Summary'!$B$2:$H$57</definedName>
    <definedName name="_xlnm.Print_Titles" localSheetId="3">'Monthly Summary'!$4:$4</definedName>
    <definedName name="_xlnm.Print_Area" localSheetId="3">'Monthly Summary'!$B$2:$G$17</definedName>
    <definedName name="_xlnm.Print_Area" localSheetId="4">'Invoice'!$B$2:$E$24</definedName>
    <definedName name="_xlnm.Print_Titles" localSheetId="5">'Inventory'!$4:$4</definedName>
    <definedName name="_xlnm.Print_Area" localSheetId="5">'Inventory'!$B$2:$J$155</definedName>
    <definedName name="_xlnm.Print_Titles" localSheetId="6">'Staff Performance'!$4:$4</definedName>
    <definedName name="_xlnm.Print_Area" localSheetId="6">'Staff Performance'!$B$2:$H$25</definedName>
    <definedName name="_xlnm.Print_Titles" localSheetId="7">'Product List'!$4:$4</definedName>
    <definedName name="_xlnm.Print_Area" localSheetId="7">'Product List'!$B$2:$I$205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name val="Calibri"/>
      <b val="1"/>
      <color rgb="001B2A4A"/>
      <sz val="18"/>
    </font>
    <font>
      <name val="Noto Sans CJK SC"/>
      <color rgb="008C8A84"/>
      <sz val="9"/>
    </font>
    <font>
      <name val="Calibri"/>
      <b val="1"/>
      <color rgb="001B2A4A"/>
      <sz val="12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4" fontId="3" fillId="3" borderId="0" pivotButton="0" quotePrefix="0" xfId="0"/>
    <xf numFmtId="0" fontId="3" fillId="4" borderId="0" pivotButton="0" quotePrefix="0" xfId="0"/>
    <xf numFmtId="4" fontId="3" fillId="4" borderId="0" pivotButton="0" quotePrefix="0" xfId="0"/>
    <xf numFmtId="0" fontId="4" fillId="5" borderId="2" pivotButton="0" quotePrefix="0" xfId="0"/>
    <xf numFmtId="4" fontId="4" fillId="5" borderId="2" pivotButton="0" quotePrefix="0" xfId="0"/>
    <xf numFmtId="3" fontId="3" fillId="3" borderId="0" pivotButton="0" quotePrefix="0" xfId="0"/>
    <xf numFmtId="3" fontId="3" fillId="4" borderId="0" pivotButton="0" quotePrefix="0" xfId="0"/>
    <xf numFmtId="3" fontId="4" fillId="5" borderId="2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5" borderId="2" pivotButton="0" quotePrefix="0" xfId="0"/>
    <xf numFmtId="0" fontId="6" fillId="0" borderId="0" applyAlignment="1" pivotButton="0" quotePrefix="0" xfId="0">
      <alignment horizontal="center"/>
    </xf>
    <xf numFmtId="164" fontId="3" fillId="3" borderId="0" pivotButton="0" quotePrefix="0" xfId="0"/>
    <xf numFmtId="164" fontId="3" fillId="4" borderId="0" pivotButton="0" quotePrefix="0" xfId="0"/>
    <xf numFmtId="164" fontId="4" fillId="5" borderId="2" pivotButton="0" quotePrefix="0" xfId="0"/>
  </cellXfs>
  <cellStyles count="1">
    <cellStyle name="Normal" xfId="0" builtinId="0" hidden="0"/>
  </cellStyles>
  <dxfs count="2">
    <dxf>
      <font>
        <b val="1"/>
        <color rgb="00C0392B"/>
      </font>
      <fill>
        <patternFill patternType="solid">
          <fgColor rgb="00FDEDEC"/>
        </patternFill>
      </fill>
    </dxf>
    <dxf>
      <font>
        <color rgb="001B7D46"/>
      </font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'Monthly Summary'!$B$5:$B$16</f>
            </numRef>
          </cat>
          <val>
            <numRef>
              <f>'Monthly Summary'!$C$5:$C$16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Sales Amount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L3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22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20" customWidth="1" min="11" max="11"/>
    <col width="24" customWidth="1" min="12" max="12"/>
  </cols>
  <sheetData>
    <row r="1" ht="15" customHeight="1"/>
    <row r="2" ht="32" customHeight="1">
      <c r="B2" s="1" t="inlineStr">
        <is>
          <t>Sales Entry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Invoice #</t>
        </is>
      </c>
      <c r="D4" s="2" t="inlineStr">
        <is>
          <t>Item / Service</t>
        </is>
      </c>
      <c r="E4" s="2" t="inlineStr">
        <is>
          <t>Category</t>
        </is>
      </c>
      <c r="F4" s="2" t="inlineStr">
        <is>
          <t>Qty</t>
        </is>
      </c>
      <c r="G4" s="2" t="inlineStr">
        <is>
          <t>Unit Price</t>
        </is>
      </c>
      <c r="H4" s="2" t="inlineStr">
        <is>
          <t>Total</t>
        </is>
      </c>
      <c r="I4" s="2" t="inlineStr">
        <is>
          <t>Payment Method</t>
        </is>
      </c>
      <c r="J4" s="2" t="inlineStr">
        <is>
          <t>Staff Name</t>
        </is>
      </c>
      <c r="K4" s="2" t="inlineStr">
        <is>
          <t>Customer Name</t>
        </is>
      </c>
      <c r="L4" s="2" t="inlineStr">
        <is>
          <t>Notes</t>
        </is>
      </c>
    </row>
    <row r="5" ht="22" customHeight="1">
      <c r="B5" s="3" t="n"/>
      <c r="C5" s="3" t="n"/>
      <c r="D5" s="3" t="n"/>
      <c r="E5" s="3" t="n"/>
      <c r="F5" s="4" t="n"/>
      <c r="G5" s="4" t="n"/>
      <c r="H5" s="4">
        <f>IFERROR(F5*G5,0)</f>
        <v/>
      </c>
      <c r="I5" s="3" t="n"/>
      <c r="J5" s="3" t="n"/>
      <c r="K5" s="3" t="n"/>
      <c r="L5" s="3" t="n"/>
    </row>
    <row r="6" ht="22" customHeight="1">
      <c r="B6" s="5" t="n"/>
      <c r="C6" s="5" t="n"/>
      <c r="D6" s="5" t="n"/>
      <c r="E6" s="5" t="n"/>
      <c r="F6" s="6" t="n"/>
      <c r="G6" s="6" t="n"/>
      <c r="H6" s="6">
        <f>IFERROR(F6*G6,0)</f>
        <v/>
      </c>
      <c r="I6" s="5" t="n"/>
      <c r="J6" s="5" t="n"/>
      <c r="K6" s="5" t="n"/>
      <c r="L6" s="5" t="n"/>
    </row>
    <row r="7" ht="22" customHeight="1">
      <c r="B7" s="3" t="n"/>
      <c r="C7" s="3" t="n"/>
      <c r="D7" s="3" t="n"/>
      <c r="E7" s="3" t="n"/>
      <c r="F7" s="4" t="n"/>
      <c r="G7" s="4" t="n"/>
      <c r="H7" s="4">
        <f>IFERROR(F7*G7,0)</f>
        <v/>
      </c>
      <c r="I7" s="3" t="n"/>
      <c r="J7" s="3" t="n"/>
      <c r="K7" s="3" t="n"/>
      <c r="L7" s="3" t="n"/>
    </row>
    <row r="8" ht="22" customHeight="1">
      <c r="B8" s="5" t="n"/>
      <c r="C8" s="5" t="n"/>
      <c r="D8" s="5" t="n"/>
      <c r="E8" s="5" t="n"/>
      <c r="F8" s="6" t="n"/>
      <c r="G8" s="6" t="n"/>
      <c r="H8" s="6">
        <f>IFERROR(F8*G8,0)</f>
        <v/>
      </c>
      <c r="I8" s="5" t="n"/>
      <c r="J8" s="5" t="n"/>
      <c r="K8" s="5" t="n"/>
      <c r="L8" s="5" t="n"/>
    </row>
    <row r="9" ht="22" customHeight="1">
      <c r="B9" s="3" t="n"/>
      <c r="C9" s="3" t="n"/>
      <c r="D9" s="3" t="n"/>
      <c r="E9" s="3" t="n"/>
      <c r="F9" s="4" t="n"/>
      <c r="G9" s="4" t="n"/>
      <c r="H9" s="4">
        <f>IFERROR(F9*G9,0)</f>
        <v/>
      </c>
      <c r="I9" s="3" t="n"/>
      <c r="J9" s="3" t="n"/>
      <c r="K9" s="3" t="n"/>
      <c r="L9" s="3" t="n"/>
    </row>
    <row r="10" ht="22" customHeight="1">
      <c r="B10" s="5" t="n"/>
      <c r="C10" s="5" t="n"/>
      <c r="D10" s="5" t="n"/>
      <c r="E10" s="5" t="n"/>
      <c r="F10" s="6" t="n"/>
      <c r="G10" s="6" t="n"/>
      <c r="H10" s="6">
        <f>IFERROR(F10*G10,0)</f>
        <v/>
      </c>
      <c r="I10" s="5" t="n"/>
      <c r="J10" s="5" t="n"/>
      <c r="K10" s="5" t="n"/>
      <c r="L10" s="5" t="n"/>
    </row>
    <row r="11" ht="22" customHeight="1">
      <c r="B11" s="3" t="n"/>
      <c r="C11" s="3" t="n"/>
      <c r="D11" s="3" t="n"/>
      <c r="E11" s="3" t="n"/>
      <c r="F11" s="4" t="n"/>
      <c r="G11" s="4" t="n"/>
      <c r="H11" s="4">
        <f>IFERROR(F11*G11,0)</f>
        <v/>
      </c>
      <c r="I11" s="3" t="n"/>
      <c r="J11" s="3" t="n"/>
      <c r="K11" s="3" t="n"/>
      <c r="L11" s="3" t="n"/>
    </row>
    <row r="12" ht="22" customHeight="1">
      <c r="B12" s="5" t="n"/>
      <c r="C12" s="5" t="n"/>
      <c r="D12" s="5" t="n"/>
      <c r="E12" s="5" t="n"/>
      <c r="F12" s="6" t="n"/>
      <c r="G12" s="6" t="n"/>
      <c r="H12" s="6">
        <f>IFERROR(F12*G12,0)</f>
        <v/>
      </c>
      <c r="I12" s="5" t="n"/>
      <c r="J12" s="5" t="n"/>
      <c r="K12" s="5" t="n"/>
      <c r="L12" s="5" t="n"/>
    </row>
    <row r="13" ht="22" customHeight="1">
      <c r="B13" s="3" t="n"/>
      <c r="C13" s="3" t="n"/>
      <c r="D13" s="3" t="n"/>
      <c r="E13" s="3" t="n"/>
      <c r="F13" s="4" t="n"/>
      <c r="G13" s="4" t="n"/>
      <c r="H13" s="4">
        <f>IFERROR(F13*G13,0)</f>
        <v/>
      </c>
      <c r="I13" s="3" t="n"/>
      <c r="J13" s="3" t="n"/>
      <c r="K13" s="3" t="n"/>
      <c r="L13" s="3" t="n"/>
    </row>
    <row r="14" ht="22" customHeight="1">
      <c r="B14" s="5" t="n"/>
      <c r="C14" s="5" t="n"/>
      <c r="D14" s="5" t="n"/>
      <c r="E14" s="5" t="n"/>
      <c r="F14" s="6" t="n"/>
      <c r="G14" s="6" t="n"/>
      <c r="H14" s="6">
        <f>IFERROR(F14*G14,0)</f>
        <v/>
      </c>
      <c r="I14" s="5" t="n"/>
      <c r="J14" s="5" t="n"/>
      <c r="K14" s="5" t="n"/>
      <c r="L14" s="5" t="n"/>
    </row>
    <row r="15" ht="22" customHeight="1">
      <c r="B15" s="3" t="n"/>
      <c r="C15" s="3" t="n"/>
      <c r="D15" s="3" t="n"/>
      <c r="E15" s="3" t="n"/>
      <c r="F15" s="4" t="n"/>
      <c r="G15" s="4" t="n"/>
      <c r="H15" s="4">
        <f>IFERROR(F15*G15,0)</f>
        <v/>
      </c>
      <c r="I15" s="3" t="n"/>
      <c r="J15" s="3" t="n"/>
      <c r="K15" s="3" t="n"/>
      <c r="L15" s="3" t="n"/>
    </row>
    <row r="16" ht="22" customHeight="1">
      <c r="B16" s="5" t="n"/>
      <c r="C16" s="5" t="n"/>
      <c r="D16" s="5" t="n"/>
      <c r="E16" s="5" t="n"/>
      <c r="F16" s="6" t="n"/>
      <c r="G16" s="6" t="n"/>
      <c r="H16" s="6">
        <f>IFERROR(F16*G16,0)</f>
        <v/>
      </c>
      <c r="I16" s="5" t="n"/>
      <c r="J16" s="5" t="n"/>
      <c r="K16" s="5" t="n"/>
      <c r="L16" s="5" t="n"/>
    </row>
    <row r="17" ht="22" customHeight="1">
      <c r="B17" s="3" t="n"/>
      <c r="C17" s="3" t="n"/>
      <c r="D17" s="3" t="n"/>
      <c r="E17" s="3" t="n"/>
      <c r="F17" s="4" t="n"/>
      <c r="G17" s="4" t="n"/>
      <c r="H17" s="4">
        <f>IFERROR(F17*G17,0)</f>
        <v/>
      </c>
      <c r="I17" s="3" t="n"/>
      <c r="J17" s="3" t="n"/>
      <c r="K17" s="3" t="n"/>
      <c r="L17" s="3" t="n"/>
    </row>
    <row r="18" ht="22" customHeight="1">
      <c r="B18" s="5" t="n"/>
      <c r="C18" s="5" t="n"/>
      <c r="D18" s="5" t="n"/>
      <c r="E18" s="5" t="n"/>
      <c r="F18" s="6" t="n"/>
      <c r="G18" s="6" t="n"/>
      <c r="H18" s="6">
        <f>IFERROR(F18*G18,0)</f>
        <v/>
      </c>
      <c r="I18" s="5" t="n"/>
      <c r="J18" s="5" t="n"/>
      <c r="K18" s="5" t="n"/>
      <c r="L18" s="5" t="n"/>
    </row>
    <row r="19" ht="22" customHeight="1">
      <c r="B19" s="3" t="n"/>
      <c r="C19" s="3" t="n"/>
      <c r="D19" s="3" t="n"/>
      <c r="E19" s="3" t="n"/>
      <c r="F19" s="4" t="n"/>
      <c r="G19" s="4" t="n"/>
      <c r="H19" s="4">
        <f>IFERROR(F19*G19,0)</f>
        <v/>
      </c>
      <c r="I19" s="3" t="n"/>
      <c r="J19" s="3" t="n"/>
      <c r="K19" s="3" t="n"/>
      <c r="L19" s="3" t="n"/>
    </row>
    <row r="20" ht="22" customHeight="1">
      <c r="B20" s="5" t="n"/>
      <c r="C20" s="5" t="n"/>
      <c r="D20" s="5" t="n"/>
      <c r="E20" s="5" t="n"/>
      <c r="F20" s="6" t="n"/>
      <c r="G20" s="6" t="n"/>
      <c r="H20" s="6">
        <f>IFERROR(F20*G20,0)</f>
        <v/>
      </c>
      <c r="I20" s="5" t="n"/>
      <c r="J20" s="5" t="n"/>
      <c r="K20" s="5" t="n"/>
      <c r="L20" s="5" t="n"/>
    </row>
    <row r="21" ht="22" customHeight="1">
      <c r="B21" s="3" t="n"/>
      <c r="C21" s="3" t="n"/>
      <c r="D21" s="3" t="n"/>
      <c r="E21" s="3" t="n"/>
      <c r="F21" s="4" t="n"/>
      <c r="G21" s="4" t="n"/>
      <c r="H21" s="4">
        <f>IFERROR(F21*G21,0)</f>
        <v/>
      </c>
      <c r="I21" s="3" t="n"/>
      <c r="J21" s="3" t="n"/>
      <c r="K21" s="3" t="n"/>
      <c r="L21" s="3" t="n"/>
    </row>
    <row r="22" ht="22" customHeight="1">
      <c r="B22" s="5" t="n"/>
      <c r="C22" s="5" t="n"/>
      <c r="D22" s="5" t="n"/>
      <c r="E22" s="5" t="n"/>
      <c r="F22" s="6" t="n"/>
      <c r="G22" s="6" t="n"/>
      <c r="H22" s="6">
        <f>IFERROR(F22*G22,0)</f>
        <v/>
      </c>
      <c r="I22" s="5" t="n"/>
      <c r="J22" s="5" t="n"/>
      <c r="K22" s="5" t="n"/>
      <c r="L22" s="5" t="n"/>
    </row>
    <row r="23" ht="22" customHeight="1">
      <c r="B23" s="3" t="n"/>
      <c r="C23" s="3" t="n"/>
      <c r="D23" s="3" t="n"/>
      <c r="E23" s="3" t="n"/>
      <c r="F23" s="4" t="n"/>
      <c r="G23" s="4" t="n"/>
      <c r="H23" s="4">
        <f>IFERROR(F23*G23,0)</f>
        <v/>
      </c>
      <c r="I23" s="3" t="n"/>
      <c r="J23" s="3" t="n"/>
      <c r="K23" s="3" t="n"/>
      <c r="L23" s="3" t="n"/>
    </row>
    <row r="24" ht="22" customHeight="1">
      <c r="B24" s="5" t="n"/>
      <c r="C24" s="5" t="n"/>
      <c r="D24" s="5" t="n"/>
      <c r="E24" s="5" t="n"/>
      <c r="F24" s="6" t="n"/>
      <c r="G24" s="6" t="n"/>
      <c r="H24" s="6">
        <f>IFERROR(F24*G24,0)</f>
        <v/>
      </c>
      <c r="I24" s="5" t="n"/>
      <c r="J24" s="5" t="n"/>
      <c r="K24" s="5" t="n"/>
      <c r="L24" s="5" t="n"/>
    </row>
    <row r="25" ht="22" customHeight="1">
      <c r="B25" s="3" t="n"/>
      <c r="C25" s="3" t="n"/>
      <c r="D25" s="3" t="n"/>
      <c r="E25" s="3" t="n"/>
      <c r="F25" s="4" t="n"/>
      <c r="G25" s="4" t="n"/>
      <c r="H25" s="4">
        <f>IFERROR(F25*G25,0)</f>
        <v/>
      </c>
      <c r="I25" s="3" t="n"/>
      <c r="J25" s="3" t="n"/>
      <c r="K25" s="3" t="n"/>
      <c r="L25" s="3" t="n"/>
    </row>
    <row r="26" ht="22" customHeight="1">
      <c r="B26" s="5" t="n"/>
      <c r="C26" s="5" t="n"/>
      <c r="D26" s="5" t="n"/>
      <c r="E26" s="5" t="n"/>
      <c r="F26" s="6" t="n"/>
      <c r="G26" s="6" t="n"/>
      <c r="H26" s="6">
        <f>IFERROR(F26*G26,0)</f>
        <v/>
      </c>
      <c r="I26" s="5" t="n"/>
      <c r="J26" s="5" t="n"/>
      <c r="K26" s="5" t="n"/>
      <c r="L26" s="5" t="n"/>
    </row>
    <row r="27" ht="22" customHeight="1">
      <c r="B27" s="3" t="n"/>
      <c r="C27" s="3" t="n"/>
      <c r="D27" s="3" t="n"/>
      <c r="E27" s="3" t="n"/>
      <c r="F27" s="4" t="n"/>
      <c r="G27" s="4" t="n"/>
      <c r="H27" s="4">
        <f>IFERROR(F27*G27,0)</f>
        <v/>
      </c>
      <c r="I27" s="3" t="n"/>
      <c r="J27" s="3" t="n"/>
      <c r="K27" s="3" t="n"/>
      <c r="L27" s="3" t="n"/>
    </row>
    <row r="28" ht="22" customHeight="1">
      <c r="B28" s="5" t="n"/>
      <c r="C28" s="5" t="n"/>
      <c r="D28" s="5" t="n"/>
      <c r="E28" s="5" t="n"/>
      <c r="F28" s="6" t="n"/>
      <c r="G28" s="6" t="n"/>
      <c r="H28" s="6">
        <f>IFERROR(F28*G28,0)</f>
        <v/>
      </c>
      <c r="I28" s="5" t="n"/>
      <c r="J28" s="5" t="n"/>
      <c r="K28" s="5" t="n"/>
      <c r="L28" s="5" t="n"/>
    </row>
    <row r="29" ht="22" customHeight="1">
      <c r="B29" s="3" t="n"/>
      <c r="C29" s="3" t="n"/>
      <c r="D29" s="3" t="n"/>
      <c r="E29" s="3" t="n"/>
      <c r="F29" s="4" t="n"/>
      <c r="G29" s="4" t="n"/>
      <c r="H29" s="4">
        <f>IFERROR(F29*G29,0)</f>
        <v/>
      </c>
      <c r="I29" s="3" t="n"/>
      <c r="J29" s="3" t="n"/>
      <c r="K29" s="3" t="n"/>
      <c r="L29" s="3" t="n"/>
    </row>
    <row r="30" ht="22" customHeight="1">
      <c r="B30" s="5" t="n"/>
      <c r="C30" s="5" t="n"/>
      <c r="D30" s="5" t="n"/>
      <c r="E30" s="5" t="n"/>
      <c r="F30" s="6" t="n"/>
      <c r="G30" s="6" t="n"/>
      <c r="H30" s="6">
        <f>IFERROR(F30*G30,0)</f>
        <v/>
      </c>
      <c r="I30" s="5" t="n"/>
      <c r="J30" s="5" t="n"/>
      <c r="K30" s="5" t="n"/>
      <c r="L30" s="5" t="n"/>
    </row>
    <row r="31" ht="22" customHeight="1">
      <c r="B31" s="3" t="n"/>
      <c r="C31" s="3" t="n"/>
      <c r="D31" s="3" t="n"/>
      <c r="E31" s="3" t="n"/>
      <c r="F31" s="4" t="n"/>
      <c r="G31" s="4" t="n"/>
      <c r="H31" s="4">
        <f>IFERROR(F31*G31,0)</f>
        <v/>
      </c>
      <c r="I31" s="3" t="n"/>
      <c r="J31" s="3" t="n"/>
      <c r="K31" s="3" t="n"/>
      <c r="L31" s="3" t="n"/>
    </row>
    <row r="32" ht="22" customHeight="1">
      <c r="B32" s="5" t="n"/>
      <c r="C32" s="5" t="n"/>
      <c r="D32" s="5" t="n"/>
      <c r="E32" s="5" t="n"/>
      <c r="F32" s="6" t="n"/>
      <c r="G32" s="6" t="n"/>
      <c r="H32" s="6">
        <f>IFERROR(F32*G32,0)</f>
        <v/>
      </c>
      <c r="I32" s="5" t="n"/>
      <c r="J32" s="5" t="n"/>
      <c r="K32" s="5" t="n"/>
      <c r="L32" s="5" t="n"/>
    </row>
    <row r="33" ht="22" customHeight="1">
      <c r="B33" s="3" t="n"/>
      <c r="C33" s="3" t="n"/>
      <c r="D33" s="3" t="n"/>
      <c r="E33" s="3" t="n"/>
      <c r="F33" s="4" t="n"/>
      <c r="G33" s="4" t="n"/>
      <c r="H33" s="4">
        <f>IFERROR(F33*G33,0)</f>
        <v/>
      </c>
      <c r="I33" s="3" t="n"/>
      <c r="J33" s="3" t="n"/>
      <c r="K33" s="3" t="n"/>
      <c r="L33" s="3" t="n"/>
    </row>
    <row r="34" ht="22" customHeight="1">
      <c r="B34" s="5" t="n"/>
      <c r="C34" s="5" t="n"/>
      <c r="D34" s="5" t="n"/>
      <c r="E34" s="5" t="n"/>
      <c r="F34" s="6" t="n"/>
      <c r="G34" s="6" t="n"/>
      <c r="H34" s="6">
        <f>IFERROR(F34*G34,0)</f>
        <v/>
      </c>
      <c r="I34" s="5" t="n"/>
      <c r="J34" s="5" t="n"/>
      <c r="K34" s="5" t="n"/>
      <c r="L34" s="5" t="n"/>
    </row>
    <row r="35" ht="22" customHeight="1">
      <c r="B35" s="3" t="n"/>
      <c r="C35" s="3" t="n"/>
      <c r="D35" s="3" t="n"/>
      <c r="E35" s="3" t="n"/>
      <c r="F35" s="4" t="n"/>
      <c r="G35" s="4" t="n"/>
      <c r="H35" s="4">
        <f>IFERROR(F35*G35,0)</f>
        <v/>
      </c>
      <c r="I35" s="3" t="n"/>
      <c r="J35" s="3" t="n"/>
      <c r="K35" s="3" t="n"/>
      <c r="L35" s="3" t="n"/>
    </row>
    <row r="36" ht="22" customHeight="1">
      <c r="B36" s="5" t="n"/>
      <c r="C36" s="5" t="n"/>
      <c r="D36" s="5" t="n"/>
      <c r="E36" s="5" t="n"/>
      <c r="F36" s="6" t="n"/>
      <c r="G36" s="6" t="n"/>
      <c r="H36" s="6">
        <f>IFERROR(F36*G36,0)</f>
        <v/>
      </c>
      <c r="I36" s="5" t="n"/>
      <c r="J36" s="5" t="n"/>
      <c r="K36" s="5" t="n"/>
      <c r="L36" s="5" t="n"/>
    </row>
    <row r="37" ht="22" customHeight="1">
      <c r="B37" s="3" t="n"/>
      <c r="C37" s="3" t="n"/>
      <c r="D37" s="3" t="n"/>
      <c r="E37" s="3" t="n"/>
      <c r="F37" s="4" t="n"/>
      <c r="G37" s="4" t="n"/>
      <c r="H37" s="4">
        <f>IFERROR(F37*G37,0)</f>
        <v/>
      </c>
      <c r="I37" s="3" t="n"/>
      <c r="J37" s="3" t="n"/>
      <c r="K37" s="3" t="n"/>
      <c r="L37" s="3" t="n"/>
    </row>
    <row r="38" ht="22" customHeight="1">
      <c r="B38" s="5" t="n"/>
      <c r="C38" s="5" t="n"/>
      <c r="D38" s="5" t="n"/>
      <c r="E38" s="5" t="n"/>
      <c r="F38" s="6" t="n"/>
      <c r="G38" s="6" t="n"/>
      <c r="H38" s="6">
        <f>IFERROR(F38*G38,0)</f>
        <v/>
      </c>
      <c r="I38" s="5" t="n"/>
      <c r="J38" s="5" t="n"/>
      <c r="K38" s="5" t="n"/>
      <c r="L38" s="5" t="n"/>
    </row>
    <row r="39" ht="22" customHeight="1">
      <c r="B39" s="3" t="n"/>
      <c r="C39" s="3" t="n"/>
      <c r="D39" s="3" t="n"/>
      <c r="E39" s="3" t="n"/>
      <c r="F39" s="4" t="n"/>
      <c r="G39" s="4" t="n"/>
      <c r="H39" s="4">
        <f>IFERROR(F39*G39,0)</f>
        <v/>
      </c>
      <c r="I39" s="3" t="n"/>
      <c r="J39" s="3" t="n"/>
      <c r="K39" s="3" t="n"/>
      <c r="L39" s="3" t="n"/>
    </row>
    <row r="40" ht="22" customHeight="1">
      <c r="B40" s="5" t="n"/>
      <c r="C40" s="5" t="n"/>
      <c r="D40" s="5" t="n"/>
      <c r="E40" s="5" t="n"/>
      <c r="F40" s="6" t="n"/>
      <c r="G40" s="6" t="n"/>
      <c r="H40" s="6">
        <f>IFERROR(F40*G40,0)</f>
        <v/>
      </c>
      <c r="I40" s="5" t="n"/>
      <c r="J40" s="5" t="n"/>
      <c r="K40" s="5" t="n"/>
      <c r="L40" s="5" t="n"/>
    </row>
    <row r="41" ht="22" customHeight="1">
      <c r="B41" s="3" t="n"/>
      <c r="C41" s="3" t="n"/>
      <c r="D41" s="3" t="n"/>
      <c r="E41" s="3" t="n"/>
      <c r="F41" s="4" t="n"/>
      <c r="G41" s="4" t="n"/>
      <c r="H41" s="4">
        <f>IFERROR(F41*G41,0)</f>
        <v/>
      </c>
      <c r="I41" s="3" t="n"/>
      <c r="J41" s="3" t="n"/>
      <c r="K41" s="3" t="n"/>
      <c r="L41" s="3" t="n"/>
    </row>
    <row r="42" ht="22" customHeight="1">
      <c r="B42" s="5" t="n"/>
      <c r="C42" s="5" t="n"/>
      <c r="D42" s="5" t="n"/>
      <c r="E42" s="5" t="n"/>
      <c r="F42" s="6" t="n"/>
      <c r="G42" s="6" t="n"/>
      <c r="H42" s="6">
        <f>IFERROR(F42*G42,0)</f>
        <v/>
      </c>
      <c r="I42" s="5" t="n"/>
      <c r="J42" s="5" t="n"/>
      <c r="K42" s="5" t="n"/>
      <c r="L42" s="5" t="n"/>
    </row>
    <row r="43" ht="22" customHeight="1">
      <c r="B43" s="3" t="n"/>
      <c r="C43" s="3" t="n"/>
      <c r="D43" s="3" t="n"/>
      <c r="E43" s="3" t="n"/>
      <c r="F43" s="4" t="n"/>
      <c r="G43" s="4" t="n"/>
      <c r="H43" s="4">
        <f>IFERROR(F43*G43,0)</f>
        <v/>
      </c>
      <c r="I43" s="3" t="n"/>
      <c r="J43" s="3" t="n"/>
      <c r="K43" s="3" t="n"/>
      <c r="L43" s="3" t="n"/>
    </row>
    <row r="44" ht="22" customHeight="1">
      <c r="B44" s="5" t="n"/>
      <c r="C44" s="5" t="n"/>
      <c r="D44" s="5" t="n"/>
      <c r="E44" s="5" t="n"/>
      <c r="F44" s="6" t="n"/>
      <c r="G44" s="6" t="n"/>
      <c r="H44" s="6">
        <f>IFERROR(F44*G44,0)</f>
        <v/>
      </c>
      <c r="I44" s="5" t="n"/>
      <c r="J44" s="5" t="n"/>
      <c r="K44" s="5" t="n"/>
      <c r="L44" s="5" t="n"/>
    </row>
    <row r="45" ht="22" customHeight="1">
      <c r="B45" s="3" t="n"/>
      <c r="C45" s="3" t="n"/>
      <c r="D45" s="3" t="n"/>
      <c r="E45" s="3" t="n"/>
      <c r="F45" s="4" t="n"/>
      <c r="G45" s="4" t="n"/>
      <c r="H45" s="4">
        <f>IFERROR(F45*G45,0)</f>
        <v/>
      </c>
      <c r="I45" s="3" t="n"/>
      <c r="J45" s="3" t="n"/>
      <c r="K45" s="3" t="n"/>
      <c r="L45" s="3" t="n"/>
    </row>
    <row r="46" ht="22" customHeight="1">
      <c r="B46" s="5" t="n"/>
      <c r="C46" s="5" t="n"/>
      <c r="D46" s="5" t="n"/>
      <c r="E46" s="5" t="n"/>
      <c r="F46" s="6" t="n"/>
      <c r="G46" s="6" t="n"/>
      <c r="H46" s="6">
        <f>IFERROR(F46*G46,0)</f>
        <v/>
      </c>
      <c r="I46" s="5" t="n"/>
      <c r="J46" s="5" t="n"/>
      <c r="K46" s="5" t="n"/>
      <c r="L46" s="5" t="n"/>
    </row>
    <row r="47" ht="22" customHeight="1">
      <c r="B47" s="3" t="n"/>
      <c r="C47" s="3" t="n"/>
      <c r="D47" s="3" t="n"/>
      <c r="E47" s="3" t="n"/>
      <c r="F47" s="4" t="n"/>
      <c r="G47" s="4" t="n"/>
      <c r="H47" s="4">
        <f>IFERROR(F47*G47,0)</f>
        <v/>
      </c>
      <c r="I47" s="3" t="n"/>
      <c r="J47" s="3" t="n"/>
      <c r="K47" s="3" t="n"/>
      <c r="L47" s="3" t="n"/>
    </row>
    <row r="48" ht="22" customHeight="1">
      <c r="B48" s="5" t="n"/>
      <c r="C48" s="5" t="n"/>
      <c r="D48" s="5" t="n"/>
      <c r="E48" s="5" t="n"/>
      <c r="F48" s="6" t="n"/>
      <c r="G48" s="6" t="n"/>
      <c r="H48" s="6">
        <f>IFERROR(F48*G48,0)</f>
        <v/>
      </c>
      <c r="I48" s="5" t="n"/>
      <c r="J48" s="5" t="n"/>
      <c r="K48" s="5" t="n"/>
      <c r="L48" s="5" t="n"/>
    </row>
    <row r="49" ht="22" customHeight="1">
      <c r="B49" s="3" t="n"/>
      <c r="C49" s="3" t="n"/>
      <c r="D49" s="3" t="n"/>
      <c r="E49" s="3" t="n"/>
      <c r="F49" s="4" t="n"/>
      <c r="G49" s="4" t="n"/>
      <c r="H49" s="4">
        <f>IFERROR(F49*G49,0)</f>
        <v/>
      </c>
      <c r="I49" s="3" t="n"/>
      <c r="J49" s="3" t="n"/>
      <c r="K49" s="3" t="n"/>
      <c r="L49" s="3" t="n"/>
    </row>
    <row r="50" ht="22" customHeight="1">
      <c r="B50" s="5" t="n"/>
      <c r="C50" s="5" t="n"/>
      <c r="D50" s="5" t="n"/>
      <c r="E50" s="5" t="n"/>
      <c r="F50" s="6" t="n"/>
      <c r="G50" s="6" t="n"/>
      <c r="H50" s="6">
        <f>IFERROR(F50*G50,0)</f>
        <v/>
      </c>
      <c r="I50" s="5" t="n"/>
      <c r="J50" s="5" t="n"/>
      <c r="K50" s="5" t="n"/>
      <c r="L50" s="5" t="n"/>
    </row>
    <row r="51" ht="22" customHeight="1">
      <c r="B51" s="3" t="n"/>
      <c r="C51" s="3" t="n"/>
      <c r="D51" s="3" t="n"/>
      <c r="E51" s="3" t="n"/>
      <c r="F51" s="4" t="n"/>
      <c r="G51" s="4" t="n"/>
      <c r="H51" s="4">
        <f>IFERROR(F51*G51,0)</f>
        <v/>
      </c>
      <c r="I51" s="3" t="n"/>
      <c r="J51" s="3" t="n"/>
      <c r="K51" s="3" t="n"/>
      <c r="L51" s="3" t="n"/>
    </row>
    <row r="52" ht="22" customHeight="1">
      <c r="B52" s="5" t="n"/>
      <c r="C52" s="5" t="n"/>
      <c r="D52" s="5" t="n"/>
      <c r="E52" s="5" t="n"/>
      <c r="F52" s="6" t="n"/>
      <c r="G52" s="6" t="n"/>
      <c r="H52" s="6">
        <f>IFERROR(F52*G52,0)</f>
        <v/>
      </c>
      <c r="I52" s="5" t="n"/>
      <c r="J52" s="5" t="n"/>
      <c r="K52" s="5" t="n"/>
      <c r="L52" s="5" t="n"/>
    </row>
    <row r="53" ht="22" customHeight="1">
      <c r="B53" s="3" t="n"/>
      <c r="C53" s="3" t="n"/>
      <c r="D53" s="3" t="n"/>
      <c r="E53" s="3" t="n"/>
      <c r="F53" s="4" t="n"/>
      <c r="G53" s="4" t="n"/>
      <c r="H53" s="4">
        <f>IFERROR(F53*G53,0)</f>
        <v/>
      </c>
      <c r="I53" s="3" t="n"/>
      <c r="J53" s="3" t="n"/>
      <c r="K53" s="3" t="n"/>
      <c r="L53" s="3" t="n"/>
    </row>
    <row r="54" ht="22" customHeight="1">
      <c r="B54" s="5" t="n"/>
      <c r="C54" s="5" t="n"/>
      <c r="D54" s="5" t="n"/>
      <c r="E54" s="5" t="n"/>
      <c r="F54" s="6" t="n"/>
      <c r="G54" s="6" t="n"/>
      <c r="H54" s="6">
        <f>IFERROR(F54*G54,0)</f>
        <v/>
      </c>
      <c r="I54" s="5" t="n"/>
      <c r="J54" s="5" t="n"/>
      <c r="K54" s="5" t="n"/>
      <c r="L54" s="5" t="n"/>
    </row>
    <row r="55" ht="22" customHeight="1">
      <c r="B55" s="3" t="n"/>
      <c r="C55" s="3" t="n"/>
      <c r="D55" s="3" t="n"/>
      <c r="E55" s="3" t="n"/>
      <c r="F55" s="4" t="n"/>
      <c r="G55" s="4" t="n"/>
      <c r="H55" s="4">
        <f>IFERROR(F55*G55,0)</f>
        <v/>
      </c>
      <c r="I55" s="3" t="n"/>
      <c r="J55" s="3" t="n"/>
      <c r="K55" s="3" t="n"/>
      <c r="L55" s="3" t="n"/>
    </row>
    <row r="56" ht="22" customHeight="1">
      <c r="B56" s="5" t="n"/>
      <c r="C56" s="5" t="n"/>
      <c r="D56" s="5" t="n"/>
      <c r="E56" s="5" t="n"/>
      <c r="F56" s="6" t="n"/>
      <c r="G56" s="6" t="n"/>
      <c r="H56" s="6">
        <f>IFERROR(F56*G56,0)</f>
        <v/>
      </c>
      <c r="I56" s="5" t="n"/>
      <c r="J56" s="5" t="n"/>
      <c r="K56" s="5" t="n"/>
      <c r="L56" s="5" t="n"/>
    </row>
    <row r="57" ht="22" customHeight="1">
      <c r="B57" s="3" t="n"/>
      <c r="C57" s="3" t="n"/>
      <c r="D57" s="3" t="n"/>
      <c r="E57" s="3" t="n"/>
      <c r="F57" s="4" t="n"/>
      <c r="G57" s="4" t="n"/>
      <c r="H57" s="4">
        <f>IFERROR(F57*G57,0)</f>
        <v/>
      </c>
      <c r="I57" s="3" t="n"/>
      <c r="J57" s="3" t="n"/>
      <c r="K57" s="3" t="n"/>
      <c r="L57" s="3" t="n"/>
    </row>
    <row r="58" ht="22" customHeight="1">
      <c r="B58" s="5" t="n"/>
      <c r="C58" s="5" t="n"/>
      <c r="D58" s="5" t="n"/>
      <c r="E58" s="5" t="n"/>
      <c r="F58" s="6" t="n"/>
      <c r="G58" s="6" t="n"/>
      <c r="H58" s="6">
        <f>IFERROR(F58*G58,0)</f>
        <v/>
      </c>
      <c r="I58" s="5" t="n"/>
      <c r="J58" s="5" t="n"/>
      <c r="K58" s="5" t="n"/>
      <c r="L58" s="5" t="n"/>
    </row>
    <row r="59" ht="22" customHeight="1">
      <c r="B59" s="3" t="n"/>
      <c r="C59" s="3" t="n"/>
      <c r="D59" s="3" t="n"/>
      <c r="E59" s="3" t="n"/>
      <c r="F59" s="4" t="n"/>
      <c r="G59" s="4" t="n"/>
      <c r="H59" s="4">
        <f>IFERROR(F59*G59,0)</f>
        <v/>
      </c>
      <c r="I59" s="3" t="n"/>
      <c r="J59" s="3" t="n"/>
      <c r="K59" s="3" t="n"/>
      <c r="L59" s="3" t="n"/>
    </row>
    <row r="60" ht="22" customHeight="1">
      <c r="B60" s="5" t="n"/>
      <c r="C60" s="5" t="n"/>
      <c r="D60" s="5" t="n"/>
      <c r="E60" s="5" t="n"/>
      <c r="F60" s="6" t="n"/>
      <c r="G60" s="6" t="n"/>
      <c r="H60" s="6">
        <f>IFERROR(F60*G60,0)</f>
        <v/>
      </c>
      <c r="I60" s="5" t="n"/>
      <c r="J60" s="5" t="n"/>
      <c r="K60" s="5" t="n"/>
      <c r="L60" s="5" t="n"/>
    </row>
    <row r="61" ht="22" customHeight="1">
      <c r="B61" s="3" t="n"/>
      <c r="C61" s="3" t="n"/>
      <c r="D61" s="3" t="n"/>
      <c r="E61" s="3" t="n"/>
      <c r="F61" s="4" t="n"/>
      <c r="G61" s="4" t="n"/>
      <c r="H61" s="4">
        <f>IFERROR(F61*G61,0)</f>
        <v/>
      </c>
      <c r="I61" s="3" t="n"/>
      <c r="J61" s="3" t="n"/>
      <c r="K61" s="3" t="n"/>
      <c r="L61" s="3" t="n"/>
    </row>
    <row r="62" ht="22" customHeight="1">
      <c r="B62" s="5" t="n"/>
      <c r="C62" s="5" t="n"/>
      <c r="D62" s="5" t="n"/>
      <c r="E62" s="5" t="n"/>
      <c r="F62" s="6" t="n"/>
      <c r="G62" s="6" t="n"/>
      <c r="H62" s="6">
        <f>IFERROR(F62*G62,0)</f>
        <v/>
      </c>
      <c r="I62" s="5" t="n"/>
      <c r="J62" s="5" t="n"/>
      <c r="K62" s="5" t="n"/>
      <c r="L62" s="5" t="n"/>
    </row>
    <row r="63" ht="22" customHeight="1">
      <c r="B63" s="3" t="n"/>
      <c r="C63" s="3" t="n"/>
      <c r="D63" s="3" t="n"/>
      <c r="E63" s="3" t="n"/>
      <c r="F63" s="4" t="n"/>
      <c r="G63" s="4" t="n"/>
      <c r="H63" s="4">
        <f>IFERROR(F63*G63,0)</f>
        <v/>
      </c>
      <c r="I63" s="3" t="n"/>
      <c r="J63" s="3" t="n"/>
      <c r="K63" s="3" t="n"/>
      <c r="L63" s="3" t="n"/>
    </row>
    <row r="64" ht="22" customHeight="1">
      <c r="B64" s="5" t="n"/>
      <c r="C64" s="5" t="n"/>
      <c r="D64" s="5" t="n"/>
      <c r="E64" s="5" t="n"/>
      <c r="F64" s="6" t="n"/>
      <c r="G64" s="6" t="n"/>
      <c r="H64" s="6">
        <f>IFERROR(F64*G64,0)</f>
        <v/>
      </c>
      <c r="I64" s="5" t="n"/>
      <c r="J64" s="5" t="n"/>
      <c r="K64" s="5" t="n"/>
      <c r="L64" s="5" t="n"/>
    </row>
    <row r="65" ht="22" customHeight="1">
      <c r="B65" s="3" t="n"/>
      <c r="C65" s="3" t="n"/>
      <c r="D65" s="3" t="n"/>
      <c r="E65" s="3" t="n"/>
      <c r="F65" s="4" t="n"/>
      <c r="G65" s="4" t="n"/>
      <c r="H65" s="4">
        <f>IFERROR(F65*G65,0)</f>
        <v/>
      </c>
      <c r="I65" s="3" t="n"/>
      <c r="J65" s="3" t="n"/>
      <c r="K65" s="3" t="n"/>
      <c r="L65" s="3" t="n"/>
    </row>
    <row r="66" ht="22" customHeight="1">
      <c r="B66" s="5" t="n"/>
      <c r="C66" s="5" t="n"/>
      <c r="D66" s="5" t="n"/>
      <c r="E66" s="5" t="n"/>
      <c r="F66" s="6" t="n"/>
      <c r="G66" s="6" t="n"/>
      <c r="H66" s="6">
        <f>IFERROR(F66*G66,0)</f>
        <v/>
      </c>
      <c r="I66" s="5" t="n"/>
      <c r="J66" s="5" t="n"/>
      <c r="K66" s="5" t="n"/>
      <c r="L66" s="5" t="n"/>
    </row>
    <row r="67" ht="22" customHeight="1">
      <c r="B67" s="3" t="n"/>
      <c r="C67" s="3" t="n"/>
      <c r="D67" s="3" t="n"/>
      <c r="E67" s="3" t="n"/>
      <c r="F67" s="4" t="n"/>
      <c r="G67" s="4" t="n"/>
      <c r="H67" s="4">
        <f>IFERROR(F67*G67,0)</f>
        <v/>
      </c>
      <c r="I67" s="3" t="n"/>
      <c r="J67" s="3" t="n"/>
      <c r="K67" s="3" t="n"/>
      <c r="L67" s="3" t="n"/>
    </row>
    <row r="68" ht="22" customHeight="1">
      <c r="B68" s="5" t="n"/>
      <c r="C68" s="5" t="n"/>
      <c r="D68" s="5" t="n"/>
      <c r="E68" s="5" t="n"/>
      <c r="F68" s="6" t="n"/>
      <c r="G68" s="6" t="n"/>
      <c r="H68" s="6">
        <f>IFERROR(F68*G68,0)</f>
        <v/>
      </c>
      <c r="I68" s="5" t="n"/>
      <c r="J68" s="5" t="n"/>
      <c r="K68" s="5" t="n"/>
      <c r="L68" s="5" t="n"/>
    </row>
    <row r="69" ht="22" customHeight="1">
      <c r="B69" s="3" t="n"/>
      <c r="C69" s="3" t="n"/>
      <c r="D69" s="3" t="n"/>
      <c r="E69" s="3" t="n"/>
      <c r="F69" s="4" t="n"/>
      <c r="G69" s="4" t="n"/>
      <c r="H69" s="4">
        <f>IFERROR(F69*G69,0)</f>
        <v/>
      </c>
      <c r="I69" s="3" t="n"/>
      <c r="J69" s="3" t="n"/>
      <c r="K69" s="3" t="n"/>
      <c r="L69" s="3" t="n"/>
    </row>
    <row r="70" ht="22" customHeight="1">
      <c r="B70" s="5" t="n"/>
      <c r="C70" s="5" t="n"/>
      <c r="D70" s="5" t="n"/>
      <c r="E70" s="5" t="n"/>
      <c r="F70" s="6" t="n"/>
      <c r="G70" s="6" t="n"/>
      <c r="H70" s="6">
        <f>IFERROR(F70*G70,0)</f>
        <v/>
      </c>
      <c r="I70" s="5" t="n"/>
      <c r="J70" s="5" t="n"/>
      <c r="K70" s="5" t="n"/>
      <c r="L70" s="5" t="n"/>
    </row>
    <row r="71" ht="22" customHeight="1">
      <c r="B71" s="3" t="n"/>
      <c r="C71" s="3" t="n"/>
      <c r="D71" s="3" t="n"/>
      <c r="E71" s="3" t="n"/>
      <c r="F71" s="4" t="n"/>
      <c r="G71" s="4" t="n"/>
      <c r="H71" s="4">
        <f>IFERROR(F71*G71,0)</f>
        <v/>
      </c>
      <c r="I71" s="3" t="n"/>
      <c r="J71" s="3" t="n"/>
      <c r="K71" s="3" t="n"/>
      <c r="L71" s="3" t="n"/>
    </row>
    <row r="72" ht="22" customHeight="1">
      <c r="B72" s="5" t="n"/>
      <c r="C72" s="5" t="n"/>
      <c r="D72" s="5" t="n"/>
      <c r="E72" s="5" t="n"/>
      <c r="F72" s="6" t="n"/>
      <c r="G72" s="6" t="n"/>
      <c r="H72" s="6">
        <f>IFERROR(F72*G72,0)</f>
        <v/>
      </c>
      <c r="I72" s="5" t="n"/>
      <c r="J72" s="5" t="n"/>
      <c r="K72" s="5" t="n"/>
      <c r="L72" s="5" t="n"/>
    </row>
    <row r="73" ht="22" customHeight="1">
      <c r="B73" s="3" t="n"/>
      <c r="C73" s="3" t="n"/>
      <c r="D73" s="3" t="n"/>
      <c r="E73" s="3" t="n"/>
      <c r="F73" s="4" t="n"/>
      <c r="G73" s="4" t="n"/>
      <c r="H73" s="4">
        <f>IFERROR(F73*G73,0)</f>
        <v/>
      </c>
      <c r="I73" s="3" t="n"/>
      <c r="J73" s="3" t="n"/>
      <c r="K73" s="3" t="n"/>
      <c r="L73" s="3" t="n"/>
    </row>
    <row r="74" ht="22" customHeight="1">
      <c r="B74" s="5" t="n"/>
      <c r="C74" s="5" t="n"/>
      <c r="D74" s="5" t="n"/>
      <c r="E74" s="5" t="n"/>
      <c r="F74" s="6" t="n"/>
      <c r="G74" s="6" t="n"/>
      <c r="H74" s="6">
        <f>IFERROR(F74*G74,0)</f>
        <v/>
      </c>
      <c r="I74" s="5" t="n"/>
      <c r="J74" s="5" t="n"/>
      <c r="K74" s="5" t="n"/>
      <c r="L74" s="5" t="n"/>
    </row>
    <row r="75" ht="22" customHeight="1">
      <c r="B75" s="3" t="n"/>
      <c r="C75" s="3" t="n"/>
      <c r="D75" s="3" t="n"/>
      <c r="E75" s="3" t="n"/>
      <c r="F75" s="4" t="n"/>
      <c r="G75" s="4" t="n"/>
      <c r="H75" s="4">
        <f>IFERROR(F75*G75,0)</f>
        <v/>
      </c>
      <c r="I75" s="3" t="n"/>
      <c r="J75" s="3" t="n"/>
      <c r="K75" s="3" t="n"/>
      <c r="L75" s="3" t="n"/>
    </row>
    <row r="76" ht="22" customHeight="1">
      <c r="B76" s="5" t="n"/>
      <c r="C76" s="5" t="n"/>
      <c r="D76" s="5" t="n"/>
      <c r="E76" s="5" t="n"/>
      <c r="F76" s="6" t="n"/>
      <c r="G76" s="6" t="n"/>
      <c r="H76" s="6">
        <f>IFERROR(F76*G76,0)</f>
        <v/>
      </c>
      <c r="I76" s="5" t="n"/>
      <c r="J76" s="5" t="n"/>
      <c r="K76" s="5" t="n"/>
      <c r="L76" s="5" t="n"/>
    </row>
    <row r="77" ht="22" customHeight="1">
      <c r="B77" s="3" t="n"/>
      <c r="C77" s="3" t="n"/>
      <c r="D77" s="3" t="n"/>
      <c r="E77" s="3" t="n"/>
      <c r="F77" s="4" t="n"/>
      <c r="G77" s="4" t="n"/>
      <c r="H77" s="4">
        <f>IFERROR(F77*G77,0)</f>
        <v/>
      </c>
      <c r="I77" s="3" t="n"/>
      <c r="J77" s="3" t="n"/>
      <c r="K77" s="3" t="n"/>
      <c r="L77" s="3" t="n"/>
    </row>
    <row r="78" ht="22" customHeight="1">
      <c r="B78" s="5" t="n"/>
      <c r="C78" s="5" t="n"/>
      <c r="D78" s="5" t="n"/>
      <c r="E78" s="5" t="n"/>
      <c r="F78" s="6" t="n"/>
      <c r="G78" s="6" t="n"/>
      <c r="H78" s="6">
        <f>IFERROR(F78*G78,0)</f>
        <v/>
      </c>
      <c r="I78" s="5" t="n"/>
      <c r="J78" s="5" t="n"/>
      <c r="K78" s="5" t="n"/>
      <c r="L78" s="5" t="n"/>
    </row>
    <row r="79" ht="22" customHeight="1">
      <c r="B79" s="3" t="n"/>
      <c r="C79" s="3" t="n"/>
      <c r="D79" s="3" t="n"/>
      <c r="E79" s="3" t="n"/>
      <c r="F79" s="4" t="n"/>
      <c r="G79" s="4" t="n"/>
      <c r="H79" s="4">
        <f>IFERROR(F79*G79,0)</f>
        <v/>
      </c>
      <c r="I79" s="3" t="n"/>
      <c r="J79" s="3" t="n"/>
      <c r="K79" s="3" t="n"/>
      <c r="L79" s="3" t="n"/>
    </row>
    <row r="80" ht="22" customHeight="1">
      <c r="B80" s="5" t="n"/>
      <c r="C80" s="5" t="n"/>
      <c r="D80" s="5" t="n"/>
      <c r="E80" s="5" t="n"/>
      <c r="F80" s="6" t="n"/>
      <c r="G80" s="6" t="n"/>
      <c r="H80" s="6">
        <f>IFERROR(F80*G80,0)</f>
        <v/>
      </c>
      <c r="I80" s="5" t="n"/>
      <c r="J80" s="5" t="n"/>
      <c r="K80" s="5" t="n"/>
      <c r="L80" s="5" t="n"/>
    </row>
    <row r="81" ht="22" customHeight="1">
      <c r="B81" s="3" t="n"/>
      <c r="C81" s="3" t="n"/>
      <c r="D81" s="3" t="n"/>
      <c r="E81" s="3" t="n"/>
      <c r="F81" s="4" t="n"/>
      <c r="G81" s="4" t="n"/>
      <c r="H81" s="4">
        <f>IFERROR(F81*G81,0)</f>
        <v/>
      </c>
      <c r="I81" s="3" t="n"/>
      <c r="J81" s="3" t="n"/>
      <c r="K81" s="3" t="n"/>
      <c r="L81" s="3" t="n"/>
    </row>
    <row r="82" ht="22" customHeight="1">
      <c r="B82" s="5" t="n"/>
      <c r="C82" s="5" t="n"/>
      <c r="D82" s="5" t="n"/>
      <c r="E82" s="5" t="n"/>
      <c r="F82" s="6" t="n"/>
      <c r="G82" s="6" t="n"/>
      <c r="H82" s="6">
        <f>IFERROR(F82*G82,0)</f>
        <v/>
      </c>
      <c r="I82" s="5" t="n"/>
      <c r="J82" s="5" t="n"/>
      <c r="K82" s="5" t="n"/>
      <c r="L82" s="5" t="n"/>
    </row>
    <row r="83" ht="22" customHeight="1">
      <c r="B83" s="3" t="n"/>
      <c r="C83" s="3" t="n"/>
      <c r="D83" s="3" t="n"/>
      <c r="E83" s="3" t="n"/>
      <c r="F83" s="4" t="n"/>
      <c r="G83" s="4" t="n"/>
      <c r="H83" s="4">
        <f>IFERROR(F83*G83,0)</f>
        <v/>
      </c>
      <c r="I83" s="3" t="n"/>
      <c r="J83" s="3" t="n"/>
      <c r="K83" s="3" t="n"/>
      <c r="L83" s="3" t="n"/>
    </row>
    <row r="84" ht="22" customHeight="1">
      <c r="B84" s="5" t="n"/>
      <c r="C84" s="5" t="n"/>
      <c r="D84" s="5" t="n"/>
      <c r="E84" s="5" t="n"/>
      <c r="F84" s="6" t="n"/>
      <c r="G84" s="6" t="n"/>
      <c r="H84" s="6">
        <f>IFERROR(F84*G84,0)</f>
        <v/>
      </c>
      <c r="I84" s="5" t="n"/>
      <c r="J84" s="5" t="n"/>
      <c r="K84" s="5" t="n"/>
      <c r="L84" s="5" t="n"/>
    </row>
    <row r="85" ht="22" customHeight="1">
      <c r="B85" s="3" t="n"/>
      <c r="C85" s="3" t="n"/>
      <c r="D85" s="3" t="n"/>
      <c r="E85" s="3" t="n"/>
      <c r="F85" s="4" t="n"/>
      <c r="G85" s="4" t="n"/>
      <c r="H85" s="4">
        <f>IFERROR(F85*G85,0)</f>
        <v/>
      </c>
      <c r="I85" s="3" t="n"/>
      <c r="J85" s="3" t="n"/>
      <c r="K85" s="3" t="n"/>
      <c r="L85" s="3" t="n"/>
    </row>
    <row r="86" ht="22" customHeight="1">
      <c r="B86" s="5" t="n"/>
      <c r="C86" s="5" t="n"/>
      <c r="D86" s="5" t="n"/>
      <c r="E86" s="5" t="n"/>
      <c r="F86" s="6" t="n"/>
      <c r="G86" s="6" t="n"/>
      <c r="H86" s="6">
        <f>IFERROR(F86*G86,0)</f>
        <v/>
      </c>
      <c r="I86" s="5" t="n"/>
      <c r="J86" s="5" t="n"/>
      <c r="K86" s="5" t="n"/>
      <c r="L86" s="5" t="n"/>
    </row>
    <row r="87" ht="22" customHeight="1">
      <c r="B87" s="3" t="n"/>
      <c r="C87" s="3" t="n"/>
      <c r="D87" s="3" t="n"/>
      <c r="E87" s="3" t="n"/>
      <c r="F87" s="4" t="n"/>
      <c r="G87" s="4" t="n"/>
      <c r="H87" s="4">
        <f>IFERROR(F87*G87,0)</f>
        <v/>
      </c>
      <c r="I87" s="3" t="n"/>
      <c r="J87" s="3" t="n"/>
      <c r="K87" s="3" t="n"/>
      <c r="L87" s="3" t="n"/>
    </row>
    <row r="88" ht="22" customHeight="1">
      <c r="B88" s="5" t="n"/>
      <c r="C88" s="5" t="n"/>
      <c r="D88" s="5" t="n"/>
      <c r="E88" s="5" t="n"/>
      <c r="F88" s="6" t="n"/>
      <c r="G88" s="6" t="n"/>
      <c r="H88" s="6">
        <f>IFERROR(F88*G88,0)</f>
        <v/>
      </c>
      <c r="I88" s="5" t="n"/>
      <c r="J88" s="5" t="n"/>
      <c r="K88" s="5" t="n"/>
      <c r="L88" s="5" t="n"/>
    </row>
    <row r="89" ht="22" customHeight="1">
      <c r="B89" s="3" t="n"/>
      <c r="C89" s="3" t="n"/>
      <c r="D89" s="3" t="n"/>
      <c r="E89" s="3" t="n"/>
      <c r="F89" s="4" t="n"/>
      <c r="G89" s="4" t="n"/>
      <c r="H89" s="4">
        <f>IFERROR(F89*G89,0)</f>
        <v/>
      </c>
      <c r="I89" s="3" t="n"/>
      <c r="J89" s="3" t="n"/>
      <c r="K89" s="3" t="n"/>
      <c r="L89" s="3" t="n"/>
    </row>
    <row r="90" ht="22" customHeight="1">
      <c r="B90" s="5" t="n"/>
      <c r="C90" s="5" t="n"/>
      <c r="D90" s="5" t="n"/>
      <c r="E90" s="5" t="n"/>
      <c r="F90" s="6" t="n"/>
      <c r="G90" s="6" t="n"/>
      <c r="H90" s="6">
        <f>IFERROR(F90*G90,0)</f>
        <v/>
      </c>
      <c r="I90" s="5" t="n"/>
      <c r="J90" s="5" t="n"/>
      <c r="K90" s="5" t="n"/>
      <c r="L90" s="5" t="n"/>
    </row>
    <row r="91" ht="22" customHeight="1">
      <c r="B91" s="3" t="n"/>
      <c r="C91" s="3" t="n"/>
      <c r="D91" s="3" t="n"/>
      <c r="E91" s="3" t="n"/>
      <c r="F91" s="4" t="n"/>
      <c r="G91" s="4" t="n"/>
      <c r="H91" s="4">
        <f>IFERROR(F91*G91,0)</f>
        <v/>
      </c>
      <c r="I91" s="3" t="n"/>
      <c r="J91" s="3" t="n"/>
      <c r="K91" s="3" t="n"/>
      <c r="L91" s="3" t="n"/>
    </row>
    <row r="92" ht="22" customHeight="1">
      <c r="B92" s="5" t="n"/>
      <c r="C92" s="5" t="n"/>
      <c r="D92" s="5" t="n"/>
      <c r="E92" s="5" t="n"/>
      <c r="F92" s="6" t="n"/>
      <c r="G92" s="6" t="n"/>
      <c r="H92" s="6">
        <f>IFERROR(F92*G92,0)</f>
        <v/>
      </c>
      <c r="I92" s="5" t="n"/>
      <c r="J92" s="5" t="n"/>
      <c r="K92" s="5" t="n"/>
      <c r="L92" s="5" t="n"/>
    </row>
    <row r="93" ht="22" customHeight="1">
      <c r="B93" s="3" t="n"/>
      <c r="C93" s="3" t="n"/>
      <c r="D93" s="3" t="n"/>
      <c r="E93" s="3" t="n"/>
      <c r="F93" s="4" t="n"/>
      <c r="G93" s="4" t="n"/>
      <c r="H93" s="4">
        <f>IFERROR(F93*G93,0)</f>
        <v/>
      </c>
      <c r="I93" s="3" t="n"/>
      <c r="J93" s="3" t="n"/>
      <c r="K93" s="3" t="n"/>
      <c r="L93" s="3" t="n"/>
    </row>
    <row r="94" ht="22" customHeight="1">
      <c r="B94" s="5" t="n"/>
      <c r="C94" s="5" t="n"/>
      <c r="D94" s="5" t="n"/>
      <c r="E94" s="5" t="n"/>
      <c r="F94" s="6" t="n"/>
      <c r="G94" s="6" t="n"/>
      <c r="H94" s="6">
        <f>IFERROR(F94*G94,0)</f>
        <v/>
      </c>
      <c r="I94" s="5" t="n"/>
      <c r="J94" s="5" t="n"/>
      <c r="K94" s="5" t="n"/>
      <c r="L94" s="5" t="n"/>
    </row>
    <row r="95" ht="22" customHeight="1">
      <c r="B95" s="3" t="n"/>
      <c r="C95" s="3" t="n"/>
      <c r="D95" s="3" t="n"/>
      <c r="E95" s="3" t="n"/>
      <c r="F95" s="4" t="n"/>
      <c r="G95" s="4" t="n"/>
      <c r="H95" s="4">
        <f>IFERROR(F95*G95,0)</f>
        <v/>
      </c>
      <c r="I95" s="3" t="n"/>
      <c r="J95" s="3" t="n"/>
      <c r="K95" s="3" t="n"/>
      <c r="L95" s="3" t="n"/>
    </row>
    <row r="96" ht="22" customHeight="1">
      <c r="B96" s="5" t="n"/>
      <c r="C96" s="5" t="n"/>
      <c r="D96" s="5" t="n"/>
      <c r="E96" s="5" t="n"/>
      <c r="F96" s="6" t="n"/>
      <c r="G96" s="6" t="n"/>
      <c r="H96" s="6">
        <f>IFERROR(F96*G96,0)</f>
        <v/>
      </c>
      <c r="I96" s="5" t="n"/>
      <c r="J96" s="5" t="n"/>
      <c r="K96" s="5" t="n"/>
      <c r="L96" s="5" t="n"/>
    </row>
    <row r="97" ht="22" customHeight="1">
      <c r="B97" s="3" t="n"/>
      <c r="C97" s="3" t="n"/>
      <c r="D97" s="3" t="n"/>
      <c r="E97" s="3" t="n"/>
      <c r="F97" s="4" t="n"/>
      <c r="G97" s="4" t="n"/>
      <c r="H97" s="4">
        <f>IFERROR(F97*G97,0)</f>
        <v/>
      </c>
      <c r="I97" s="3" t="n"/>
      <c r="J97" s="3" t="n"/>
      <c r="K97" s="3" t="n"/>
      <c r="L97" s="3" t="n"/>
    </row>
    <row r="98" ht="22" customHeight="1">
      <c r="B98" s="5" t="n"/>
      <c r="C98" s="5" t="n"/>
      <c r="D98" s="5" t="n"/>
      <c r="E98" s="5" t="n"/>
      <c r="F98" s="6" t="n"/>
      <c r="G98" s="6" t="n"/>
      <c r="H98" s="6">
        <f>IFERROR(F98*G98,0)</f>
        <v/>
      </c>
      <c r="I98" s="5" t="n"/>
      <c r="J98" s="5" t="n"/>
      <c r="K98" s="5" t="n"/>
      <c r="L98" s="5" t="n"/>
    </row>
    <row r="99" ht="22" customHeight="1">
      <c r="B99" s="3" t="n"/>
      <c r="C99" s="3" t="n"/>
      <c r="D99" s="3" t="n"/>
      <c r="E99" s="3" t="n"/>
      <c r="F99" s="4" t="n"/>
      <c r="G99" s="4" t="n"/>
      <c r="H99" s="4">
        <f>IFERROR(F99*G99,0)</f>
        <v/>
      </c>
      <c r="I99" s="3" t="n"/>
      <c r="J99" s="3" t="n"/>
      <c r="K99" s="3" t="n"/>
      <c r="L99" s="3" t="n"/>
    </row>
    <row r="100" ht="22" customHeight="1">
      <c r="B100" s="5" t="n"/>
      <c r="C100" s="5" t="n"/>
      <c r="D100" s="5" t="n"/>
      <c r="E100" s="5" t="n"/>
      <c r="F100" s="6" t="n"/>
      <c r="G100" s="6" t="n"/>
      <c r="H100" s="6">
        <f>IFERROR(F100*G100,0)</f>
        <v/>
      </c>
      <c r="I100" s="5" t="n"/>
      <c r="J100" s="5" t="n"/>
      <c r="K100" s="5" t="n"/>
      <c r="L100" s="5" t="n"/>
    </row>
    <row r="101" ht="22" customHeight="1">
      <c r="B101" s="3" t="n"/>
      <c r="C101" s="3" t="n"/>
      <c r="D101" s="3" t="n"/>
      <c r="E101" s="3" t="n"/>
      <c r="F101" s="4" t="n"/>
      <c r="G101" s="4" t="n"/>
      <c r="H101" s="4">
        <f>IFERROR(F101*G101,0)</f>
        <v/>
      </c>
      <c r="I101" s="3" t="n"/>
      <c r="J101" s="3" t="n"/>
      <c r="K101" s="3" t="n"/>
      <c r="L101" s="3" t="n"/>
    </row>
    <row r="102" ht="22" customHeight="1">
      <c r="B102" s="5" t="n"/>
      <c r="C102" s="5" t="n"/>
      <c r="D102" s="5" t="n"/>
      <c r="E102" s="5" t="n"/>
      <c r="F102" s="6" t="n"/>
      <c r="G102" s="6" t="n"/>
      <c r="H102" s="6">
        <f>IFERROR(F102*G102,0)</f>
        <v/>
      </c>
      <c r="I102" s="5" t="n"/>
      <c r="J102" s="5" t="n"/>
      <c r="K102" s="5" t="n"/>
      <c r="L102" s="5" t="n"/>
    </row>
    <row r="103" ht="22" customHeight="1">
      <c r="B103" s="3" t="n"/>
      <c r="C103" s="3" t="n"/>
      <c r="D103" s="3" t="n"/>
      <c r="E103" s="3" t="n"/>
      <c r="F103" s="4" t="n"/>
      <c r="G103" s="4" t="n"/>
      <c r="H103" s="4">
        <f>IFERROR(F103*G103,0)</f>
        <v/>
      </c>
      <c r="I103" s="3" t="n"/>
      <c r="J103" s="3" t="n"/>
      <c r="K103" s="3" t="n"/>
      <c r="L103" s="3" t="n"/>
    </row>
    <row r="104" ht="22" customHeight="1">
      <c r="B104" s="5" t="n"/>
      <c r="C104" s="5" t="n"/>
      <c r="D104" s="5" t="n"/>
      <c r="E104" s="5" t="n"/>
      <c r="F104" s="6" t="n"/>
      <c r="G104" s="6" t="n"/>
      <c r="H104" s="6">
        <f>IFERROR(F104*G104,0)</f>
        <v/>
      </c>
      <c r="I104" s="5" t="n"/>
      <c r="J104" s="5" t="n"/>
      <c r="K104" s="5" t="n"/>
      <c r="L104" s="5" t="n"/>
    </row>
    <row r="105" ht="22" customHeight="1">
      <c r="B105" s="3" t="n"/>
      <c r="C105" s="3" t="n"/>
      <c r="D105" s="3" t="n"/>
      <c r="E105" s="3" t="n"/>
      <c r="F105" s="4" t="n"/>
      <c r="G105" s="4" t="n"/>
      <c r="H105" s="4">
        <f>IFERROR(F105*G105,0)</f>
        <v/>
      </c>
      <c r="I105" s="3" t="n"/>
      <c r="J105" s="3" t="n"/>
      <c r="K105" s="3" t="n"/>
      <c r="L105" s="3" t="n"/>
    </row>
    <row r="106" ht="22" customHeight="1">
      <c r="B106" s="5" t="n"/>
      <c r="C106" s="5" t="n"/>
      <c r="D106" s="5" t="n"/>
      <c r="E106" s="5" t="n"/>
      <c r="F106" s="6" t="n"/>
      <c r="G106" s="6" t="n"/>
      <c r="H106" s="6">
        <f>IFERROR(F106*G106,0)</f>
        <v/>
      </c>
      <c r="I106" s="5" t="n"/>
      <c r="J106" s="5" t="n"/>
      <c r="K106" s="5" t="n"/>
      <c r="L106" s="5" t="n"/>
    </row>
    <row r="107" ht="22" customHeight="1">
      <c r="B107" s="3" t="n"/>
      <c r="C107" s="3" t="n"/>
      <c r="D107" s="3" t="n"/>
      <c r="E107" s="3" t="n"/>
      <c r="F107" s="4" t="n"/>
      <c r="G107" s="4" t="n"/>
      <c r="H107" s="4">
        <f>IFERROR(F107*G107,0)</f>
        <v/>
      </c>
      <c r="I107" s="3" t="n"/>
      <c r="J107" s="3" t="n"/>
      <c r="K107" s="3" t="n"/>
      <c r="L107" s="3" t="n"/>
    </row>
    <row r="108" ht="22" customHeight="1">
      <c r="B108" s="5" t="n"/>
      <c r="C108" s="5" t="n"/>
      <c r="D108" s="5" t="n"/>
      <c r="E108" s="5" t="n"/>
      <c r="F108" s="6" t="n"/>
      <c r="G108" s="6" t="n"/>
      <c r="H108" s="6">
        <f>IFERROR(F108*G108,0)</f>
        <v/>
      </c>
      <c r="I108" s="5" t="n"/>
      <c r="J108" s="5" t="n"/>
      <c r="K108" s="5" t="n"/>
      <c r="L108" s="5" t="n"/>
    </row>
    <row r="109" ht="22" customHeight="1">
      <c r="B109" s="3" t="n"/>
      <c r="C109" s="3" t="n"/>
      <c r="D109" s="3" t="n"/>
      <c r="E109" s="3" t="n"/>
      <c r="F109" s="4" t="n"/>
      <c r="G109" s="4" t="n"/>
      <c r="H109" s="4">
        <f>IFERROR(F109*G109,0)</f>
        <v/>
      </c>
      <c r="I109" s="3" t="n"/>
      <c r="J109" s="3" t="n"/>
      <c r="K109" s="3" t="n"/>
      <c r="L109" s="3" t="n"/>
    </row>
    <row r="110" ht="22" customHeight="1">
      <c r="B110" s="5" t="n"/>
      <c r="C110" s="5" t="n"/>
      <c r="D110" s="5" t="n"/>
      <c r="E110" s="5" t="n"/>
      <c r="F110" s="6" t="n"/>
      <c r="G110" s="6" t="n"/>
      <c r="H110" s="6">
        <f>IFERROR(F110*G110,0)</f>
        <v/>
      </c>
      <c r="I110" s="5" t="n"/>
      <c r="J110" s="5" t="n"/>
      <c r="K110" s="5" t="n"/>
      <c r="L110" s="5" t="n"/>
    </row>
    <row r="111" ht="22" customHeight="1">
      <c r="B111" s="3" t="n"/>
      <c r="C111" s="3" t="n"/>
      <c r="D111" s="3" t="n"/>
      <c r="E111" s="3" t="n"/>
      <c r="F111" s="4" t="n"/>
      <c r="G111" s="4" t="n"/>
      <c r="H111" s="4">
        <f>IFERROR(F111*G111,0)</f>
        <v/>
      </c>
      <c r="I111" s="3" t="n"/>
      <c r="J111" s="3" t="n"/>
      <c r="K111" s="3" t="n"/>
      <c r="L111" s="3" t="n"/>
    </row>
    <row r="112" ht="22" customHeight="1">
      <c r="B112" s="5" t="n"/>
      <c r="C112" s="5" t="n"/>
      <c r="D112" s="5" t="n"/>
      <c r="E112" s="5" t="n"/>
      <c r="F112" s="6" t="n"/>
      <c r="G112" s="6" t="n"/>
      <c r="H112" s="6">
        <f>IFERROR(F112*G112,0)</f>
        <v/>
      </c>
      <c r="I112" s="5" t="n"/>
      <c r="J112" s="5" t="n"/>
      <c r="K112" s="5" t="n"/>
      <c r="L112" s="5" t="n"/>
    </row>
    <row r="113" ht="22" customHeight="1">
      <c r="B113" s="3" t="n"/>
      <c r="C113" s="3" t="n"/>
      <c r="D113" s="3" t="n"/>
      <c r="E113" s="3" t="n"/>
      <c r="F113" s="4" t="n"/>
      <c r="G113" s="4" t="n"/>
      <c r="H113" s="4">
        <f>IFERROR(F113*G113,0)</f>
        <v/>
      </c>
      <c r="I113" s="3" t="n"/>
      <c r="J113" s="3" t="n"/>
      <c r="K113" s="3" t="n"/>
      <c r="L113" s="3" t="n"/>
    </row>
    <row r="114" ht="22" customHeight="1">
      <c r="B114" s="5" t="n"/>
      <c r="C114" s="5" t="n"/>
      <c r="D114" s="5" t="n"/>
      <c r="E114" s="5" t="n"/>
      <c r="F114" s="6" t="n"/>
      <c r="G114" s="6" t="n"/>
      <c r="H114" s="6">
        <f>IFERROR(F114*G114,0)</f>
        <v/>
      </c>
      <c r="I114" s="5" t="n"/>
      <c r="J114" s="5" t="n"/>
      <c r="K114" s="5" t="n"/>
      <c r="L114" s="5" t="n"/>
    </row>
    <row r="115" ht="22" customHeight="1">
      <c r="B115" s="3" t="n"/>
      <c r="C115" s="3" t="n"/>
      <c r="D115" s="3" t="n"/>
      <c r="E115" s="3" t="n"/>
      <c r="F115" s="4" t="n"/>
      <c r="G115" s="4" t="n"/>
      <c r="H115" s="4">
        <f>IFERROR(F115*G115,0)</f>
        <v/>
      </c>
      <c r="I115" s="3" t="n"/>
      <c r="J115" s="3" t="n"/>
      <c r="K115" s="3" t="n"/>
      <c r="L115" s="3" t="n"/>
    </row>
    <row r="116" ht="22" customHeight="1">
      <c r="B116" s="5" t="n"/>
      <c r="C116" s="5" t="n"/>
      <c r="D116" s="5" t="n"/>
      <c r="E116" s="5" t="n"/>
      <c r="F116" s="6" t="n"/>
      <c r="G116" s="6" t="n"/>
      <c r="H116" s="6">
        <f>IFERROR(F116*G116,0)</f>
        <v/>
      </c>
      <c r="I116" s="5" t="n"/>
      <c r="J116" s="5" t="n"/>
      <c r="K116" s="5" t="n"/>
      <c r="L116" s="5" t="n"/>
    </row>
    <row r="117" ht="22" customHeight="1">
      <c r="B117" s="3" t="n"/>
      <c r="C117" s="3" t="n"/>
      <c r="D117" s="3" t="n"/>
      <c r="E117" s="3" t="n"/>
      <c r="F117" s="4" t="n"/>
      <c r="G117" s="4" t="n"/>
      <c r="H117" s="4">
        <f>IFERROR(F117*G117,0)</f>
        <v/>
      </c>
      <c r="I117" s="3" t="n"/>
      <c r="J117" s="3" t="n"/>
      <c r="K117" s="3" t="n"/>
      <c r="L117" s="3" t="n"/>
    </row>
    <row r="118" ht="22" customHeight="1">
      <c r="B118" s="5" t="n"/>
      <c r="C118" s="5" t="n"/>
      <c r="D118" s="5" t="n"/>
      <c r="E118" s="5" t="n"/>
      <c r="F118" s="6" t="n"/>
      <c r="G118" s="6" t="n"/>
      <c r="H118" s="6">
        <f>IFERROR(F118*G118,0)</f>
        <v/>
      </c>
      <c r="I118" s="5" t="n"/>
      <c r="J118" s="5" t="n"/>
      <c r="K118" s="5" t="n"/>
      <c r="L118" s="5" t="n"/>
    </row>
    <row r="119" ht="22" customHeight="1">
      <c r="B119" s="3" t="n"/>
      <c r="C119" s="3" t="n"/>
      <c r="D119" s="3" t="n"/>
      <c r="E119" s="3" t="n"/>
      <c r="F119" s="4" t="n"/>
      <c r="G119" s="4" t="n"/>
      <c r="H119" s="4">
        <f>IFERROR(F119*G119,0)</f>
        <v/>
      </c>
      <c r="I119" s="3" t="n"/>
      <c r="J119" s="3" t="n"/>
      <c r="K119" s="3" t="n"/>
      <c r="L119" s="3" t="n"/>
    </row>
    <row r="120" ht="22" customHeight="1">
      <c r="B120" s="5" t="n"/>
      <c r="C120" s="5" t="n"/>
      <c r="D120" s="5" t="n"/>
      <c r="E120" s="5" t="n"/>
      <c r="F120" s="6" t="n"/>
      <c r="G120" s="6" t="n"/>
      <c r="H120" s="6">
        <f>IFERROR(F120*G120,0)</f>
        <v/>
      </c>
      <c r="I120" s="5" t="n"/>
      <c r="J120" s="5" t="n"/>
      <c r="K120" s="5" t="n"/>
      <c r="L120" s="5" t="n"/>
    </row>
    <row r="121" ht="22" customHeight="1">
      <c r="B121" s="3" t="n"/>
      <c r="C121" s="3" t="n"/>
      <c r="D121" s="3" t="n"/>
      <c r="E121" s="3" t="n"/>
      <c r="F121" s="4" t="n"/>
      <c r="G121" s="4" t="n"/>
      <c r="H121" s="4">
        <f>IFERROR(F121*G121,0)</f>
        <v/>
      </c>
      <c r="I121" s="3" t="n"/>
      <c r="J121" s="3" t="n"/>
      <c r="K121" s="3" t="n"/>
      <c r="L121" s="3" t="n"/>
    </row>
    <row r="122" ht="22" customHeight="1">
      <c r="B122" s="5" t="n"/>
      <c r="C122" s="5" t="n"/>
      <c r="D122" s="5" t="n"/>
      <c r="E122" s="5" t="n"/>
      <c r="F122" s="6" t="n"/>
      <c r="G122" s="6" t="n"/>
      <c r="H122" s="6">
        <f>IFERROR(F122*G122,0)</f>
        <v/>
      </c>
      <c r="I122" s="5" t="n"/>
      <c r="J122" s="5" t="n"/>
      <c r="K122" s="5" t="n"/>
      <c r="L122" s="5" t="n"/>
    </row>
    <row r="123" ht="22" customHeight="1">
      <c r="B123" s="3" t="n"/>
      <c r="C123" s="3" t="n"/>
      <c r="D123" s="3" t="n"/>
      <c r="E123" s="3" t="n"/>
      <c r="F123" s="4" t="n"/>
      <c r="G123" s="4" t="n"/>
      <c r="H123" s="4">
        <f>IFERROR(F123*G123,0)</f>
        <v/>
      </c>
      <c r="I123" s="3" t="n"/>
      <c r="J123" s="3" t="n"/>
      <c r="K123" s="3" t="n"/>
      <c r="L123" s="3" t="n"/>
    </row>
    <row r="124" ht="22" customHeight="1">
      <c r="B124" s="5" t="n"/>
      <c r="C124" s="5" t="n"/>
      <c r="D124" s="5" t="n"/>
      <c r="E124" s="5" t="n"/>
      <c r="F124" s="6" t="n"/>
      <c r="G124" s="6" t="n"/>
      <c r="H124" s="6">
        <f>IFERROR(F124*G124,0)</f>
        <v/>
      </c>
      <c r="I124" s="5" t="n"/>
      <c r="J124" s="5" t="n"/>
      <c r="K124" s="5" t="n"/>
      <c r="L124" s="5" t="n"/>
    </row>
    <row r="125" ht="22" customHeight="1">
      <c r="B125" s="3" t="n"/>
      <c r="C125" s="3" t="n"/>
      <c r="D125" s="3" t="n"/>
      <c r="E125" s="3" t="n"/>
      <c r="F125" s="4" t="n"/>
      <c r="G125" s="4" t="n"/>
      <c r="H125" s="4">
        <f>IFERROR(F125*G125,0)</f>
        <v/>
      </c>
      <c r="I125" s="3" t="n"/>
      <c r="J125" s="3" t="n"/>
      <c r="K125" s="3" t="n"/>
      <c r="L125" s="3" t="n"/>
    </row>
    <row r="126" ht="22" customHeight="1">
      <c r="B126" s="5" t="n"/>
      <c r="C126" s="5" t="n"/>
      <c r="D126" s="5" t="n"/>
      <c r="E126" s="5" t="n"/>
      <c r="F126" s="6" t="n"/>
      <c r="G126" s="6" t="n"/>
      <c r="H126" s="6">
        <f>IFERROR(F126*G126,0)</f>
        <v/>
      </c>
      <c r="I126" s="5" t="n"/>
      <c r="J126" s="5" t="n"/>
      <c r="K126" s="5" t="n"/>
      <c r="L126" s="5" t="n"/>
    </row>
    <row r="127" ht="22" customHeight="1">
      <c r="B127" s="3" t="n"/>
      <c r="C127" s="3" t="n"/>
      <c r="D127" s="3" t="n"/>
      <c r="E127" s="3" t="n"/>
      <c r="F127" s="4" t="n"/>
      <c r="G127" s="4" t="n"/>
      <c r="H127" s="4">
        <f>IFERROR(F127*G127,0)</f>
        <v/>
      </c>
      <c r="I127" s="3" t="n"/>
      <c r="J127" s="3" t="n"/>
      <c r="K127" s="3" t="n"/>
      <c r="L127" s="3" t="n"/>
    </row>
    <row r="128" ht="22" customHeight="1">
      <c r="B128" s="5" t="n"/>
      <c r="C128" s="5" t="n"/>
      <c r="D128" s="5" t="n"/>
      <c r="E128" s="5" t="n"/>
      <c r="F128" s="6" t="n"/>
      <c r="G128" s="6" t="n"/>
      <c r="H128" s="6">
        <f>IFERROR(F128*G128,0)</f>
        <v/>
      </c>
      <c r="I128" s="5" t="n"/>
      <c r="J128" s="5" t="n"/>
      <c r="K128" s="5" t="n"/>
      <c r="L128" s="5" t="n"/>
    </row>
    <row r="129" ht="22" customHeight="1">
      <c r="B129" s="3" t="n"/>
      <c r="C129" s="3" t="n"/>
      <c r="D129" s="3" t="n"/>
      <c r="E129" s="3" t="n"/>
      <c r="F129" s="4" t="n"/>
      <c r="G129" s="4" t="n"/>
      <c r="H129" s="4">
        <f>IFERROR(F129*G129,0)</f>
        <v/>
      </c>
      <c r="I129" s="3" t="n"/>
      <c r="J129" s="3" t="n"/>
      <c r="K129" s="3" t="n"/>
      <c r="L129" s="3" t="n"/>
    </row>
    <row r="130" ht="22" customHeight="1">
      <c r="B130" s="5" t="n"/>
      <c r="C130" s="5" t="n"/>
      <c r="D130" s="5" t="n"/>
      <c r="E130" s="5" t="n"/>
      <c r="F130" s="6" t="n"/>
      <c r="G130" s="6" t="n"/>
      <c r="H130" s="6">
        <f>IFERROR(F130*G130,0)</f>
        <v/>
      </c>
      <c r="I130" s="5" t="n"/>
      <c r="J130" s="5" t="n"/>
      <c r="K130" s="5" t="n"/>
      <c r="L130" s="5" t="n"/>
    </row>
    <row r="131" ht="22" customHeight="1">
      <c r="B131" s="3" t="n"/>
      <c r="C131" s="3" t="n"/>
      <c r="D131" s="3" t="n"/>
      <c r="E131" s="3" t="n"/>
      <c r="F131" s="4" t="n"/>
      <c r="G131" s="4" t="n"/>
      <c r="H131" s="4">
        <f>IFERROR(F131*G131,0)</f>
        <v/>
      </c>
      <c r="I131" s="3" t="n"/>
      <c r="J131" s="3" t="n"/>
      <c r="K131" s="3" t="n"/>
      <c r="L131" s="3" t="n"/>
    </row>
    <row r="132" ht="22" customHeight="1">
      <c r="B132" s="5" t="n"/>
      <c r="C132" s="5" t="n"/>
      <c r="D132" s="5" t="n"/>
      <c r="E132" s="5" t="n"/>
      <c r="F132" s="6" t="n"/>
      <c r="G132" s="6" t="n"/>
      <c r="H132" s="6">
        <f>IFERROR(F132*G132,0)</f>
        <v/>
      </c>
      <c r="I132" s="5" t="n"/>
      <c r="J132" s="5" t="n"/>
      <c r="K132" s="5" t="n"/>
      <c r="L132" s="5" t="n"/>
    </row>
    <row r="133" ht="22" customHeight="1">
      <c r="B133" s="3" t="n"/>
      <c r="C133" s="3" t="n"/>
      <c r="D133" s="3" t="n"/>
      <c r="E133" s="3" t="n"/>
      <c r="F133" s="4" t="n"/>
      <c r="G133" s="4" t="n"/>
      <c r="H133" s="4">
        <f>IFERROR(F133*G133,0)</f>
        <v/>
      </c>
      <c r="I133" s="3" t="n"/>
      <c r="J133" s="3" t="n"/>
      <c r="K133" s="3" t="n"/>
      <c r="L133" s="3" t="n"/>
    </row>
    <row r="134" ht="22" customHeight="1">
      <c r="B134" s="5" t="n"/>
      <c r="C134" s="5" t="n"/>
      <c r="D134" s="5" t="n"/>
      <c r="E134" s="5" t="n"/>
      <c r="F134" s="6" t="n"/>
      <c r="G134" s="6" t="n"/>
      <c r="H134" s="6">
        <f>IFERROR(F134*G134,0)</f>
        <v/>
      </c>
      <c r="I134" s="5" t="n"/>
      <c r="J134" s="5" t="n"/>
      <c r="K134" s="5" t="n"/>
      <c r="L134" s="5" t="n"/>
    </row>
    <row r="135" ht="22" customHeight="1">
      <c r="B135" s="3" t="n"/>
      <c r="C135" s="3" t="n"/>
      <c r="D135" s="3" t="n"/>
      <c r="E135" s="3" t="n"/>
      <c r="F135" s="4" t="n"/>
      <c r="G135" s="4" t="n"/>
      <c r="H135" s="4">
        <f>IFERROR(F135*G135,0)</f>
        <v/>
      </c>
      <c r="I135" s="3" t="n"/>
      <c r="J135" s="3" t="n"/>
      <c r="K135" s="3" t="n"/>
      <c r="L135" s="3" t="n"/>
    </row>
    <row r="136" ht="22" customHeight="1">
      <c r="B136" s="5" t="n"/>
      <c r="C136" s="5" t="n"/>
      <c r="D136" s="5" t="n"/>
      <c r="E136" s="5" t="n"/>
      <c r="F136" s="6" t="n"/>
      <c r="G136" s="6" t="n"/>
      <c r="H136" s="6">
        <f>IFERROR(F136*G136,0)</f>
        <v/>
      </c>
      <c r="I136" s="5" t="n"/>
      <c r="J136" s="5" t="n"/>
      <c r="K136" s="5" t="n"/>
      <c r="L136" s="5" t="n"/>
    </row>
    <row r="137" ht="22" customHeight="1">
      <c r="B137" s="3" t="n"/>
      <c r="C137" s="3" t="n"/>
      <c r="D137" s="3" t="n"/>
      <c r="E137" s="3" t="n"/>
      <c r="F137" s="4" t="n"/>
      <c r="G137" s="4" t="n"/>
      <c r="H137" s="4">
        <f>IFERROR(F137*G137,0)</f>
        <v/>
      </c>
      <c r="I137" s="3" t="n"/>
      <c r="J137" s="3" t="n"/>
      <c r="K137" s="3" t="n"/>
      <c r="L137" s="3" t="n"/>
    </row>
    <row r="138" ht="22" customHeight="1">
      <c r="B138" s="5" t="n"/>
      <c r="C138" s="5" t="n"/>
      <c r="D138" s="5" t="n"/>
      <c r="E138" s="5" t="n"/>
      <c r="F138" s="6" t="n"/>
      <c r="G138" s="6" t="n"/>
      <c r="H138" s="6">
        <f>IFERROR(F138*G138,0)</f>
        <v/>
      </c>
      <c r="I138" s="5" t="n"/>
      <c r="J138" s="5" t="n"/>
      <c r="K138" s="5" t="n"/>
      <c r="L138" s="5" t="n"/>
    </row>
    <row r="139" ht="22" customHeight="1">
      <c r="B139" s="3" t="n"/>
      <c r="C139" s="3" t="n"/>
      <c r="D139" s="3" t="n"/>
      <c r="E139" s="3" t="n"/>
      <c r="F139" s="4" t="n"/>
      <c r="G139" s="4" t="n"/>
      <c r="H139" s="4">
        <f>IFERROR(F139*G139,0)</f>
        <v/>
      </c>
      <c r="I139" s="3" t="n"/>
      <c r="J139" s="3" t="n"/>
      <c r="K139" s="3" t="n"/>
      <c r="L139" s="3" t="n"/>
    </row>
    <row r="140" ht="22" customHeight="1">
      <c r="B140" s="5" t="n"/>
      <c r="C140" s="5" t="n"/>
      <c r="D140" s="5" t="n"/>
      <c r="E140" s="5" t="n"/>
      <c r="F140" s="6" t="n"/>
      <c r="G140" s="6" t="n"/>
      <c r="H140" s="6">
        <f>IFERROR(F140*G140,0)</f>
        <v/>
      </c>
      <c r="I140" s="5" t="n"/>
      <c r="J140" s="5" t="n"/>
      <c r="K140" s="5" t="n"/>
      <c r="L140" s="5" t="n"/>
    </row>
    <row r="141" ht="22" customHeight="1">
      <c r="B141" s="3" t="n"/>
      <c r="C141" s="3" t="n"/>
      <c r="D141" s="3" t="n"/>
      <c r="E141" s="3" t="n"/>
      <c r="F141" s="4" t="n"/>
      <c r="G141" s="4" t="n"/>
      <c r="H141" s="4">
        <f>IFERROR(F141*G141,0)</f>
        <v/>
      </c>
      <c r="I141" s="3" t="n"/>
      <c r="J141" s="3" t="n"/>
      <c r="K141" s="3" t="n"/>
      <c r="L141" s="3" t="n"/>
    </row>
    <row r="142" ht="22" customHeight="1">
      <c r="B142" s="5" t="n"/>
      <c r="C142" s="5" t="n"/>
      <c r="D142" s="5" t="n"/>
      <c r="E142" s="5" t="n"/>
      <c r="F142" s="6" t="n"/>
      <c r="G142" s="6" t="n"/>
      <c r="H142" s="6">
        <f>IFERROR(F142*G142,0)</f>
        <v/>
      </c>
      <c r="I142" s="5" t="n"/>
      <c r="J142" s="5" t="n"/>
      <c r="K142" s="5" t="n"/>
      <c r="L142" s="5" t="n"/>
    </row>
    <row r="143" ht="22" customHeight="1">
      <c r="B143" s="3" t="n"/>
      <c r="C143" s="3" t="n"/>
      <c r="D143" s="3" t="n"/>
      <c r="E143" s="3" t="n"/>
      <c r="F143" s="4" t="n"/>
      <c r="G143" s="4" t="n"/>
      <c r="H143" s="4">
        <f>IFERROR(F143*G143,0)</f>
        <v/>
      </c>
      <c r="I143" s="3" t="n"/>
      <c r="J143" s="3" t="n"/>
      <c r="K143" s="3" t="n"/>
      <c r="L143" s="3" t="n"/>
    </row>
    <row r="144" ht="22" customHeight="1">
      <c r="B144" s="5" t="n"/>
      <c r="C144" s="5" t="n"/>
      <c r="D144" s="5" t="n"/>
      <c r="E144" s="5" t="n"/>
      <c r="F144" s="6" t="n"/>
      <c r="G144" s="6" t="n"/>
      <c r="H144" s="6">
        <f>IFERROR(F144*G144,0)</f>
        <v/>
      </c>
      <c r="I144" s="5" t="n"/>
      <c r="J144" s="5" t="n"/>
      <c r="K144" s="5" t="n"/>
      <c r="L144" s="5" t="n"/>
    </row>
    <row r="145" ht="22" customHeight="1">
      <c r="B145" s="3" t="n"/>
      <c r="C145" s="3" t="n"/>
      <c r="D145" s="3" t="n"/>
      <c r="E145" s="3" t="n"/>
      <c r="F145" s="4" t="n"/>
      <c r="G145" s="4" t="n"/>
      <c r="H145" s="4">
        <f>IFERROR(F145*G145,0)</f>
        <v/>
      </c>
      <c r="I145" s="3" t="n"/>
      <c r="J145" s="3" t="n"/>
      <c r="K145" s="3" t="n"/>
      <c r="L145" s="3" t="n"/>
    </row>
    <row r="146" ht="22" customHeight="1">
      <c r="B146" s="5" t="n"/>
      <c r="C146" s="5" t="n"/>
      <c r="D146" s="5" t="n"/>
      <c r="E146" s="5" t="n"/>
      <c r="F146" s="6" t="n"/>
      <c r="G146" s="6" t="n"/>
      <c r="H146" s="6">
        <f>IFERROR(F146*G146,0)</f>
        <v/>
      </c>
      <c r="I146" s="5" t="n"/>
      <c r="J146" s="5" t="n"/>
      <c r="K146" s="5" t="n"/>
      <c r="L146" s="5" t="n"/>
    </row>
    <row r="147" ht="22" customHeight="1">
      <c r="B147" s="3" t="n"/>
      <c r="C147" s="3" t="n"/>
      <c r="D147" s="3" t="n"/>
      <c r="E147" s="3" t="n"/>
      <c r="F147" s="4" t="n"/>
      <c r="G147" s="4" t="n"/>
      <c r="H147" s="4">
        <f>IFERROR(F147*G147,0)</f>
        <v/>
      </c>
      <c r="I147" s="3" t="n"/>
      <c r="J147" s="3" t="n"/>
      <c r="K147" s="3" t="n"/>
      <c r="L147" s="3" t="n"/>
    </row>
    <row r="148" ht="22" customHeight="1">
      <c r="B148" s="5" t="n"/>
      <c r="C148" s="5" t="n"/>
      <c r="D148" s="5" t="n"/>
      <c r="E148" s="5" t="n"/>
      <c r="F148" s="6" t="n"/>
      <c r="G148" s="6" t="n"/>
      <c r="H148" s="6">
        <f>IFERROR(F148*G148,0)</f>
        <v/>
      </c>
      <c r="I148" s="5" t="n"/>
      <c r="J148" s="5" t="n"/>
      <c r="K148" s="5" t="n"/>
      <c r="L148" s="5" t="n"/>
    </row>
    <row r="149" ht="22" customHeight="1">
      <c r="B149" s="3" t="n"/>
      <c r="C149" s="3" t="n"/>
      <c r="D149" s="3" t="n"/>
      <c r="E149" s="3" t="n"/>
      <c r="F149" s="4" t="n"/>
      <c r="G149" s="4" t="n"/>
      <c r="H149" s="4">
        <f>IFERROR(F149*G149,0)</f>
        <v/>
      </c>
      <c r="I149" s="3" t="n"/>
      <c r="J149" s="3" t="n"/>
      <c r="K149" s="3" t="n"/>
      <c r="L149" s="3" t="n"/>
    </row>
    <row r="150" ht="22" customHeight="1">
      <c r="B150" s="5" t="n"/>
      <c r="C150" s="5" t="n"/>
      <c r="D150" s="5" t="n"/>
      <c r="E150" s="5" t="n"/>
      <c r="F150" s="6" t="n"/>
      <c r="G150" s="6" t="n"/>
      <c r="H150" s="6">
        <f>IFERROR(F150*G150,0)</f>
        <v/>
      </c>
      <c r="I150" s="5" t="n"/>
      <c r="J150" s="5" t="n"/>
      <c r="K150" s="5" t="n"/>
      <c r="L150" s="5" t="n"/>
    </row>
    <row r="151" ht="22" customHeight="1">
      <c r="B151" s="3" t="n"/>
      <c r="C151" s="3" t="n"/>
      <c r="D151" s="3" t="n"/>
      <c r="E151" s="3" t="n"/>
      <c r="F151" s="4" t="n"/>
      <c r="G151" s="4" t="n"/>
      <c r="H151" s="4">
        <f>IFERROR(F151*G151,0)</f>
        <v/>
      </c>
      <c r="I151" s="3" t="n"/>
      <c r="J151" s="3" t="n"/>
      <c r="K151" s="3" t="n"/>
      <c r="L151" s="3" t="n"/>
    </row>
    <row r="152" ht="22" customHeight="1">
      <c r="B152" s="5" t="n"/>
      <c r="C152" s="5" t="n"/>
      <c r="D152" s="5" t="n"/>
      <c r="E152" s="5" t="n"/>
      <c r="F152" s="6" t="n"/>
      <c r="G152" s="6" t="n"/>
      <c r="H152" s="6">
        <f>IFERROR(F152*G152,0)</f>
        <v/>
      </c>
      <c r="I152" s="5" t="n"/>
      <c r="J152" s="5" t="n"/>
      <c r="K152" s="5" t="n"/>
      <c r="L152" s="5" t="n"/>
    </row>
    <row r="153" ht="22" customHeight="1">
      <c r="B153" s="3" t="n"/>
      <c r="C153" s="3" t="n"/>
      <c r="D153" s="3" t="n"/>
      <c r="E153" s="3" t="n"/>
      <c r="F153" s="4" t="n"/>
      <c r="G153" s="4" t="n"/>
      <c r="H153" s="4">
        <f>IFERROR(F153*G153,0)</f>
        <v/>
      </c>
      <c r="I153" s="3" t="n"/>
      <c r="J153" s="3" t="n"/>
      <c r="K153" s="3" t="n"/>
      <c r="L153" s="3" t="n"/>
    </row>
    <row r="154" ht="22" customHeight="1">
      <c r="B154" s="5" t="n"/>
      <c r="C154" s="5" t="n"/>
      <c r="D154" s="5" t="n"/>
      <c r="E154" s="5" t="n"/>
      <c r="F154" s="6" t="n"/>
      <c r="G154" s="6" t="n"/>
      <c r="H154" s="6">
        <f>IFERROR(F154*G154,0)</f>
        <v/>
      </c>
      <c r="I154" s="5" t="n"/>
      <c r="J154" s="5" t="n"/>
      <c r="K154" s="5" t="n"/>
      <c r="L154" s="5" t="n"/>
    </row>
    <row r="155" ht="22" customHeight="1">
      <c r="B155" s="3" t="n"/>
      <c r="C155" s="3" t="n"/>
      <c r="D155" s="3" t="n"/>
      <c r="E155" s="3" t="n"/>
      <c r="F155" s="4" t="n"/>
      <c r="G155" s="4" t="n"/>
      <c r="H155" s="4">
        <f>IFERROR(F155*G155,0)</f>
        <v/>
      </c>
      <c r="I155" s="3" t="n"/>
      <c r="J155" s="3" t="n"/>
      <c r="K155" s="3" t="n"/>
      <c r="L155" s="3" t="n"/>
    </row>
    <row r="156" ht="22" customHeight="1">
      <c r="B156" s="5" t="n"/>
      <c r="C156" s="5" t="n"/>
      <c r="D156" s="5" t="n"/>
      <c r="E156" s="5" t="n"/>
      <c r="F156" s="6" t="n"/>
      <c r="G156" s="6" t="n"/>
      <c r="H156" s="6">
        <f>IFERROR(F156*G156,0)</f>
        <v/>
      </c>
      <c r="I156" s="5" t="n"/>
      <c r="J156" s="5" t="n"/>
      <c r="K156" s="5" t="n"/>
      <c r="L156" s="5" t="n"/>
    </row>
    <row r="157" ht="22" customHeight="1">
      <c r="B157" s="3" t="n"/>
      <c r="C157" s="3" t="n"/>
      <c r="D157" s="3" t="n"/>
      <c r="E157" s="3" t="n"/>
      <c r="F157" s="4" t="n"/>
      <c r="G157" s="4" t="n"/>
      <c r="H157" s="4">
        <f>IFERROR(F157*G157,0)</f>
        <v/>
      </c>
      <c r="I157" s="3" t="n"/>
      <c r="J157" s="3" t="n"/>
      <c r="K157" s="3" t="n"/>
      <c r="L157" s="3" t="n"/>
    </row>
    <row r="158" ht="22" customHeight="1">
      <c r="B158" s="5" t="n"/>
      <c r="C158" s="5" t="n"/>
      <c r="D158" s="5" t="n"/>
      <c r="E158" s="5" t="n"/>
      <c r="F158" s="6" t="n"/>
      <c r="G158" s="6" t="n"/>
      <c r="H158" s="6">
        <f>IFERROR(F158*G158,0)</f>
        <v/>
      </c>
      <c r="I158" s="5" t="n"/>
      <c r="J158" s="5" t="n"/>
      <c r="K158" s="5" t="n"/>
      <c r="L158" s="5" t="n"/>
    </row>
    <row r="159" ht="22" customHeight="1">
      <c r="B159" s="3" t="n"/>
      <c r="C159" s="3" t="n"/>
      <c r="D159" s="3" t="n"/>
      <c r="E159" s="3" t="n"/>
      <c r="F159" s="4" t="n"/>
      <c r="G159" s="4" t="n"/>
      <c r="H159" s="4">
        <f>IFERROR(F159*G159,0)</f>
        <v/>
      </c>
      <c r="I159" s="3" t="n"/>
      <c r="J159" s="3" t="n"/>
      <c r="K159" s="3" t="n"/>
      <c r="L159" s="3" t="n"/>
    </row>
    <row r="160" ht="22" customHeight="1">
      <c r="B160" s="5" t="n"/>
      <c r="C160" s="5" t="n"/>
      <c r="D160" s="5" t="n"/>
      <c r="E160" s="5" t="n"/>
      <c r="F160" s="6" t="n"/>
      <c r="G160" s="6" t="n"/>
      <c r="H160" s="6">
        <f>IFERROR(F160*G160,0)</f>
        <v/>
      </c>
      <c r="I160" s="5" t="n"/>
      <c r="J160" s="5" t="n"/>
      <c r="K160" s="5" t="n"/>
      <c r="L160" s="5" t="n"/>
    </row>
    <row r="161" ht="22" customHeight="1">
      <c r="B161" s="3" t="n"/>
      <c r="C161" s="3" t="n"/>
      <c r="D161" s="3" t="n"/>
      <c r="E161" s="3" t="n"/>
      <c r="F161" s="4" t="n"/>
      <c r="G161" s="4" t="n"/>
      <c r="H161" s="4">
        <f>IFERROR(F161*G161,0)</f>
        <v/>
      </c>
      <c r="I161" s="3" t="n"/>
      <c r="J161" s="3" t="n"/>
      <c r="K161" s="3" t="n"/>
      <c r="L161" s="3" t="n"/>
    </row>
    <row r="162" ht="22" customHeight="1">
      <c r="B162" s="5" t="n"/>
      <c r="C162" s="5" t="n"/>
      <c r="D162" s="5" t="n"/>
      <c r="E162" s="5" t="n"/>
      <c r="F162" s="6" t="n"/>
      <c r="G162" s="6" t="n"/>
      <c r="H162" s="6">
        <f>IFERROR(F162*G162,0)</f>
        <v/>
      </c>
      <c r="I162" s="5" t="n"/>
      <c r="J162" s="5" t="n"/>
      <c r="K162" s="5" t="n"/>
      <c r="L162" s="5" t="n"/>
    </row>
    <row r="163" ht="22" customHeight="1">
      <c r="B163" s="3" t="n"/>
      <c r="C163" s="3" t="n"/>
      <c r="D163" s="3" t="n"/>
      <c r="E163" s="3" t="n"/>
      <c r="F163" s="4" t="n"/>
      <c r="G163" s="4" t="n"/>
      <c r="H163" s="4">
        <f>IFERROR(F163*G163,0)</f>
        <v/>
      </c>
      <c r="I163" s="3" t="n"/>
      <c r="J163" s="3" t="n"/>
      <c r="K163" s="3" t="n"/>
      <c r="L163" s="3" t="n"/>
    </row>
    <row r="164" ht="22" customHeight="1">
      <c r="B164" s="5" t="n"/>
      <c r="C164" s="5" t="n"/>
      <c r="D164" s="5" t="n"/>
      <c r="E164" s="5" t="n"/>
      <c r="F164" s="6" t="n"/>
      <c r="G164" s="6" t="n"/>
      <c r="H164" s="6">
        <f>IFERROR(F164*G164,0)</f>
        <v/>
      </c>
      <c r="I164" s="5" t="n"/>
      <c r="J164" s="5" t="n"/>
      <c r="K164" s="5" t="n"/>
      <c r="L164" s="5" t="n"/>
    </row>
    <row r="165" ht="22" customHeight="1">
      <c r="B165" s="3" t="n"/>
      <c r="C165" s="3" t="n"/>
      <c r="D165" s="3" t="n"/>
      <c r="E165" s="3" t="n"/>
      <c r="F165" s="4" t="n"/>
      <c r="G165" s="4" t="n"/>
      <c r="H165" s="4">
        <f>IFERROR(F165*G165,0)</f>
        <v/>
      </c>
      <c r="I165" s="3" t="n"/>
      <c r="J165" s="3" t="n"/>
      <c r="K165" s="3" t="n"/>
      <c r="L165" s="3" t="n"/>
    </row>
    <row r="166" ht="22" customHeight="1">
      <c r="B166" s="5" t="n"/>
      <c r="C166" s="5" t="n"/>
      <c r="D166" s="5" t="n"/>
      <c r="E166" s="5" t="n"/>
      <c r="F166" s="6" t="n"/>
      <c r="G166" s="6" t="n"/>
      <c r="H166" s="6">
        <f>IFERROR(F166*G166,0)</f>
        <v/>
      </c>
      <c r="I166" s="5" t="n"/>
      <c r="J166" s="5" t="n"/>
      <c r="K166" s="5" t="n"/>
      <c r="L166" s="5" t="n"/>
    </row>
    <row r="167" ht="22" customHeight="1">
      <c r="B167" s="3" t="n"/>
      <c r="C167" s="3" t="n"/>
      <c r="D167" s="3" t="n"/>
      <c r="E167" s="3" t="n"/>
      <c r="F167" s="4" t="n"/>
      <c r="G167" s="4" t="n"/>
      <c r="H167" s="4">
        <f>IFERROR(F167*G167,0)</f>
        <v/>
      </c>
      <c r="I167" s="3" t="n"/>
      <c r="J167" s="3" t="n"/>
      <c r="K167" s="3" t="n"/>
      <c r="L167" s="3" t="n"/>
    </row>
    <row r="168" ht="22" customHeight="1">
      <c r="B168" s="5" t="n"/>
      <c r="C168" s="5" t="n"/>
      <c r="D168" s="5" t="n"/>
      <c r="E168" s="5" t="n"/>
      <c r="F168" s="6" t="n"/>
      <c r="G168" s="6" t="n"/>
      <c r="H168" s="6">
        <f>IFERROR(F168*G168,0)</f>
        <v/>
      </c>
      <c r="I168" s="5" t="n"/>
      <c r="J168" s="5" t="n"/>
      <c r="K168" s="5" t="n"/>
      <c r="L168" s="5" t="n"/>
    </row>
    <row r="169" ht="22" customHeight="1">
      <c r="B169" s="3" t="n"/>
      <c r="C169" s="3" t="n"/>
      <c r="D169" s="3" t="n"/>
      <c r="E169" s="3" t="n"/>
      <c r="F169" s="4" t="n"/>
      <c r="G169" s="4" t="n"/>
      <c r="H169" s="4">
        <f>IFERROR(F169*G169,0)</f>
        <v/>
      </c>
      <c r="I169" s="3" t="n"/>
      <c r="J169" s="3" t="n"/>
      <c r="K169" s="3" t="n"/>
      <c r="L169" s="3" t="n"/>
    </row>
    <row r="170" ht="22" customHeight="1">
      <c r="B170" s="5" t="n"/>
      <c r="C170" s="5" t="n"/>
      <c r="D170" s="5" t="n"/>
      <c r="E170" s="5" t="n"/>
      <c r="F170" s="6" t="n"/>
      <c r="G170" s="6" t="n"/>
      <c r="H170" s="6">
        <f>IFERROR(F170*G170,0)</f>
        <v/>
      </c>
      <c r="I170" s="5" t="n"/>
      <c r="J170" s="5" t="n"/>
      <c r="K170" s="5" t="n"/>
      <c r="L170" s="5" t="n"/>
    </row>
    <row r="171" ht="22" customHeight="1">
      <c r="B171" s="3" t="n"/>
      <c r="C171" s="3" t="n"/>
      <c r="D171" s="3" t="n"/>
      <c r="E171" s="3" t="n"/>
      <c r="F171" s="4" t="n"/>
      <c r="G171" s="4" t="n"/>
      <c r="H171" s="4">
        <f>IFERROR(F171*G171,0)</f>
        <v/>
      </c>
      <c r="I171" s="3" t="n"/>
      <c r="J171" s="3" t="n"/>
      <c r="K171" s="3" t="n"/>
      <c r="L171" s="3" t="n"/>
    </row>
    <row r="172" ht="22" customHeight="1">
      <c r="B172" s="5" t="n"/>
      <c r="C172" s="5" t="n"/>
      <c r="D172" s="5" t="n"/>
      <c r="E172" s="5" t="n"/>
      <c r="F172" s="6" t="n"/>
      <c r="G172" s="6" t="n"/>
      <c r="H172" s="6">
        <f>IFERROR(F172*G172,0)</f>
        <v/>
      </c>
      <c r="I172" s="5" t="n"/>
      <c r="J172" s="5" t="n"/>
      <c r="K172" s="5" t="n"/>
      <c r="L172" s="5" t="n"/>
    </row>
    <row r="173" ht="22" customHeight="1">
      <c r="B173" s="3" t="n"/>
      <c r="C173" s="3" t="n"/>
      <c r="D173" s="3" t="n"/>
      <c r="E173" s="3" t="n"/>
      <c r="F173" s="4" t="n"/>
      <c r="G173" s="4" t="n"/>
      <c r="H173" s="4">
        <f>IFERROR(F173*G173,0)</f>
        <v/>
      </c>
      <c r="I173" s="3" t="n"/>
      <c r="J173" s="3" t="n"/>
      <c r="K173" s="3" t="n"/>
      <c r="L173" s="3" t="n"/>
    </row>
    <row r="174" ht="22" customHeight="1">
      <c r="B174" s="5" t="n"/>
      <c r="C174" s="5" t="n"/>
      <c r="D174" s="5" t="n"/>
      <c r="E174" s="5" t="n"/>
      <c r="F174" s="6" t="n"/>
      <c r="G174" s="6" t="n"/>
      <c r="H174" s="6">
        <f>IFERROR(F174*G174,0)</f>
        <v/>
      </c>
      <c r="I174" s="5" t="n"/>
      <c r="J174" s="5" t="n"/>
      <c r="K174" s="5" t="n"/>
      <c r="L174" s="5" t="n"/>
    </row>
    <row r="175" ht="22" customHeight="1">
      <c r="B175" s="3" t="n"/>
      <c r="C175" s="3" t="n"/>
      <c r="D175" s="3" t="n"/>
      <c r="E175" s="3" t="n"/>
      <c r="F175" s="4" t="n"/>
      <c r="G175" s="4" t="n"/>
      <c r="H175" s="4">
        <f>IFERROR(F175*G175,0)</f>
        <v/>
      </c>
      <c r="I175" s="3" t="n"/>
      <c r="J175" s="3" t="n"/>
      <c r="K175" s="3" t="n"/>
      <c r="L175" s="3" t="n"/>
    </row>
    <row r="176" ht="22" customHeight="1">
      <c r="B176" s="5" t="n"/>
      <c r="C176" s="5" t="n"/>
      <c r="D176" s="5" t="n"/>
      <c r="E176" s="5" t="n"/>
      <c r="F176" s="6" t="n"/>
      <c r="G176" s="6" t="n"/>
      <c r="H176" s="6">
        <f>IFERROR(F176*G176,0)</f>
        <v/>
      </c>
      <c r="I176" s="5" t="n"/>
      <c r="J176" s="5" t="n"/>
      <c r="K176" s="5" t="n"/>
      <c r="L176" s="5" t="n"/>
    </row>
    <row r="177" ht="22" customHeight="1">
      <c r="B177" s="3" t="n"/>
      <c r="C177" s="3" t="n"/>
      <c r="D177" s="3" t="n"/>
      <c r="E177" s="3" t="n"/>
      <c r="F177" s="4" t="n"/>
      <c r="G177" s="4" t="n"/>
      <c r="H177" s="4">
        <f>IFERROR(F177*G177,0)</f>
        <v/>
      </c>
      <c r="I177" s="3" t="n"/>
      <c r="J177" s="3" t="n"/>
      <c r="K177" s="3" t="n"/>
      <c r="L177" s="3" t="n"/>
    </row>
    <row r="178" ht="22" customHeight="1">
      <c r="B178" s="5" t="n"/>
      <c r="C178" s="5" t="n"/>
      <c r="D178" s="5" t="n"/>
      <c r="E178" s="5" t="n"/>
      <c r="F178" s="6" t="n"/>
      <c r="G178" s="6" t="n"/>
      <c r="H178" s="6">
        <f>IFERROR(F178*G178,0)</f>
        <v/>
      </c>
      <c r="I178" s="5" t="n"/>
      <c r="J178" s="5" t="n"/>
      <c r="K178" s="5" t="n"/>
      <c r="L178" s="5" t="n"/>
    </row>
    <row r="179" ht="22" customHeight="1">
      <c r="B179" s="3" t="n"/>
      <c r="C179" s="3" t="n"/>
      <c r="D179" s="3" t="n"/>
      <c r="E179" s="3" t="n"/>
      <c r="F179" s="4" t="n"/>
      <c r="G179" s="4" t="n"/>
      <c r="H179" s="4">
        <f>IFERROR(F179*G179,0)</f>
        <v/>
      </c>
      <c r="I179" s="3" t="n"/>
      <c r="J179" s="3" t="n"/>
      <c r="K179" s="3" t="n"/>
      <c r="L179" s="3" t="n"/>
    </row>
    <row r="180" ht="22" customHeight="1">
      <c r="B180" s="5" t="n"/>
      <c r="C180" s="5" t="n"/>
      <c r="D180" s="5" t="n"/>
      <c r="E180" s="5" t="n"/>
      <c r="F180" s="6" t="n"/>
      <c r="G180" s="6" t="n"/>
      <c r="H180" s="6">
        <f>IFERROR(F180*G180,0)</f>
        <v/>
      </c>
      <c r="I180" s="5" t="n"/>
      <c r="J180" s="5" t="n"/>
      <c r="K180" s="5" t="n"/>
      <c r="L180" s="5" t="n"/>
    </row>
    <row r="181" ht="22" customHeight="1">
      <c r="B181" s="3" t="n"/>
      <c r="C181" s="3" t="n"/>
      <c r="D181" s="3" t="n"/>
      <c r="E181" s="3" t="n"/>
      <c r="F181" s="4" t="n"/>
      <c r="G181" s="4" t="n"/>
      <c r="H181" s="4">
        <f>IFERROR(F181*G181,0)</f>
        <v/>
      </c>
      <c r="I181" s="3" t="n"/>
      <c r="J181" s="3" t="n"/>
      <c r="K181" s="3" t="n"/>
      <c r="L181" s="3" t="n"/>
    </row>
    <row r="182" ht="22" customHeight="1">
      <c r="B182" s="5" t="n"/>
      <c r="C182" s="5" t="n"/>
      <c r="D182" s="5" t="n"/>
      <c r="E182" s="5" t="n"/>
      <c r="F182" s="6" t="n"/>
      <c r="G182" s="6" t="n"/>
      <c r="H182" s="6">
        <f>IFERROR(F182*G182,0)</f>
        <v/>
      </c>
      <c r="I182" s="5" t="n"/>
      <c r="J182" s="5" t="n"/>
      <c r="K182" s="5" t="n"/>
      <c r="L182" s="5" t="n"/>
    </row>
    <row r="183" ht="22" customHeight="1">
      <c r="B183" s="3" t="n"/>
      <c r="C183" s="3" t="n"/>
      <c r="D183" s="3" t="n"/>
      <c r="E183" s="3" t="n"/>
      <c r="F183" s="4" t="n"/>
      <c r="G183" s="4" t="n"/>
      <c r="H183" s="4">
        <f>IFERROR(F183*G183,0)</f>
        <v/>
      </c>
      <c r="I183" s="3" t="n"/>
      <c r="J183" s="3" t="n"/>
      <c r="K183" s="3" t="n"/>
      <c r="L183" s="3" t="n"/>
    </row>
    <row r="184" ht="22" customHeight="1">
      <c r="B184" s="5" t="n"/>
      <c r="C184" s="5" t="n"/>
      <c r="D184" s="5" t="n"/>
      <c r="E184" s="5" t="n"/>
      <c r="F184" s="6" t="n"/>
      <c r="G184" s="6" t="n"/>
      <c r="H184" s="6">
        <f>IFERROR(F184*G184,0)</f>
        <v/>
      </c>
      <c r="I184" s="5" t="n"/>
      <c r="J184" s="5" t="n"/>
      <c r="K184" s="5" t="n"/>
      <c r="L184" s="5" t="n"/>
    </row>
    <row r="185" ht="22" customHeight="1">
      <c r="B185" s="3" t="n"/>
      <c r="C185" s="3" t="n"/>
      <c r="D185" s="3" t="n"/>
      <c r="E185" s="3" t="n"/>
      <c r="F185" s="4" t="n"/>
      <c r="G185" s="4" t="n"/>
      <c r="H185" s="4">
        <f>IFERROR(F185*G185,0)</f>
        <v/>
      </c>
      <c r="I185" s="3" t="n"/>
      <c r="J185" s="3" t="n"/>
      <c r="K185" s="3" t="n"/>
      <c r="L185" s="3" t="n"/>
    </row>
    <row r="186" ht="22" customHeight="1">
      <c r="B186" s="5" t="n"/>
      <c r="C186" s="5" t="n"/>
      <c r="D186" s="5" t="n"/>
      <c r="E186" s="5" t="n"/>
      <c r="F186" s="6" t="n"/>
      <c r="G186" s="6" t="n"/>
      <c r="H186" s="6">
        <f>IFERROR(F186*G186,0)</f>
        <v/>
      </c>
      <c r="I186" s="5" t="n"/>
      <c r="J186" s="5" t="n"/>
      <c r="K186" s="5" t="n"/>
      <c r="L186" s="5" t="n"/>
    </row>
    <row r="187" ht="22" customHeight="1">
      <c r="B187" s="3" t="n"/>
      <c r="C187" s="3" t="n"/>
      <c r="D187" s="3" t="n"/>
      <c r="E187" s="3" t="n"/>
      <c r="F187" s="4" t="n"/>
      <c r="G187" s="4" t="n"/>
      <c r="H187" s="4">
        <f>IFERROR(F187*G187,0)</f>
        <v/>
      </c>
      <c r="I187" s="3" t="n"/>
      <c r="J187" s="3" t="n"/>
      <c r="K187" s="3" t="n"/>
      <c r="L187" s="3" t="n"/>
    </row>
    <row r="188" ht="22" customHeight="1">
      <c r="B188" s="5" t="n"/>
      <c r="C188" s="5" t="n"/>
      <c r="D188" s="5" t="n"/>
      <c r="E188" s="5" t="n"/>
      <c r="F188" s="6" t="n"/>
      <c r="G188" s="6" t="n"/>
      <c r="H188" s="6">
        <f>IFERROR(F188*G188,0)</f>
        <v/>
      </c>
      <c r="I188" s="5" t="n"/>
      <c r="J188" s="5" t="n"/>
      <c r="K188" s="5" t="n"/>
      <c r="L188" s="5" t="n"/>
    </row>
    <row r="189" ht="22" customHeight="1">
      <c r="B189" s="3" t="n"/>
      <c r="C189" s="3" t="n"/>
      <c r="D189" s="3" t="n"/>
      <c r="E189" s="3" t="n"/>
      <c r="F189" s="4" t="n"/>
      <c r="G189" s="4" t="n"/>
      <c r="H189" s="4">
        <f>IFERROR(F189*G189,0)</f>
        <v/>
      </c>
      <c r="I189" s="3" t="n"/>
      <c r="J189" s="3" t="n"/>
      <c r="K189" s="3" t="n"/>
      <c r="L189" s="3" t="n"/>
    </row>
    <row r="190" ht="22" customHeight="1">
      <c r="B190" s="5" t="n"/>
      <c r="C190" s="5" t="n"/>
      <c r="D190" s="5" t="n"/>
      <c r="E190" s="5" t="n"/>
      <c r="F190" s="6" t="n"/>
      <c r="G190" s="6" t="n"/>
      <c r="H190" s="6">
        <f>IFERROR(F190*G190,0)</f>
        <v/>
      </c>
      <c r="I190" s="5" t="n"/>
      <c r="J190" s="5" t="n"/>
      <c r="K190" s="5" t="n"/>
      <c r="L190" s="5" t="n"/>
    </row>
    <row r="191" ht="22" customHeight="1">
      <c r="B191" s="3" t="n"/>
      <c r="C191" s="3" t="n"/>
      <c r="D191" s="3" t="n"/>
      <c r="E191" s="3" t="n"/>
      <c r="F191" s="4" t="n"/>
      <c r="G191" s="4" t="n"/>
      <c r="H191" s="4">
        <f>IFERROR(F191*G191,0)</f>
        <v/>
      </c>
      <c r="I191" s="3" t="n"/>
      <c r="J191" s="3" t="n"/>
      <c r="K191" s="3" t="n"/>
      <c r="L191" s="3" t="n"/>
    </row>
    <row r="192" ht="22" customHeight="1">
      <c r="B192" s="5" t="n"/>
      <c r="C192" s="5" t="n"/>
      <c r="D192" s="5" t="n"/>
      <c r="E192" s="5" t="n"/>
      <c r="F192" s="6" t="n"/>
      <c r="G192" s="6" t="n"/>
      <c r="H192" s="6">
        <f>IFERROR(F192*G192,0)</f>
        <v/>
      </c>
      <c r="I192" s="5" t="n"/>
      <c r="J192" s="5" t="n"/>
      <c r="K192" s="5" t="n"/>
      <c r="L192" s="5" t="n"/>
    </row>
    <row r="193" ht="22" customHeight="1">
      <c r="B193" s="3" t="n"/>
      <c r="C193" s="3" t="n"/>
      <c r="D193" s="3" t="n"/>
      <c r="E193" s="3" t="n"/>
      <c r="F193" s="4" t="n"/>
      <c r="G193" s="4" t="n"/>
      <c r="H193" s="4">
        <f>IFERROR(F193*G193,0)</f>
        <v/>
      </c>
      <c r="I193" s="3" t="n"/>
      <c r="J193" s="3" t="n"/>
      <c r="K193" s="3" t="n"/>
      <c r="L193" s="3" t="n"/>
    </row>
    <row r="194" ht="22" customHeight="1">
      <c r="B194" s="5" t="n"/>
      <c r="C194" s="5" t="n"/>
      <c r="D194" s="5" t="n"/>
      <c r="E194" s="5" t="n"/>
      <c r="F194" s="6" t="n"/>
      <c r="G194" s="6" t="n"/>
      <c r="H194" s="6">
        <f>IFERROR(F194*G194,0)</f>
        <v/>
      </c>
      <c r="I194" s="5" t="n"/>
      <c r="J194" s="5" t="n"/>
      <c r="K194" s="5" t="n"/>
      <c r="L194" s="5" t="n"/>
    </row>
    <row r="195" ht="22" customHeight="1">
      <c r="B195" s="3" t="n"/>
      <c r="C195" s="3" t="n"/>
      <c r="D195" s="3" t="n"/>
      <c r="E195" s="3" t="n"/>
      <c r="F195" s="4" t="n"/>
      <c r="G195" s="4" t="n"/>
      <c r="H195" s="4">
        <f>IFERROR(F195*G195,0)</f>
        <v/>
      </c>
      <c r="I195" s="3" t="n"/>
      <c r="J195" s="3" t="n"/>
      <c r="K195" s="3" t="n"/>
      <c r="L195" s="3" t="n"/>
    </row>
    <row r="196" ht="22" customHeight="1">
      <c r="B196" s="5" t="n"/>
      <c r="C196" s="5" t="n"/>
      <c r="D196" s="5" t="n"/>
      <c r="E196" s="5" t="n"/>
      <c r="F196" s="6" t="n"/>
      <c r="G196" s="6" t="n"/>
      <c r="H196" s="6">
        <f>IFERROR(F196*G196,0)</f>
        <v/>
      </c>
      <c r="I196" s="5" t="n"/>
      <c r="J196" s="5" t="n"/>
      <c r="K196" s="5" t="n"/>
      <c r="L196" s="5" t="n"/>
    </row>
    <row r="197" ht="22" customHeight="1">
      <c r="B197" s="3" t="n"/>
      <c r="C197" s="3" t="n"/>
      <c r="D197" s="3" t="n"/>
      <c r="E197" s="3" t="n"/>
      <c r="F197" s="4" t="n"/>
      <c r="G197" s="4" t="n"/>
      <c r="H197" s="4">
        <f>IFERROR(F197*G197,0)</f>
        <v/>
      </c>
      <c r="I197" s="3" t="n"/>
      <c r="J197" s="3" t="n"/>
      <c r="K197" s="3" t="n"/>
      <c r="L197" s="3" t="n"/>
    </row>
    <row r="198" ht="22" customHeight="1">
      <c r="B198" s="5" t="n"/>
      <c r="C198" s="5" t="n"/>
      <c r="D198" s="5" t="n"/>
      <c r="E198" s="5" t="n"/>
      <c r="F198" s="6" t="n"/>
      <c r="G198" s="6" t="n"/>
      <c r="H198" s="6">
        <f>IFERROR(F198*G198,0)</f>
        <v/>
      </c>
      <c r="I198" s="5" t="n"/>
      <c r="J198" s="5" t="n"/>
      <c r="K198" s="5" t="n"/>
      <c r="L198" s="5" t="n"/>
    </row>
    <row r="199" ht="22" customHeight="1">
      <c r="B199" s="3" t="n"/>
      <c r="C199" s="3" t="n"/>
      <c r="D199" s="3" t="n"/>
      <c r="E199" s="3" t="n"/>
      <c r="F199" s="4" t="n"/>
      <c r="G199" s="4" t="n"/>
      <c r="H199" s="4">
        <f>IFERROR(F199*G199,0)</f>
        <v/>
      </c>
      <c r="I199" s="3" t="n"/>
      <c r="J199" s="3" t="n"/>
      <c r="K199" s="3" t="n"/>
      <c r="L199" s="3" t="n"/>
    </row>
    <row r="200" ht="22" customHeight="1">
      <c r="B200" s="5" t="n"/>
      <c r="C200" s="5" t="n"/>
      <c r="D200" s="5" t="n"/>
      <c r="E200" s="5" t="n"/>
      <c r="F200" s="6" t="n"/>
      <c r="G200" s="6" t="n"/>
      <c r="H200" s="6">
        <f>IFERROR(F200*G200,0)</f>
        <v/>
      </c>
      <c r="I200" s="5" t="n"/>
      <c r="J200" s="5" t="n"/>
      <c r="K200" s="5" t="n"/>
      <c r="L200" s="5" t="n"/>
    </row>
    <row r="201" ht="22" customHeight="1">
      <c r="B201" s="3" t="n"/>
      <c r="C201" s="3" t="n"/>
      <c r="D201" s="3" t="n"/>
      <c r="E201" s="3" t="n"/>
      <c r="F201" s="4" t="n"/>
      <c r="G201" s="4" t="n"/>
      <c r="H201" s="4">
        <f>IFERROR(F201*G201,0)</f>
        <v/>
      </c>
      <c r="I201" s="3" t="n"/>
      <c r="J201" s="3" t="n"/>
      <c r="K201" s="3" t="n"/>
      <c r="L201" s="3" t="n"/>
    </row>
    <row r="202" ht="22" customHeight="1">
      <c r="B202" s="5" t="n"/>
      <c r="C202" s="5" t="n"/>
      <c r="D202" s="5" t="n"/>
      <c r="E202" s="5" t="n"/>
      <c r="F202" s="6" t="n"/>
      <c r="G202" s="6" t="n"/>
      <c r="H202" s="6">
        <f>IFERROR(F202*G202,0)</f>
        <v/>
      </c>
      <c r="I202" s="5" t="n"/>
      <c r="J202" s="5" t="n"/>
      <c r="K202" s="5" t="n"/>
      <c r="L202" s="5" t="n"/>
    </row>
    <row r="203" ht="22" customHeight="1">
      <c r="B203" s="3" t="n"/>
      <c r="C203" s="3" t="n"/>
      <c r="D203" s="3" t="n"/>
      <c r="E203" s="3" t="n"/>
      <c r="F203" s="4" t="n"/>
      <c r="G203" s="4" t="n"/>
      <c r="H203" s="4">
        <f>IFERROR(F203*G203,0)</f>
        <v/>
      </c>
      <c r="I203" s="3" t="n"/>
      <c r="J203" s="3" t="n"/>
      <c r="K203" s="3" t="n"/>
      <c r="L203" s="3" t="n"/>
    </row>
    <row r="204" ht="22" customHeight="1">
      <c r="B204" s="5" t="n"/>
      <c r="C204" s="5" t="n"/>
      <c r="D204" s="5" t="n"/>
      <c r="E204" s="5" t="n"/>
      <c r="F204" s="6" t="n"/>
      <c r="G204" s="6" t="n"/>
      <c r="H204" s="6">
        <f>IFERROR(F204*G204,0)</f>
        <v/>
      </c>
      <c r="I204" s="5" t="n"/>
      <c r="J204" s="5" t="n"/>
      <c r="K204" s="5" t="n"/>
      <c r="L204" s="5" t="n"/>
    </row>
    <row r="205" ht="22" customHeight="1">
      <c r="B205" s="3" t="n"/>
      <c r="C205" s="3" t="n"/>
      <c r="D205" s="3" t="n"/>
      <c r="E205" s="3" t="n"/>
      <c r="F205" s="4" t="n"/>
      <c r="G205" s="4" t="n"/>
      <c r="H205" s="4">
        <f>IFERROR(F205*G205,0)</f>
        <v/>
      </c>
      <c r="I205" s="3" t="n"/>
      <c r="J205" s="3" t="n"/>
      <c r="K205" s="3" t="n"/>
      <c r="L205" s="3" t="n"/>
    </row>
    <row r="206" ht="22" customHeight="1">
      <c r="B206" s="5" t="n"/>
      <c r="C206" s="5" t="n"/>
      <c r="D206" s="5" t="n"/>
      <c r="E206" s="5" t="n"/>
      <c r="F206" s="6" t="n"/>
      <c r="G206" s="6" t="n"/>
      <c r="H206" s="6">
        <f>IFERROR(F206*G206,0)</f>
        <v/>
      </c>
      <c r="I206" s="5" t="n"/>
      <c r="J206" s="5" t="n"/>
      <c r="K206" s="5" t="n"/>
      <c r="L206" s="5" t="n"/>
    </row>
    <row r="207" ht="22" customHeight="1">
      <c r="B207" s="3" t="n"/>
      <c r="C207" s="3" t="n"/>
      <c r="D207" s="3" t="n"/>
      <c r="E207" s="3" t="n"/>
      <c r="F207" s="4" t="n"/>
      <c r="G207" s="4" t="n"/>
      <c r="H207" s="4">
        <f>IFERROR(F207*G207,0)</f>
        <v/>
      </c>
      <c r="I207" s="3" t="n"/>
      <c r="J207" s="3" t="n"/>
      <c r="K207" s="3" t="n"/>
      <c r="L207" s="3" t="n"/>
    </row>
    <row r="208" ht="22" customHeight="1">
      <c r="B208" s="5" t="n"/>
      <c r="C208" s="5" t="n"/>
      <c r="D208" s="5" t="n"/>
      <c r="E208" s="5" t="n"/>
      <c r="F208" s="6" t="n"/>
      <c r="G208" s="6" t="n"/>
      <c r="H208" s="6">
        <f>IFERROR(F208*G208,0)</f>
        <v/>
      </c>
      <c r="I208" s="5" t="n"/>
      <c r="J208" s="5" t="n"/>
      <c r="K208" s="5" t="n"/>
      <c r="L208" s="5" t="n"/>
    </row>
    <row r="209" ht="22" customHeight="1">
      <c r="B209" s="3" t="n"/>
      <c r="C209" s="3" t="n"/>
      <c r="D209" s="3" t="n"/>
      <c r="E209" s="3" t="n"/>
      <c r="F209" s="4" t="n"/>
      <c r="G209" s="4" t="n"/>
      <c r="H209" s="4">
        <f>IFERROR(F209*G209,0)</f>
        <v/>
      </c>
      <c r="I209" s="3" t="n"/>
      <c r="J209" s="3" t="n"/>
      <c r="K209" s="3" t="n"/>
      <c r="L209" s="3" t="n"/>
    </row>
    <row r="210" ht="22" customHeight="1">
      <c r="B210" s="5" t="n"/>
      <c r="C210" s="5" t="n"/>
      <c r="D210" s="5" t="n"/>
      <c r="E210" s="5" t="n"/>
      <c r="F210" s="6" t="n"/>
      <c r="G210" s="6" t="n"/>
      <c r="H210" s="6">
        <f>IFERROR(F210*G210,0)</f>
        <v/>
      </c>
      <c r="I210" s="5" t="n"/>
      <c r="J210" s="5" t="n"/>
      <c r="K210" s="5" t="n"/>
      <c r="L210" s="5" t="n"/>
    </row>
    <row r="211" ht="22" customHeight="1">
      <c r="B211" s="3" t="n"/>
      <c r="C211" s="3" t="n"/>
      <c r="D211" s="3" t="n"/>
      <c r="E211" s="3" t="n"/>
      <c r="F211" s="4" t="n"/>
      <c r="G211" s="4" t="n"/>
      <c r="H211" s="4">
        <f>IFERROR(F211*G211,0)</f>
        <v/>
      </c>
      <c r="I211" s="3" t="n"/>
      <c r="J211" s="3" t="n"/>
      <c r="K211" s="3" t="n"/>
      <c r="L211" s="3" t="n"/>
    </row>
    <row r="212" ht="22" customHeight="1">
      <c r="B212" s="5" t="n"/>
      <c r="C212" s="5" t="n"/>
      <c r="D212" s="5" t="n"/>
      <c r="E212" s="5" t="n"/>
      <c r="F212" s="6" t="n"/>
      <c r="G212" s="6" t="n"/>
      <c r="H212" s="6">
        <f>IFERROR(F212*G212,0)</f>
        <v/>
      </c>
      <c r="I212" s="5" t="n"/>
      <c r="J212" s="5" t="n"/>
      <c r="K212" s="5" t="n"/>
      <c r="L212" s="5" t="n"/>
    </row>
    <row r="213" ht="22" customHeight="1">
      <c r="B213" s="3" t="n"/>
      <c r="C213" s="3" t="n"/>
      <c r="D213" s="3" t="n"/>
      <c r="E213" s="3" t="n"/>
      <c r="F213" s="4" t="n"/>
      <c r="G213" s="4" t="n"/>
      <c r="H213" s="4">
        <f>IFERROR(F213*G213,0)</f>
        <v/>
      </c>
      <c r="I213" s="3" t="n"/>
      <c r="J213" s="3" t="n"/>
      <c r="K213" s="3" t="n"/>
      <c r="L213" s="3" t="n"/>
    </row>
    <row r="214" ht="22" customHeight="1">
      <c r="B214" s="5" t="n"/>
      <c r="C214" s="5" t="n"/>
      <c r="D214" s="5" t="n"/>
      <c r="E214" s="5" t="n"/>
      <c r="F214" s="6" t="n"/>
      <c r="G214" s="6" t="n"/>
      <c r="H214" s="6">
        <f>IFERROR(F214*G214,0)</f>
        <v/>
      </c>
      <c r="I214" s="5" t="n"/>
      <c r="J214" s="5" t="n"/>
      <c r="K214" s="5" t="n"/>
      <c r="L214" s="5" t="n"/>
    </row>
    <row r="215" ht="22" customHeight="1">
      <c r="B215" s="3" t="n"/>
      <c r="C215" s="3" t="n"/>
      <c r="D215" s="3" t="n"/>
      <c r="E215" s="3" t="n"/>
      <c r="F215" s="4" t="n"/>
      <c r="G215" s="4" t="n"/>
      <c r="H215" s="4">
        <f>IFERROR(F215*G215,0)</f>
        <v/>
      </c>
      <c r="I215" s="3" t="n"/>
      <c r="J215" s="3" t="n"/>
      <c r="K215" s="3" t="n"/>
      <c r="L215" s="3" t="n"/>
    </row>
    <row r="216" ht="22" customHeight="1">
      <c r="B216" s="5" t="n"/>
      <c r="C216" s="5" t="n"/>
      <c r="D216" s="5" t="n"/>
      <c r="E216" s="5" t="n"/>
      <c r="F216" s="6" t="n"/>
      <c r="G216" s="6" t="n"/>
      <c r="H216" s="6">
        <f>IFERROR(F216*G216,0)</f>
        <v/>
      </c>
      <c r="I216" s="5" t="n"/>
      <c r="J216" s="5" t="n"/>
      <c r="K216" s="5" t="n"/>
      <c r="L216" s="5" t="n"/>
    </row>
    <row r="217" ht="22" customHeight="1">
      <c r="B217" s="3" t="n"/>
      <c r="C217" s="3" t="n"/>
      <c r="D217" s="3" t="n"/>
      <c r="E217" s="3" t="n"/>
      <c r="F217" s="4" t="n"/>
      <c r="G217" s="4" t="n"/>
      <c r="H217" s="4">
        <f>IFERROR(F217*G217,0)</f>
        <v/>
      </c>
      <c r="I217" s="3" t="n"/>
      <c r="J217" s="3" t="n"/>
      <c r="K217" s="3" t="n"/>
      <c r="L217" s="3" t="n"/>
    </row>
    <row r="218" ht="22" customHeight="1">
      <c r="B218" s="5" t="n"/>
      <c r="C218" s="5" t="n"/>
      <c r="D218" s="5" t="n"/>
      <c r="E218" s="5" t="n"/>
      <c r="F218" s="6" t="n"/>
      <c r="G218" s="6" t="n"/>
      <c r="H218" s="6">
        <f>IFERROR(F218*G218,0)</f>
        <v/>
      </c>
      <c r="I218" s="5" t="n"/>
      <c r="J218" s="5" t="n"/>
      <c r="K218" s="5" t="n"/>
      <c r="L218" s="5" t="n"/>
    </row>
    <row r="219" ht="22" customHeight="1">
      <c r="B219" s="3" t="n"/>
      <c r="C219" s="3" t="n"/>
      <c r="D219" s="3" t="n"/>
      <c r="E219" s="3" t="n"/>
      <c r="F219" s="4" t="n"/>
      <c r="G219" s="4" t="n"/>
      <c r="H219" s="4">
        <f>IFERROR(F219*G219,0)</f>
        <v/>
      </c>
      <c r="I219" s="3" t="n"/>
      <c r="J219" s="3" t="n"/>
      <c r="K219" s="3" t="n"/>
      <c r="L219" s="3" t="n"/>
    </row>
    <row r="220" ht="22" customHeight="1">
      <c r="B220" s="5" t="n"/>
      <c r="C220" s="5" t="n"/>
      <c r="D220" s="5" t="n"/>
      <c r="E220" s="5" t="n"/>
      <c r="F220" s="6" t="n"/>
      <c r="G220" s="6" t="n"/>
      <c r="H220" s="6">
        <f>IFERROR(F220*G220,0)</f>
        <v/>
      </c>
      <c r="I220" s="5" t="n"/>
      <c r="J220" s="5" t="n"/>
      <c r="K220" s="5" t="n"/>
      <c r="L220" s="5" t="n"/>
    </row>
    <row r="221" ht="22" customHeight="1">
      <c r="B221" s="3" t="n"/>
      <c r="C221" s="3" t="n"/>
      <c r="D221" s="3" t="n"/>
      <c r="E221" s="3" t="n"/>
      <c r="F221" s="4" t="n"/>
      <c r="G221" s="4" t="n"/>
      <c r="H221" s="4">
        <f>IFERROR(F221*G221,0)</f>
        <v/>
      </c>
      <c r="I221" s="3" t="n"/>
      <c r="J221" s="3" t="n"/>
      <c r="K221" s="3" t="n"/>
      <c r="L221" s="3" t="n"/>
    </row>
    <row r="222" ht="22" customHeight="1">
      <c r="B222" s="5" t="n"/>
      <c r="C222" s="5" t="n"/>
      <c r="D222" s="5" t="n"/>
      <c r="E222" s="5" t="n"/>
      <c r="F222" s="6" t="n"/>
      <c r="G222" s="6" t="n"/>
      <c r="H222" s="6">
        <f>IFERROR(F222*G222,0)</f>
        <v/>
      </c>
      <c r="I222" s="5" t="n"/>
      <c r="J222" s="5" t="n"/>
      <c r="K222" s="5" t="n"/>
      <c r="L222" s="5" t="n"/>
    </row>
    <row r="223" ht="22" customHeight="1">
      <c r="B223" s="3" t="n"/>
      <c r="C223" s="3" t="n"/>
      <c r="D223" s="3" t="n"/>
      <c r="E223" s="3" t="n"/>
      <c r="F223" s="4" t="n"/>
      <c r="G223" s="4" t="n"/>
      <c r="H223" s="4">
        <f>IFERROR(F223*G223,0)</f>
        <v/>
      </c>
      <c r="I223" s="3" t="n"/>
      <c r="J223" s="3" t="n"/>
      <c r="K223" s="3" t="n"/>
      <c r="L223" s="3" t="n"/>
    </row>
    <row r="224" ht="22" customHeight="1">
      <c r="B224" s="5" t="n"/>
      <c r="C224" s="5" t="n"/>
      <c r="D224" s="5" t="n"/>
      <c r="E224" s="5" t="n"/>
      <c r="F224" s="6" t="n"/>
      <c r="G224" s="6" t="n"/>
      <c r="H224" s="6">
        <f>IFERROR(F224*G224,0)</f>
        <v/>
      </c>
      <c r="I224" s="5" t="n"/>
      <c r="J224" s="5" t="n"/>
      <c r="K224" s="5" t="n"/>
      <c r="L224" s="5" t="n"/>
    </row>
    <row r="225" ht="22" customHeight="1">
      <c r="B225" s="3" t="n"/>
      <c r="C225" s="3" t="n"/>
      <c r="D225" s="3" t="n"/>
      <c r="E225" s="3" t="n"/>
      <c r="F225" s="4" t="n"/>
      <c r="G225" s="4" t="n"/>
      <c r="H225" s="4">
        <f>IFERROR(F225*G225,0)</f>
        <v/>
      </c>
      <c r="I225" s="3" t="n"/>
      <c r="J225" s="3" t="n"/>
      <c r="K225" s="3" t="n"/>
      <c r="L225" s="3" t="n"/>
    </row>
    <row r="226" ht="22" customHeight="1">
      <c r="B226" s="5" t="n"/>
      <c r="C226" s="5" t="n"/>
      <c r="D226" s="5" t="n"/>
      <c r="E226" s="5" t="n"/>
      <c r="F226" s="6" t="n"/>
      <c r="G226" s="6" t="n"/>
      <c r="H226" s="6">
        <f>IFERROR(F226*G226,0)</f>
        <v/>
      </c>
      <c r="I226" s="5" t="n"/>
      <c r="J226" s="5" t="n"/>
      <c r="K226" s="5" t="n"/>
      <c r="L226" s="5" t="n"/>
    </row>
    <row r="227" ht="22" customHeight="1">
      <c r="B227" s="3" t="n"/>
      <c r="C227" s="3" t="n"/>
      <c r="D227" s="3" t="n"/>
      <c r="E227" s="3" t="n"/>
      <c r="F227" s="4" t="n"/>
      <c r="G227" s="4" t="n"/>
      <c r="H227" s="4">
        <f>IFERROR(F227*G227,0)</f>
        <v/>
      </c>
      <c r="I227" s="3" t="n"/>
      <c r="J227" s="3" t="n"/>
      <c r="K227" s="3" t="n"/>
      <c r="L227" s="3" t="n"/>
    </row>
    <row r="228" ht="22" customHeight="1">
      <c r="B228" s="5" t="n"/>
      <c r="C228" s="5" t="n"/>
      <c r="D228" s="5" t="n"/>
      <c r="E228" s="5" t="n"/>
      <c r="F228" s="6" t="n"/>
      <c r="G228" s="6" t="n"/>
      <c r="H228" s="6">
        <f>IFERROR(F228*G228,0)</f>
        <v/>
      </c>
      <c r="I228" s="5" t="n"/>
      <c r="J228" s="5" t="n"/>
      <c r="K228" s="5" t="n"/>
      <c r="L228" s="5" t="n"/>
    </row>
    <row r="229" ht="22" customHeight="1">
      <c r="B229" s="3" t="n"/>
      <c r="C229" s="3" t="n"/>
      <c r="D229" s="3" t="n"/>
      <c r="E229" s="3" t="n"/>
      <c r="F229" s="4" t="n"/>
      <c r="G229" s="4" t="n"/>
      <c r="H229" s="4">
        <f>IFERROR(F229*G229,0)</f>
        <v/>
      </c>
      <c r="I229" s="3" t="n"/>
      <c r="J229" s="3" t="n"/>
      <c r="K229" s="3" t="n"/>
      <c r="L229" s="3" t="n"/>
    </row>
    <row r="230" ht="22" customHeight="1">
      <c r="B230" s="5" t="n"/>
      <c r="C230" s="5" t="n"/>
      <c r="D230" s="5" t="n"/>
      <c r="E230" s="5" t="n"/>
      <c r="F230" s="6" t="n"/>
      <c r="G230" s="6" t="n"/>
      <c r="H230" s="6">
        <f>IFERROR(F230*G230,0)</f>
        <v/>
      </c>
      <c r="I230" s="5" t="n"/>
      <c r="J230" s="5" t="n"/>
      <c r="K230" s="5" t="n"/>
      <c r="L230" s="5" t="n"/>
    </row>
    <row r="231" ht="22" customHeight="1">
      <c r="B231" s="3" t="n"/>
      <c r="C231" s="3" t="n"/>
      <c r="D231" s="3" t="n"/>
      <c r="E231" s="3" t="n"/>
      <c r="F231" s="4" t="n"/>
      <c r="G231" s="4" t="n"/>
      <c r="H231" s="4">
        <f>IFERROR(F231*G231,0)</f>
        <v/>
      </c>
      <c r="I231" s="3" t="n"/>
      <c r="J231" s="3" t="n"/>
      <c r="K231" s="3" t="n"/>
      <c r="L231" s="3" t="n"/>
    </row>
    <row r="232" ht="22" customHeight="1">
      <c r="B232" s="5" t="n"/>
      <c r="C232" s="5" t="n"/>
      <c r="D232" s="5" t="n"/>
      <c r="E232" s="5" t="n"/>
      <c r="F232" s="6" t="n"/>
      <c r="G232" s="6" t="n"/>
      <c r="H232" s="6">
        <f>IFERROR(F232*G232,0)</f>
        <v/>
      </c>
      <c r="I232" s="5" t="n"/>
      <c r="J232" s="5" t="n"/>
      <c r="K232" s="5" t="n"/>
      <c r="L232" s="5" t="n"/>
    </row>
    <row r="233" ht="22" customHeight="1">
      <c r="B233" s="3" t="n"/>
      <c r="C233" s="3" t="n"/>
      <c r="D233" s="3" t="n"/>
      <c r="E233" s="3" t="n"/>
      <c r="F233" s="4" t="n"/>
      <c r="G233" s="4" t="n"/>
      <c r="H233" s="4">
        <f>IFERROR(F233*G233,0)</f>
        <v/>
      </c>
      <c r="I233" s="3" t="n"/>
      <c r="J233" s="3" t="n"/>
      <c r="K233" s="3" t="n"/>
      <c r="L233" s="3" t="n"/>
    </row>
    <row r="234" ht="22" customHeight="1">
      <c r="B234" s="5" t="n"/>
      <c r="C234" s="5" t="n"/>
      <c r="D234" s="5" t="n"/>
      <c r="E234" s="5" t="n"/>
      <c r="F234" s="6" t="n"/>
      <c r="G234" s="6" t="n"/>
      <c r="H234" s="6">
        <f>IFERROR(F234*G234,0)</f>
        <v/>
      </c>
      <c r="I234" s="5" t="n"/>
      <c r="J234" s="5" t="n"/>
      <c r="K234" s="5" t="n"/>
      <c r="L234" s="5" t="n"/>
    </row>
    <row r="235" ht="22" customHeight="1">
      <c r="B235" s="3" t="n"/>
      <c r="C235" s="3" t="n"/>
      <c r="D235" s="3" t="n"/>
      <c r="E235" s="3" t="n"/>
      <c r="F235" s="4" t="n"/>
      <c r="G235" s="4" t="n"/>
      <c r="H235" s="4">
        <f>IFERROR(F235*G235,0)</f>
        <v/>
      </c>
      <c r="I235" s="3" t="n"/>
      <c r="J235" s="3" t="n"/>
      <c r="K235" s="3" t="n"/>
      <c r="L235" s="3" t="n"/>
    </row>
    <row r="236" ht="22" customHeight="1">
      <c r="B236" s="5" t="n"/>
      <c r="C236" s="5" t="n"/>
      <c r="D236" s="5" t="n"/>
      <c r="E236" s="5" t="n"/>
      <c r="F236" s="6" t="n"/>
      <c r="G236" s="6" t="n"/>
      <c r="H236" s="6">
        <f>IFERROR(F236*G236,0)</f>
        <v/>
      </c>
      <c r="I236" s="5" t="n"/>
      <c r="J236" s="5" t="n"/>
      <c r="K236" s="5" t="n"/>
      <c r="L236" s="5" t="n"/>
    </row>
    <row r="237" ht="22" customHeight="1">
      <c r="B237" s="3" t="n"/>
      <c r="C237" s="3" t="n"/>
      <c r="D237" s="3" t="n"/>
      <c r="E237" s="3" t="n"/>
      <c r="F237" s="4" t="n"/>
      <c r="G237" s="4" t="n"/>
      <c r="H237" s="4">
        <f>IFERROR(F237*G237,0)</f>
        <v/>
      </c>
      <c r="I237" s="3" t="n"/>
      <c r="J237" s="3" t="n"/>
      <c r="K237" s="3" t="n"/>
      <c r="L237" s="3" t="n"/>
    </row>
    <row r="238" ht="22" customHeight="1">
      <c r="B238" s="5" t="n"/>
      <c r="C238" s="5" t="n"/>
      <c r="D238" s="5" t="n"/>
      <c r="E238" s="5" t="n"/>
      <c r="F238" s="6" t="n"/>
      <c r="G238" s="6" t="n"/>
      <c r="H238" s="6">
        <f>IFERROR(F238*G238,0)</f>
        <v/>
      </c>
      <c r="I238" s="5" t="n"/>
      <c r="J238" s="5" t="n"/>
      <c r="K238" s="5" t="n"/>
      <c r="L238" s="5" t="n"/>
    </row>
    <row r="239" ht="22" customHeight="1">
      <c r="B239" s="3" t="n"/>
      <c r="C239" s="3" t="n"/>
      <c r="D239" s="3" t="n"/>
      <c r="E239" s="3" t="n"/>
      <c r="F239" s="4" t="n"/>
      <c r="G239" s="4" t="n"/>
      <c r="H239" s="4">
        <f>IFERROR(F239*G239,0)</f>
        <v/>
      </c>
      <c r="I239" s="3" t="n"/>
      <c r="J239" s="3" t="n"/>
      <c r="K239" s="3" t="n"/>
      <c r="L239" s="3" t="n"/>
    </row>
    <row r="240" ht="22" customHeight="1">
      <c r="B240" s="5" t="n"/>
      <c r="C240" s="5" t="n"/>
      <c r="D240" s="5" t="n"/>
      <c r="E240" s="5" t="n"/>
      <c r="F240" s="6" t="n"/>
      <c r="G240" s="6" t="n"/>
      <c r="H240" s="6">
        <f>IFERROR(F240*G240,0)</f>
        <v/>
      </c>
      <c r="I240" s="5" t="n"/>
      <c r="J240" s="5" t="n"/>
      <c r="K240" s="5" t="n"/>
      <c r="L240" s="5" t="n"/>
    </row>
    <row r="241" ht="22" customHeight="1">
      <c r="B241" s="3" t="n"/>
      <c r="C241" s="3" t="n"/>
      <c r="D241" s="3" t="n"/>
      <c r="E241" s="3" t="n"/>
      <c r="F241" s="4" t="n"/>
      <c r="G241" s="4" t="n"/>
      <c r="H241" s="4">
        <f>IFERROR(F241*G241,0)</f>
        <v/>
      </c>
      <c r="I241" s="3" t="n"/>
      <c r="J241" s="3" t="n"/>
      <c r="K241" s="3" t="n"/>
      <c r="L241" s="3" t="n"/>
    </row>
    <row r="242" ht="22" customHeight="1">
      <c r="B242" s="5" t="n"/>
      <c r="C242" s="5" t="n"/>
      <c r="D242" s="5" t="n"/>
      <c r="E242" s="5" t="n"/>
      <c r="F242" s="6" t="n"/>
      <c r="G242" s="6" t="n"/>
      <c r="H242" s="6">
        <f>IFERROR(F242*G242,0)</f>
        <v/>
      </c>
      <c r="I242" s="5" t="n"/>
      <c r="J242" s="5" t="n"/>
      <c r="K242" s="5" t="n"/>
      <c r="L242" s="5" t="n"/>
    </row>
    <row r="243" ht="22" customHeight="1">
      <c r="B243" s="3" t="n"/>
      <c r="C243" s="3" t="n"/>
      <c r="D243" s="3" t="n"/>
      <c r="E243" s="3" t="n"/>
      <c r="F243" s="4" t="n"/>
      <c r="G243" s="4" t="n"/>
      <c r="H243" s="4">
        <f>IFERROR(F243*G243,0)</f>
        <v/>
      </c>
      <c r="I243" s="3" t="n"/>
      <c r="J243" s="3" t="n"/>
      <c r="K243" s="3" t="n"/>
      <c r="L243" s="3" t="n"/>
    </row>
    <row r="244" ht="22" customHeight="1">
      <c r="B244" s="5" t="n"/>
      <c r="C244" s="5" t="n"/>
      <c r="D244" s="5" t="n"/>
      <c r="E244" s="5" t="n"/>
      <c r="F244" s="6" t="n"/>
      <c r="G244" s="6" t="n"/>
      <c r="H244" s="6">
        <f>IFERROR(F244*G244,0)</f>
        <v/>
      </c>
      <c r="I244" s="5" t="n"/>
      <c r="J244" s="5" t="n"/>
      <c r="K244" s="5" t="n"/>
      <c r="L244" s="5" t="n"/>
    </row>
    <row r="245" ht="22" customHeight="1">
      <c r="B245" s="3" t="n"/>
      <c r="C245" s="3" t="n"/>
      <c r="D245" s="3" t="n"/>
      <c r="E245" s="3" t="n"/>
      <c r="F245" s="4" t="n"/>
      <c r="G245" s="4" t="n"/>
      <c r="H245" s="4">
        <f>IFERROR(F245*G245,0)</f>
        <v/>
      </c>
      <c r="I245" s="3" t="n"/>
      <c r="J245" s="3" t="n"/>
      <c r="K245" s="3" t="n"/>
      <c r="L245" s="3" t="n"/>
    </row>
    <row r="246" ht="22" customHeight="1">
      <c r="B246" s="5" t="n"/>
      <c r="C246" s="5" t="n"/>
      <c r="D246" s="5" t="n"/>
      <c r="E246" s="5" t="n"/>
      <c r="F246" s="6" t="n"/>
      <c r="G246" s="6" t="n"/>
      <c r="H246" s="6">
        <f>IFERROR(F246*G246,0)</f>
        <v/>
      </c>
      <c r="I246" s="5" t="n"/>
      <c r="J246" s="5" t="n"/>
      <c r="K246" s="5" t="n"/>
      <c r="L246" s="5" t="n"/>
    </row>
    <row r="247" ht="22" customHeight="1">
      <c r="B247" s="3" t="n"/>
      <c r="C247" s="3" t="n"/>
      <c r="D247" s="3" t="n"/>
      <c r="E247" s="3" t="n"/>
      <c r="F247" s="4" t="n"/>
      <c r="G247" s="4" t="n"/>
      <c r="H247" s="4">
        <f>IFERROR(F247*G247,0)</f>
        <v/>
      </c>
      <c r="I247" s="3" t="n"/>
      <c r="J247" s="3" t="n"/>
      <c r="K247" s="3" t="n"/>
      <c r="L247" s="3" t="n"/>
    </row>
    <row r="248" ht="22" customHeight="1">
      <c r="B248" s="5" t="n"/>
      <c r="C248" s="5" t="n"/>
      <c r="D248" s="5" t="n"/>
      <c r="E248" s="5" t="n"/>
      <c r="F248" s="6" t="n"/>
      <c r="G248" s="6" t="n"/>
      <c r="H248" s="6">
        <f>IFERROR(F248*G248,0)</f>
        <v/>
      </c>
      <c r="I248" s="5" t="n"/>
      <c r="J248" s="5" t="n"/>
      <c r="K248" s="5" t="n"/>
      <c r="L248" s="5" t="n"/>
    </row>
    <row r="249" ht="22" customHeight="1">
      <c r="B249" s="3" t="n"/>
      <c r="C249" s="3" t="n"/>
      <c r="D249" s="3" t="n"/>
      <c r="E249" s="3" t="n"/>
      <c r="F249" s="4" t="n"/>
      <c r="G249" s="4" t="n"/>
      <c r="H249" s="4">
        <f>IFERROR(F249*G249,0)</f>
        <v/>
      </c>
      <c r="I249" s="3" t="n"/>
      <c r="J249" s="3" t="n"/>
      <c r="K249" s="3" t="n"/>
      <c r="L249" s="3" t="n"/>
    </row>
    <row r="250" ht="22" customHeight="1">
      <c r="B250" s="5" t="n"/>
      <c r="C250" s="5" t="n"/>
      <c r="D250" s="5" t="n"/>
      <c r="E250" s="5" t="n"/>
      <c r="F250" s="6" t="n"/>
      <c r="G250" s="6" t="n"/>
      <c r="H250" s="6">
        <f>IFERROR(F250*G250,0)</f>
        <v/>
      </c>
      <c r="I250" s="5" t="n"/>
      <c r="J250" s="5" t="n"/>
      <c r="K250" s="5" t="n"/>
      <c r="L250" s="5" t="n"/>
    </row>
    <row r="251" ht="22" customHeight="1">
      <c r="B251" s="3" t="n"/>
      <c r="C251" s="3" t="n"/>
      <c r="D251" s="3" t="n"/>
      <c r="E251" s="3" t="n"/>
      <c r="F251" s="4" t="n"/>
      <c r="G251" s="4" t="n"/>
      <c r="H251" s="4">
        <f>IFERROR(F251*G251,0)</f>
        <v/>
      </c>
      <c r="I251" s="3" t="n"/>
      <c r="J251" s="3" t="n"/>
      <c r="K251" s="3" t="n"/>
      <c r="L251" s="3" t="n"/>
    </row>
    <row r="252" ht="22" customHeight="1">
      <c r="B252" s="5" t="n"/>
      <c r="C252" s="5" t="n"/>
      <c r="D252" s="5" t="n"/>
      <c r="E252" s="5" t="n"/>
      <c r="F252" s="6" t="n"/>
      <c r="G252" s="6" t="n"/>
      <c r="H252" s="6">
        <f>IFERROR(F252*G252,0)</f>
        <v/>
      </c>
      <c r="I252" s="5" t="n"/>
      <c r="J252" s="5" t="n"/>
      <c r="K252" s="5" t="n"/>
      <c r="L252" s="5" t="n"/>
    </row>
    <row r="253" ht="22" customHeight="1">
      <c r="B253" s="3" t="n"/>
      <c r="C253" s="3" t="n"/>
      <c r="D253" s="3" t="n"/>
      <c r="E253" s="3" t="n"/>
      <c r="F253" s="4" t="n"/>
      <c r="G253" s="4" t="n"/>
      <c r="H253" s="4">
        <f>IFERROR(F253*G253,0)</f>
        <v/>
      </c>
      <c r="I253" s="3" t="n"/>
      <c r="J253" s="3" t="n"/>
      <c r="K253" s="3" t="n"/>
      <c r="L253" s="3" t="n"/>
    </row>
    <row r="254" ht="22" customHeight="1">
      <c r="B254" s="5" t="n"/>
      <c r="C254" s="5" t="n"/>
      <c r="D254" s="5" t="n"/>
      <c r="E254" s="5" t="n"/>
      <c r="F254" s="6" t="n"/>
      <c r="G254" s="6" t="n"/>
      <c r="H254" s="6">
        <f>IFERROR(F254*G254,0)</f>
        <v/>
      </c>
      <c r="I254" s="5" t="n"/>
      <c r="J254" s="5" t="n"/>
      <c r="K254" s="5" t="n"/>
      <c r="L254" s="5" t="n"/>
    </row>
    <row r="255" ht="22" customHeight="1">
      <c r="B255" s="3" t="n"/>
      <c r="C255" s="3" t="n"/>
      <c r="D255" s="3" t="n"/>
      <c r="E255" s="3" t="n"/>
      <c r="F255" s="4" t="n"/>
      <c r="G255" s="4" t="n"/>
      <c r="H255" s="4">
        <f>IFERROR(F255*G255,0)</f>
        <v/>
      </c>
      <c r="I255" s="3" t="n"/>
      <c r="J255" s="3" t="n"/>
      <c r="K255" s="3" t="n"/>
      <c r="L255" s="3" t="n"/>
    </row>
    <row r="256" ht="22" customHeight="1">
      <c r="B256" s="5" t="n"/>
      <c r="C256" s="5" t="n"/>
      <c r="D256" s="5" t="n"/>
      <c r="E256" s="5" t="n"/>
      <c r="F256" s="6" t="n"/>
      <c r="G256" s="6" t="n"/>
      <c r="H256" s="6">
        <f>IFERROR(F256*G256,0)</f>
        <v/>
      </c>
      <c r="I256" s="5" t="n"/>
      <c r="J256" s="5" t="n"/>
      <c r="K256" s="5" t="n"/>
      <c r="L256" s="5" t="n"/>
    </row>
    <row r="257" ht="22" customHeight="1">
      <c r="B257" s="3" t="n"/>
      <c r="C257" s="3" t="n"/>
      <c r="D257" s="3" t="n"/>
      <c r="E257" s="3" t="n"/>
      <c r="F257" s="4" t="n"/>
      <c r="G257" s="4" t="n"/>
      <c r="H257" s="4">
        <f>IFERROR(F257*G257,0)</f>
        <v/>
      </c>
      <c r="I257" s="3" t="n"/>
      <c r="J257" s="3" t="n"/>
      <c r="K257" s="3" t="n"/>
      <c r="L257" s="3" t="n"/>
    </row>
    <row r="258" ht="22" customHeight="1">
      <c r="B258" s="5" t="n"/>
      <c r="C258" s="5" t="n"/>
      <c r="D258" s="5" t="n"/>
      <c r="E258" s="5" t="n"/>
      <c r="F258" s="6" t="n"/>
      <c r="G258" s="6" t="n"/>
      <c r="H258" s="6">
        <f>IFERROR(F258*G258,0)</f>
        <v/>
      </c>
      <c r="I258" s="5" t="n"/>
      <c r="J258" s="5" t="n"/>
      <c r="K258" s="5" t="n"/>
      <c r="L258" s="5" t="n"/>
    </row>
    <row r="259" ht="22" customHeight="1">
      <c r="B259" s="3" t="n"/>
      <c r="C259" s="3" t="n"/>
      <c r="D259" s="3" t="n"/>
      <c r="E259" s="3" t="n"/>
      <c r="F259" s="4" t="n"/>
      <c r="G259" s="4" t="n"/>
      <c r="H259" s="4">
        <f>IFERROR(F259*G259,0)</f>
        <v/>
      </c>
      <c r="I259" s="3" t="n"/>
      <c r="J259" s="3" t="n"/>
      <c r="K259" s="3" t="n"/>
      <c r="L259" s="3" t="n"/>
    </row>
    <row r="260" ht="22" customHeight="1">
      <c r="B260" s="5" t="n"/>
      <c r="C260" s="5" t="n"/>
      <c r="D260" s="5" t="n"/>
      <c r="E260" s="5" t="n"/>
      <c r="F260" s="6" t="n"/>
      <c r="G260" s="6" t="n"/>
      <c r="H260" s="6">
        <f>IFERROR(F260*G260,0)</f>
        <v/>
      </c>
      <c r="I260" s="5" t="n"/>
      <c r="J260" s="5" t="n"/>
      <c r="K260" s="5" t="n"/>
      <c r="L260" s="5" t="n"/>
    </row>
    <row r="261" ht="22" customHeight="1">
      <c r="B261" s="3" t="n"/>
      <c r="C261" s="3" t="n"/>
      <c r="D261" s="3" t="n"/>
      <c r="E261" s="3" t="n"/>
      <c r="F261" s="4" t="n"/>
      <c r="G261" s="4" t="n"/>
      <c r="H261" s="4">
        <f>IFERROR(F261*G261,0)</f>
        <v/>
      </c>
      <c r="I261" s="3" t="n"/>
      <c r="J261" s="3" t="n"/>
      <c r="K261" s="3" t="n"/>
      <c r="L261" s="3" t="n"/>
    </row>
    <row r="262" ht="22" customHeight="1">
      <c r="B262" s="5" t="n"/>
      <c r="C262" s="5" t="n"/>
      <c r="D262" s="5" t="n"/>
      <c r="E262" s="5" t="n"/>
      <c r="F262" s="6" t="n"/>
      <c r="G262" s="6" t="n"/>
      <c r="H262" s="6">
        <f>IFERROR(F262*G262,0)</f>
        <v/>
      </c>
      <c r="I262" s="5" t="n"/>
      <c r="J262" s="5" t="n"/>
      <c r="K262" s="5" t="n"/>
      <c r="L262" s="5" t="n"/>
    </row>
    <row r="263" ht="22" customHeight="1">
      <c r="B263" s="3" t="n"/>
      <c r="C263" s="3" t="n"/>
      <c r="D263" s="3" t="n"/>
      <c r="E263" s="3" t="n"/>
      <c r="F263" s="4" t="n"/>
      <c r="G263" s="4" t="n"/>
      <c r="H263" s="4">
        <f>IFERROR(F263*G263,0)</f>
        <v/>
      </c>
      <c r="I263" s="3" t="n"/>
      <c r="J263" s="3" t="n"/>
      <c r="K263" s="3" t="n"/>
      <c r="L263" s="3" t="n"/>
    </row>
    <row r="264" ht="22" customHeight="1">
      <c r="B264" s="5" t="n"/>
      <c r="C264" s="5" t="n"/>
      <c r="D264" s="5" t="n"/>
      <c r="E264" s="5" t="n"/>
      <c r="F264" s="6" t="n"/>
      <c r="G264" s="6" t="n"/>
      <c r="H264" s="6">
        <f>IFERROR(F264*G264,0)</f>
        <v/>
      </c>
      <c r="I264" s="5" t="n"/>
      <c r="J264" s="5" t="n"/>
      <c r="K264" s="5" t="n"/>
      <c r="L264" s="5" t="n"/>
    </row>
    <row r="265" ht="22" customHeight="1">
      <c r="B265" s="3" t="n"/>
      <c r="C265" s="3" t="n"/>
      <c r="D265" s="3" t="n"/>
      <c r="E265" s="3" t="n"/>
      <c r="F265" s="4" t="n"/>
      <c r="G265" s="4" t="n"/>
      <c r="H265" s="4">
        <f>IFERROR(F265*G265,0)</f>
        <v/>
      </c>
      <c r="I265" s="3" t="n"/>
      <c r="J265" s="3" t="n"/>
      <c r="K265" s="3" t="n"/>
      <c r="L265" s="3" t="n"/>
    </row>
    <row r="266" ht="22" customHeight="1">
      <c r="B266" s="5" t="n"/>
      <c r="C266" s="5" t="n"/>
      <c r="D266" s="5" t="n"/>
      <c r="E266" s="5" t="n"/>
      <c r="F266" s="6" t="n"/>
      <c r="G266" s="6" t="n"/>
      <c r="H266" s="6">
        <f>IFERROR(F266*G266,0)</f>
        <v/>
      </c>
      <c r="I266" s="5" t="n"/>
      <c r="J266" s="5" t="n"/>
      <c r="K266" s="5" t="n"/>
      <c r="L266" s="5" t="n"/>
    </row>
    <row r="267" ht="22" customHeight="1">
      <c r="B267" s="3" t="n"/>
      <c r="C267" s="3" t="n"/>
      <c r="D267" s="3" t="n"/>
      <c r="E267" s="3" t="n"/>
      <c r="F267" s="4" t="n"/>
      <c r="G267" s="4" t="n"/>
      <c r="H267" s="4">
        <f>IFERROR(F267*G267,0)</f>
        <v/>
      </c>
      <c r="I267" s="3" t="n"/>
      <c r="J267" s="3" t="n"/>
      <c r="K267" s="3" t="n"/>
      <c r="L267" s="3" t="n"/>
    </row>
    <row r="268" ht="22" customHeight="1">
      <c r="B268" s="5" t="n"/>
      <c r="C268" s="5" t="n"/>
      <c r="D268" s="5" t="n"/>
      <c r="E268" s="5" t="n"/>
      <c r="F268" s="6" t="n"/>
      <c r="G268" s="6" t="n"/>
      <c r="H268" s="6">
        <f>IFERROR(F268*G268,0)</f>
        <v/>
      </c>
      <c r="I268" s="5" t="n"/>
      <c r="J268" s="5" t="n"/>
      <c r="K268" s="5" t="n"/>
      <c r="L268" s="5" t="n"/>
    </row>
    <row r="269" ht="22" customHeight="1">
      <c r="B269" s="3" t="n"/>
      <c r="C269" s="3" t="n"/>
      <c r="D269" s="3" t="n"/>
      <c r="E269" s="3" t="n"/>
      <c r="F269" s="4" t="n"/>
      <c r="G269" s="4" t="n"/>
      <c r="H269" s="4">
        <f>IFERROR(F269*G269,0)</f>
        <v/>
      </c>
      <c r="I269" s="3" t="n"/>
      <c r="J269" s="3" t="n"/>
      <c r="K269" s="3" t="n"/>
      <c r="L269" s="3" t="n"/>
    </row>
    <row r="270" ht="22" customHeight="1">
      <c r="B270" s="5" t="n"/>
      <c r="C270" s="5" t="n"/>
      <c r="D270" s="5" t="n"/>
      <c r="E270" s="5" t="n"/>
      <c r="F270" s="6" t="n"/>
      <c r="G270" s="6" t="n"/>
      <c r="H270" s="6">
        <f>IFERROR(F270*G270,0)</f>
        <v/>
      </c>
      <c r="I270" s="5" t="n"/>
      <c r="J270" s="5" t="n"/>
      <c r="K270" s="5" t="n"/>
      <c r="L270" s="5" t="n"/>
    </row>
    <row r="271" ht="22" customHeight="1">
      <c r="B271" s="3" t="n"/>
      <c r="C271" s="3" t="n"/>
      <c r="D271" s="3" t="n"/>
      <c r="E271" s="3" t="n"/>
      <c r="F271" s="4" t="n"/>
      <c r="G271" s="4" t="n"/>
      <c r="H271" s="4">
        <f>IFERROR(F271*G271,0)</f>
        <v/>
      </c>
      <c r="I271" s="3" t="n"/>
      <c r="J271" s="3" t="n"/>
      <c r="K271" s="3" t="n"/>
      <c r="L271" s="3" t="n"/>
    </row>
    <row r="272" ht="22" customHeight="1">
      <c r="B272" s="5" t="n"/>
      <c r="C272" s="5" t="n"/>
      <c r="D272" s="5" t="n"/>
      <c r="E272" s="5" t="n"/>
      <c r="F272" s="6" t="n"/>
      <c r="G272" s="6" t="n"/>
      <c r="H272" s="6">
        <f>IFERROR(F272*G272,0)</f>
        <v/>
      </c>
      <c r="I272" s="5" t="n"/>
      <c r="J272" s="5" t="n"/>
      <c r="K272" s="5" t="n"/>
      <c r="L272" s="5" t="n"/>
    </row>
    <row r="273" ht="22" customHeight="1">
      <c r="B273" s="3" t="n"/>
      <c r="C273" s="3" t="n"/>
      <c r="D273" s="3" t="n"/>
      <c r="E273" s="3" t="n"/>
      <c r="F273" s="4" t="n"/>
      <c r="G273" s="4" t="n"/>
      <c r="H273" s="4">
        <f>IFERROR(F273*G273,0)</f>
        <v/>
      </c>
      <c r="I273" s="3" t="n"/>
      <c r="J273" s="3" t="n"/>
      <c r="K273" s="3" t="n"/>
      <c r="L273" s="3" t="n"/>
    </row>
    <row r="274" ht="22" customHeight="1">
      <c r="B274" s="5" t="n"/>
      <c r="C274" s="5" t="n"/>
      <c r="D274" s="5" t="n"/>
      <c r="E274" s="5" t="n"/>
      <c r="F274" s="6" t="n"/>
      <c r="G274" s="6" t="n"/>
      <c r="H274" s="6">
        <f>IFERROR(F274*G274,0)</f>
        <v/>
      </c>
      <c r="I274" s="5" t="n"/>
      <c r="J274" s="5" t="n"/>
      <c r="K274" s="5" t="n"/>
      <c r="L274" s="5" t="n"/>
    </row>
    <row r="275" ht="22" customHeight="1">
      <c r="B275" s="3" t="n"/>
      <c r="C275" s="3" t="n"/>
      <c r="D275" s="3" t="n"/>
      <c r="E275" s="3" t="n"/>
      <c r="F275" s="4" t="n"/>
      <c r="G275" s="4" t="n"/>
      <c r="H275" s="4">
        <f>IFERROR(F275*G275,0)</f>
        <v/>
      </c>
      <c r="I275" s="3" t="n"/>
      <c r="J275" s="3" t="n"/>
      <c r="K275" s="3" t="n"/>
      <c r="L275" s="3" t="n"/>
    </row>
    <row r="276" ht="22" customHeight="1">
      <c r="B276" s="5" t="n"/>
      <c r="C276" s="5" t="n"/>
      <c r="D276" s="5" t="n"/>
      <c r="E276" s="5" t="n"/>
      <c r="F276" s="6" t="n"/>
      <c r="G276" s="6" t="n"/>
      <c r="H276" s="6">
        <f>IFERROR(F276*G276,0)</f>
        <v/>
      </c>
      <c r="I276" s="5" t="n"/>
      <c r="J276" s="5" t="n"/>
      <c r="K276" s="5" t="n"/>
      <c r="L276" s="5" t="n"/>
    </row>
    <row r="277" ht="22" customHeight="1">
      <c r="B277" s="3" t="n"/>
      <c r="C277" s="3" t="n"/>
      <c r="D277" s="3" t="n"/>
      <c r="E277" s="3" t="n"/>
      <c r="F277" s="4" t="n"/>
      <c r="G277" s="4" t="n"/>
      <c r="H277" s="4">
        <f>IFERROR(F277*G277,0)</f>
        <v/>
      </c>
      <c r="I277" s="3" t="n"/>
      <c r="J277" s="3" t="n"/>
      <c r="K277" s="3" t="n"/>
      <c r="L277" s="3" t="n"/>
    </row>
    <row r="278" ht="22" customHeight="1">
      <c r="B278" s="5" t="n"/>
      <c r="C278" s="5" t="n"/>
      <c r="D278" s="5" t="n"/>
      <c r="E278" s="5" t="n"/>
      <c r="F278" s="6" t="n"/>
      <c r="G278" s="6" t="n"/>
      <c r="H278" s="6">
        <f>IFERROR(F278*G278,0)</f>
        <v/>
      </c>
      <c r="I278" s="5" t="n"/>
      <c r="J278" s="5" t="n"/>
      <c r="K278" s="5" t="n"/>
      <c r="L278" s="5" t="n"/>
    </row>
    <row r="279" ht="22" customHeight="1">
      <c r="B279" s="3" t="n"/>
      <c r="C279" s="3" t="n"/>
      <c r="D279" s="3" t="n"/>
      <c r="E279" s="3" t="n"/>
      <c r="F279" s="4" t="n"/>
      <c r="G279" s="4" t="n"/>
      <c r="H279" s="4">
        <f>IFERROR(F279*G279,0)</f>
        <v/>
      </c>
      <c r="I279" s="3" t="n"/>
      <c r="J279" s="3" t="n"/>
      <c r="K279" s="3" t="n"/>
      <c r="L279" s="3" t="n"/>
    </row>
    <row r="280" ht="22" customHeight="1">
      <c r="B280" s="5" t="n"/>
      <c r="C280" s="5" t="n"/>
      <c r="D280" s="5" t="n"/>
      <c r="E280" s="5" t="n"/>
      <c r="F280" s="6" t="n"/>
      <c r="G280" s="6" t="n"/>
      <c r="H280" s="6">
        <f>IFERROR(F280*G280,0)</f>
        <v/>
      </c>
      <c r="I280" s="5" t="n"/>
      <c r="J280" s="5" t="n"/>
      <c r="K280" s="5" t="n"/>
      <c r="L280" s="5" t="n"/>
    </row>
    <row r="281" ht="22" customHeight="1">
      <c r="B281" s="3" t="n"/>
      <c r="C281" s="3" t="n"/>
      <c r="D281" s="3" t="n"/>
      <c r="E281" s="3" t="n"/>
      <c r="F281" s="4" t="n"/>
      <c r="G281" s="4" t="n"/>
      <c r="H281" s="4">
        <f>IFERROR(F281*G281,0)</f>
        <v/>
      </c>
      <c r="I281" s="3" t="n"/>
      <c r="J281" s="3" t="n"/>
      <c r="K281" s="3" t="n"/>
      <c r="L281" s="3" t="n"/>
    </row>
    <row r="282" ht="22" customHeight="1">
      <c r="B282" s="5" t="n"/>
      <c r="C282" s="5" t="n"/>
      <c r="D282" s="5" t="n"/>
      <c r="E282" s="5" t="n"/>
      <c r="F282" s="6" t="n"/>
      <c r="G282" s="6" t="n"/>
      <c r="H282" s="6">
        <f>IFERROR(F282*G282,0)</f>
        <v/>
      </c>
      <c r="I282" s="5" t="n"/>
      <c r="J282" s="5" t="n"/>
      <c r="K282" s="5" t="n"/>
      <c r="L282" s="5" t="n"/>
    </row>
    <row r="283" ht="22" customHeight="1">
      <c r="B283" s="3" t="n"/>
      <c r="C283" s="3" t="n"/>
      <c r="D283" s="3" t="n"/>
      <c r="E283" s="3" t="n"/>
      <c r="F283" s="4" t="n"/>
      <c r="G283" s="4" t="n"/>
      <c r="H283" s="4">
        <f>IFERROR(F283*G283,0)</f>
        <v/>
      </c>
      <c r="I283" s="3" t="n"/>
      <c r="J283" s="3" t="n"/>
      <c r="K283" s="3" t="n"/>
      <c r="L283" s="3" t="n"/>
    </row>
    <row r="284" ht="22" customHeight="1">
      <c r="B284" s="5" t="n"/>
      <c r="C284" s="5" t="n"/>
      <c r="D284" s="5" t="n"/>
      <c r="E284" s="5" t="n"/>
      <c r="F284" s="6" t="n"/>
      <c r="G284" s="6" t="n"/>
      <c r="H284" s="6">
        <f>IFERROR(F284*G284,0)</f>
        <v/>
      </c>
      <c r="I284" s="5" t="n"/>
      <c r="J284" s="5" t="n"/>
      <c r="K284" s="5" t="n"/>
      <c r="L284" s="5" t="n"/>
    </row>
    <row r="285" ht="22" customHeight="1">
      <c r="B285" s="3" t="n"/>
      <c r="C285" s="3" t="n"/>
      <c r="D285" s="3" t="n"/>
      <c r="E285" s="3" t="n"/>
      <c r="F285" s="4" t="n"/>
      <c r="G285" s="4" t="n"/>
      <c r="H285" s="4">
        <f>IFERROR(F285*G285,0)</f>
        <v/>
      </c>
      <c r="I285" s="3" t="n"/>
      <c r="J285" s="3" t="n"/>
      <c r="K285" s="3" t="n"/>
      <c r="L285" s="3" t="n"/>
    </row>
    <row r="286" ht="22" customHeight="1">
      <c r="B286" s="5" t="n"/>
      <c r="C286" s="5" t="n"/>
      <c r="D286" s="5" t="n"/>
      <c r="E286" s="5" t="n"/>
      <c r="F286" s="6" t="n"/>
      <c r="G286" s="6" t="n"/>
      <c r="H286" s="6">
        <f>IFERROR(F286*G286,0)</f>
        <v/>
      </c>
      <c r="I286" s="5" t="n"/>
      <c r="J286" s="5" t="n"/>
      <c r="K286" s="5" t="n"/>
      <c r="L286" s="5" t="n"/>
    </row>
    <row r="287" ht="22" customHeight="1">
      <c r="B287" s="3" t="n"/>
      <c r="C287" s="3" t="n"/>
      <c r="D287" s="3" t="n"/>
      <c r="E287" s="3" t="n"/>
      <c r="F287" s="4" t="n"/>
      <c r="G287" s="4" t="n"/>
      <c r="H287" s="4">
        <f>IFERROR(F287*G287,0)</f>
        <v/>
      </c>
      <c r="I287" s="3" t="n"/>
      <c r="J287" s="3" t="n"/>
      <c r="K287" s="3" t="n"/>
      <c r="L287" s="3" t="n"/>
    </row>
    <row r="288" ht="22" customHeight="1">
      <c r="B288" s="5" t="n"/>
      <c r="C288" s="5" t="n"/>
      <c r="D288" s="5" t="n"/>
      <c r="E288" s="5" t="n"/>
      <c r="F288" s="6" t="n"/>
      <c r="G288" s="6" t="n"/>
      <c r="H288" s="6">
        <f>IFERROR(F288*G288,0)</f>
        <v/>
      </c>
      <c r="I288" s="5" t="n"/>
      <c r="J288" s="5" t="n"/>
      <c r="K288" s="5" t="n"/>
      <c r="L288" s="5" t="n"/>
    </row>
    <row r="289" ht="22" customHeight="1">
      <c r="B289" s="3" t="n"/>
      <c r="C289" s="3" t="n"/>
      <c r="D289" s="3" t="n"/>
      <c r="E289" s="3" t="n"/>
      <c r="F289" s="4" t="n"/>
      <c r="G289" s="4" t="n"/>
      <c r="H289" s="4">
        <f>IFERROR(F289*G289,0)</f>
        <v/>
      </c>
      <c r="I289" s="3" t="n"/>
      <c r="J289" s="3" t="n"/>
      <c r="K289" s="3" t="n"/>
      <c r="L289" s="3" t="n"/>
    </row>
    <row r="290" ht="22" customHeight="1">
      <c r="B290" s="5" t="n"/>
      <c r="C290" s="5" t="n"/>
      <c r="D290" s="5" t="n"/>
      <c r="E290" s="5" t="n"/>
      <c r="F290" s="6" t="n"/>
      <c r="G290" s="6" t="n"/>
      <c r="H290" s="6">
        <f>IFERROR(F290*G290,0)</f>
        <v/>
      </c>
      <c r="I290" s="5" t="n"/>
      <c r="J290" s="5" t="n"/>
      <c r="K290" s="5" t="n"/>
      <c r="L290" s="5" t="n"/>
    </row>
    <row r="291" ht="22" customHeight="1">
      <c r="B291" s="3" t="n"/>
      <c r="C291" s="3" t="n"/>
      <c r="D291" s="3" t="n"/>
      <c r="E291" s="3" t="n"/>
      <c r="F291" s="4" t="n"/>
      <c r="G291" s="4" t="n"/>
      <c r="H291" s="4">
        <f>IFERROR(F291*G291,0)</f>
        <v/>
      </c>
      <c r="I291" s="3" t="n"/>
      <c r="J291" s="3" t="n"/>
      <c r="K291" s="3" t="n"/>
      <c r="L291" s="3" t="n"/>
    </row>
    <row r="292" ht="22" customHeight="1">
      <c r="B292" s="5" t="n"/>
      <c r="C292" s="5" t="n"/>
      <c r="D292" s="5" t="n"/>
      <c r="E292" s="5" t="n"/>
      <c r="F292" s="6" t="n"/>
      <c r="G292" s="6" t="n"/>
      <c r="H292" s="6">
        <f>IFERROR(F292*G292,0)</f>
        <v/>
      </c>
      <c r="I292" s="5" t="n"/>
      <c r="J292" s="5" t="n"/>
      <c r="K292" s="5" t="n"/>
      <c r="L292" s="5" t="n"/>
    </row>
    <row r="293" ht="22" customHeight="1">
      <c r="B293" s="3" t="n"/>
      <c r="C293" s="3" t="n"/>
      <c r="D293" s="3" t="n"/>
      <c r="E293" s="3" t="n"/>
      <c r="F293" s="4" t="n"/>
      <c r="G293" s="4" t="n"/>
      <c r="H293" s="4">
        <f>IFERROR(F293*G293,0)</f>
        <v/>
      </c>
      <c r="I293" s="3" t="n"/>
      <c r="J293" s="3" t="n"/>
      <c r="K293" s="3" t="n"/>
      <c r="L293" s="3" t="n"/>
    </row>
    <row r="294" ht="22" customHeight="1">
      <c r="B294" s="5" t="n"/>
      <c r="C294" s="5" t="n"/>
      <c r="D294" s="5" t="n"/>
      <c r="E294" s="5" t="n"/>
      <c r="F294" s="6" t="n"/>
      <c r="G294" s="6" t="n"/>
      <c r="H294" s="6">
        <f>IFERROR(F294*G294,0)</f>
        <v/>
      </c>
      <c r="I294" s="5" t="n"/>
      <c r="J294" s="5" t="n"/>
      <c r="K294" s="5" t="n"/>
      <c r="L294" s="5" t="n"/>
    </row>
    <row r="295" ht="22" customHeight="1">
      <c r="B295" s="3" t="n"/>
      <c r="C295" s="3" t="n"/>
      <c r="D295" s="3" t="n"/>
      <c r="E295" s="3" t="n"/>
      <c r="F295" s="4" t="n"/>
      <c r="G295" s="4" t="n"/>
      <c r="H295" s="4">
        <f>IFERROR(F295*G295,0)</f>
        <v/>
      </c>
      <c r="I295" s="3" t="n"/>
      <c r="J295" s="3" t="n"/>
      <c r="K295" s="3" t="n"/>
      <c r="L295" s="3" t="n"/>
    </row>
    <row r="296" ht="22" customHeight="1">
      <c r="B296" s="5" t="n"/>
      <c r="C296" s="5" t="n"/>
      <c r="D296" s="5" t="n"/>
      <c r="E296" s="5" t="n"/>
      <c r="F296" s="6" t="n"/>
      <c r="G296" s="6" t="n"/>
      <c r="H296" s="6">
        <f>IFERROR(F296*G296,0)</f>
        <v/>
      </c>
      <c r="I296" s="5" t="n"/>
      <c r="J296" s="5" t="n"/>
      <c r="K296" s="5" t="n"/>
      <c r="L296" s="5" t="n"/>
    </row>
    <row r="297" ht="22" customHeight="1">
      <c r="B297" s="3" t="n"/>
      <c r="C297" s="3" t="n"/>
      <c r="D297" s="3" t="n"/>
      <c r="E297" s="3" t="n"/>
      <c r="F297" s="4" t="n"/>
      <c r="G297" s="4" t="n"/>
      <c r="H297" s="4">
        <f>IFERROR(F297*G297,0)</f>
        <v/>
      </c>
      <c r="I297" s="3" t="n"/>
      <c r="J297" s="3" t="n"/>
      <c r="K297" s="3" t="n"/>
      <c r="L297" s="3" t="n"/>
    </row>
    <row r="298" ht="22" customHeight="1">
      <c r="B298" s="5" t="n"/>
      <c r="C298" s="5" t="n"/>
      <c r="D298" s="5" t="n"/>
      <c r="E298" s="5" t="n"/>
      <c r="F298" s="6" t="n"/>
      <c r="G298" s="6" t="n"/>
      <c r="H298" s="6">
        <f>IFERROR(F298*G298,0)</f>
        <v/>
      </c>
      <c r="I298" s="5" t="n"/>
      <c r="J298" s="5" t="n"/>
      <c r="K298" s="5" t="n"/>
      <c r="L298" s="5" t="n"/>
    </row>
    <row r="299" ht="22" customHeight="1">
      <c r="B299" s="3" t="n"/>
      <c r="C299" s="3" t="n"/>
      <c r="D299" s="3" t="n"/>
      <c r="E299" s="3" t="n"/>
      <c r="F299" s="4" t="n"/>
      <c r="G299" s="4" t="n"/>
      <c r="H299" s="4">
        <f>IFERROR(F299*G299,0)</f>
        <v/>
      </c>
      <c r="I299" s="3" t="n"/>
      <c r="J299" s="3" t="n"/>
      <c r="K299" s="3" t="n"/>
      <c r="L299" s="3" t="n"/>
    </row>
    <row r="300" ht="22" customHeight="1">
      <c r="B300" s="5" t="n"/>
      <c r="C300" s="5" t="n"/>
      <c r="D300" s="5" t="n"/>
      <c r="E300" s="5" t="n"/>
      <c r="F300" s="6" t="n"/>
      <c r="G300" s="6" t="n"/>
      <c r="H300" s="6">
        <f>IFERROR(F300*G300,0)</f>
        <v/>
      </c>
      <c r="I300" s="5" t="n"/>
      <c r="J300" s="5" t="n"/>
      <c r="K300" s="5" t="n"/>
      <c r="L300" s="5" t="n"/>
    </row>
    <row r="301" ht="22" customHeight="1">
      <c r="B301" s="3" t="n"/>
      <c r="C301" s="3" t="n"/>
      <c r="D301" s="3" t="n"/>
      <c r="E301" s="3" t="n"/>
      <c r="F301" s="4" t="n"/>
      <c r="G301" s="4" t="n"/>
      <c r="H301" s="4">
        <f>IFERROR(F301*G301,0)</f>
        <v/>
      </c>
      <c r="I301" s="3" t="n"/>
      <c r="J301" s="3" t="n"/>
      <c r="K301" s="3" t="n"/>
      <c r="L301" s="3" t="n"/>
    </row>
    <row r="302" ht="22" customHeight="1">
      <c r="B302" s="5" t="n"/>
      <c r="C302" s="5" t="n"/>
      <c r="D302" s="5" t="n"/>
      <c r="E302" s="5" t="n"/>
      <c r="F302" s="6" t="n"/>
      <c r="G302" s="6" t="n"/>
      <c r="H302" s="6">
        <f>IFERROR(F302*G302,0)</f>
        <v/>
      </c>
      <c r="I302" s="5" t="n"/>
      <c r="J302" s="5" t="n"/>
      <c r="K302" s="5" t="n"/>
      <c r="L302" s="5" t="n"/>
    </row>
    <row r="303" ht="22" customHeight="1">
      <c r="B303" s="3" t="n"/>
      <c r="C303" s="3" t="n"/>
      <c r="D303" s="3" t="n"/>
      <c r="E303" s="3" t="n"/>
      <c r="F303" s="4" t="n"/>
      <c r="G303" s="4" t="n"/>
      <c r="H303" s="4">
        <f>IFERROR(F303*G303,0)</f>
        <v/>
      </c>
      <c r="I303" s="3" t="n"/>
      <c r="J303" s="3" t="n"/>
      <c r="K303" s="3" t="n"/>
      <c r="L303" s="3" t="n"/>
    </row>
    <row r="304" ht="22" customHeight="1">
      <c r="B304" s="5" t="n"/>
      <c r="C304" s="5" t="n"/>
      <c r="D304" s="5" t="n"/>
      <c r="E304" s="5" t="n"/>
      <c r="F304" s="6" t="n"/>
      <c r="G304" s="6" t="n"/>
      <c r="H304" s="6">
        <f>IFERROR(F304*G304,0)</f>
        <v/>
      </c>
      <c r="I304" s="5" t="n"/>
      <c r="J304" s="5" t="n"/>
      <c r="K304" s="5" t="n"/>
      <c r="L304" s="5" t="n"/>
    </row>
    <row r="305" ht="26" customHeight="1">
      <c r="B305" s="7" t="inlineStr">
        <is>
          <t>TOTALS</t>
        </is>
      </c>
      <c r="C305" s="7" t="n"/>
      <c r="D305" s="7" t="n"/>
      <c r="E305" s="7" t="n"/>
      <c r="F305" s="8">
        <f>SUMPRODUCT((F5:F304))</f>
        <v/>
      </c>
      <c r="G305" s="8">
        <f>SUMPRODUCT((G5:G304))</f>
        <v/>
      </c>
      <c r="H305" s="8">
        <f>SUMPRODUCT((H5:H304))</f>
        <v/>
      </c>
      <c r="I305" s="7" t="n"/>
      <c r="J305" s="7" t="n"/>
      <c r="K305" s="7" t="n"/>
      <c r="L305" s="7" t="n"/>
    </row>
  </sheetData>
  <mergeCells count="1">
    <mergeCell ref="B2:L2"/>
  </mergeCells>
  <dataValidations count="2">
    <dataValidation sqref="I5:I304" showDropDown="0" showInputMessage="0" showErrorMessage="0" allowBlank="1" errorTitle="Invalid Payment Method" error="Please select a valid payment method" type="list">
      <formula1>"Cash,Card,Online,Cheque"</formula1>
    </dataValidation>
    <dataValidation sqref="J5:J304" showDropDown="0" showInputMessage="0" showErrorMessage="0" allowBlank="1" errorTitle="Invalid Staff Name" error="Please select a staff member" type="list">
      <formula1>=Staff!$B$5:$B$24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B2:I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15" customHeight="1"/>
    <row r="2" ht="32" customHeight="1">
      <c r="B2" s="1" t="inlineStr">
        <is>
          <t>Daily Summary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Cash Total</t>
        </is>
      </c>
      <c r="G4" s="2" t="inlineStr">
        <is>
          <t>Card Total</t>
        </is>
      </c>
      <c r="H4" s="2" t="inlineStr">
        <is>
          <t>Online Total</t>
        </is>
      </c>
      <c r="I4" s="2" t="inlineStr">
        <is>
          <t># Items Sold</t>
        </is>
      </c>
    </row>
    <row r="5" ht="22" customHeight="1">
      <c r="B5" s="3" t="n"/>
      <c r="C5" s="4">
        <f>SUMPRODUCT(('Sales Entry'!$B$5:$B$304=B5)*('Sales Entry'!$H$5:$H$304))</f>
        <v/>
      </c>
      <c r="D5" s="9">
        <f>SUMPRODUCT(('Sales Entry'!$B$5:$B$304=B5)*1)</f>
        <v/>
      </c>
      <c r="E5" s="4">
        <f>IFERROR(C5/D5,0)</f>
        <v/>
      </c>
      <c r="F5" s="4">
        <f>SUMPRODUCT(('Sales Entry'!$B$5:$B$304=B5)*('Sales Entry'!$I$5:$I$304="Cash")*('Sales Entry'!$H$5:$H$304))</f>
        <v/>
      </c>
      <c r="G5" s="4">
        <f>SUMPRODUCT(('Sales Entry'!$B$5:$B$304=B5)*('Sales Entry'!$I$5:$I$304="Card")*('Sales Entry'!$H$5:$H$304))</f>
        <v/>
      </c>
      <c r="H5" s="4">
        <f>SUMPRODUCT(('Sales Entry'!$B$5:$B$304=B5)*('Sales Entry'!$I$5:$I$304="Online")*('Sales Entry'!$H$5:$H$304))</f>
        <v/>
      </c>
      <c r="I5" s="9">
        <f>SUMPRODUCT(('Sales Entry'!$B$5:$B$304=B5)*('Sales Entry'!$F$5:$F$304))</f>
        <v/>
      </c>
    </row>
    <row r="6" ht="22" customHeight="1">
      <c r="B6" s="5" t="n"/>
      <c r="C6" s="6">
        <f>SUMPRODUCT(('Sales Entry'!$B$5:$B$304=B6)*('Sales Entry'!$H$5:$H$304))</f>
        <v/>
      </c>
      <c r="D6" s="10">
        <f>SUMPRODUCT(('Sales Entry'!$B$5:$B$304=B6)*1)</f>
        <v/>
      </c>
      <c r="E6" s="6">
        <f>IFERROR(C6/D6,0)</f>
        <v/>
      </c>
      <c r="F6" s="6">
        <f>SUMPRODUCT(('Sales Entry'!$B$5:$B$304=B6)*('Sales Entry'!$I$5:$I$304="Cash")*('Sales Entry'!$H$5:$H$304))</f>
        <v/>
      </c>
      <c r="G6" s="6">
        <f>SUMPRODUCT(('Sales Entry'!$B$5:$B$304=B6)*('Sales Entry'!$I$5:$I$304="Card")*('Sales Entry'!$H$5:$H$304))</f>
        <v/>
      </c>
      <c r="H6" s="6">
        <f>SUMPRODUCT(('Sales Entry'!$B$5:$B$304=B6)*('Sales Entry'!$I$5:$I$304="Online")*('Sales Entry'!$H$5:$H$304))</f>
        <v/>
      </c>
      <c r="I6" s="10">
        <f>SUMPRODUCT(('Sales Entry'!$B$5:$B$304=B6)*('Sales Entry'!$F$5:$F$304))</f>
        <v/>
      </c>
    </row>
    <row r="7" ht="22" customHeight="1">
      <c r="B7" s="3" t="n"/>
      <c r="C7" s="4">
        <f>SUMPRODUCT(('Sales Entry'!$B$5:$B$304=B7)*('Sales Entry'!$H$5:$H$304))</f>
        <v/>
      </c>
      <c r="D7" s="9">
        <f>SUMPRODUCT(('Sales Entry'!$B$5:$B$304=B7)*1)</f>
        <v/>
      </c>
      <c r="E7" s="4">
        <f>IFERROR(C7/D7,0)</f>
        <v/>
      </c>
      <c r="F7" s="4">
        <f>SUMPRODUCT(('Sales Entry'!$B$5:$B$304=B7)*('Sales Entry'!$I$5:$I$304="Cash")*('Sales Entry'!$H$5:$H$304))</f>
        <v/>
      </c>
      <c r="G7" s="4">
        <f>SUMPRODUCT(('Sales Entry'!$B$5:$B$304=B7)*('Sales Entry'!$I$5:$I$304="Card")*('Sales Entry'!$H$5:$H$304))</f>
        <v/>
      </c>
      <c r="H7" s="4">
        <f>SUMPRODUCT(('Sales Entry'!$B$5:$B$304=B7)*('Sales Entry'!$I$5:$I$304="Online")*('Sales Entry'!$H$5:$H$304))</f>
        <v/>
      </c>
      <c r="I7" s="9">
        <f>SUMPRODUCT(('Sales Entry'!$B$5:$B$304=B7)*('Sales Entry'!$F$5:$F$304))</f>
        <v/>
      </c>
    </row>
    <row r="8" ht="22" customHeight="1">
      <c r="B8" s="5" t="n"/>
      <c r="C8" s="6">
        <f>SUMPRODUCT(('Sales Entry'!$B$5:$B$304=B8)*('Sales Entry'!$H$5:$H$304))</f>
        <v/>
      </c>
      <c r="D8" s="10">
        <f>SUMPRODUCT(('Sales Entry'!$B$5:$B$304=B8)*1)</f>
        <v/>
      </c>
      <c r="E8" s="6">
        <f>IFERROR(C8/D8,0)</f>
        <v/>
      </c>
      <c r="F8" s="6">
        <f>SUMPRODUCT(('Sales Entry'!$B$5:$B$304=B8)*('Sales Entry'!$I$5:$I$304="Cash")*('Sales Entry'!$H$5:$H$304))</f>
        <v/>
      </c>
      <c r="G8" s="6">
        <f>SUMPRODUCT(('Sales Entry'!$B$5:$B$304=B8)*('Sales Entry'!$I$5:$I$304="Card")*('Sales Entry'!$H$5:$H$304))</f>
        <v/>
      </c>
      <c r="H8" s="6">
        <f>SUMPRODUCT(('Sales Entry'!$B$5:$B$304=B8)*('Sales Entry'!$I$5:$I$304="Online")*('Sales Entry'!$H$5:$H$304))</f>
        <v/>
      </c>
      <c r="I8" s="10">
        <f>SUMPRODUCT(('Sales Entry'!$B$5:$B$304=B8)*('Sales Entry'!$F$5:$F$304))</f>
        <v/>
      </c>
    </row>
    <row r="9" ht="22" customHeight="1">
      <c r="B9" s="3" t="n"/>
      <c r="C9" s="4">
        <f>SUMPRODUCT(('Sales Entry'!$B$5:$B$304=B9)*('Sales Entry'!$H$5:$H$304))</f>
        <v/>
      </c>
      <c r="D9" s="9">
        <f>SUMPRODUCT(('Sales Entry'!$B$5:$B$304=B9)*1)</f>
        <v/>
      </c>
      <c r="E9" s="4">
        <f>IFERROR(C9/D9,0)</f>
        <v/>
      </c>
      <c r="F9" s="4">
        <f>SUMPRODUCT(('Sales Entry'!$B$5:$B$304=B9)*('Sales Entry'!$I$5:$I$304="Cash")*('Sales Entry'!$H$5:$H$304))</f>
        <v/>
      </c>
      <c r="G9" s="4">
        <f>SUMPRODUCT(('Sales Entry'!$B$5:$B$304=B9)*('Sales Entry'!$I$5:$I$304="Card")*('Sales Entry'!$H$5:$H$304))</f>
        <v/>
      </c>
      <c r="H9" s="4">
        <f>SUMPRODUCT(('Sales Entry'!$B$5:$B$304=B9)*('Sales Entry'!$I$5:$I$304="Online")*('Sales Entry'!$H$5:$H$304))</f>
        <v/>
      </c>
      <c r="I9" s="9">
        <f>SUMPRODUCT(('Sales Entry'!$B$5:$B$304=B9)*('Sales Entry'!$F$5:$F$304))</f>
        <v/>
      </c>
    </row>
    <row r="10" ht="22" customHeight="1">
      <c r="B10" s="5" t="n"/>
      <c r="C10" s="6">
        <f>SUMPRODUCT(('Sales Entry'!$B$5:$B$304=B10)*('Sales Entry'!$H$5:$H$304))</f>
        <v/>
      </c>
      <c r="D10" s="10">
        <f>SUMPRODUCT(('Sales Entry'!$B$5:$B$304=B10)*1)</f>
        <v/>
      </c>
      <c r="E10" s="6">
        <f>IFERROR(C10/D10,0)</f>
        <v/>
      </c>
      <c r="F10" s="6">
        <f>SUMPRODUCT(('Sales Entry'!$B$5:$B$304=B10)*('Sales Entry'!$I$5:$I$304="Cash")*('Sales Entry'!$H$5:$H$304))</f>
        <v/>
      </c>
      <c r="G10" s="6">
        <f>SUMPRODUCT(('Sales Entry'!$B$5:$B$304=B10)*('Sales Entry'!$I$5:$I$304="Card")*('Sales Entry'!$H$5:$H$304))</f>
        <v/>
      </c>
      <c r="H10" s="6">
        <f>SUMPRODUCT(('Sales Entry'!$B$5:$B$304=B10)*('Sales Entry'!$I$5:$I$304="Online")*('Sales Entry'!$H$5:$H$304))</f>
        <v/>
      </c>
      <c r="I10" s="10">
        <f>SUMPRODUCT(('Sales Entry'!$B$5:$B$304=B10)*('Sales Entry'!$F$5:$F$304))</f>
        <v/>
      </c>
    </row>
    <row r="11" ht="22" customHeight="1">
      <c r="B11" s="3" t="n"/>
      <c r="C11" s="4">
        <f>SUMPRODUCT(('Sales Entry'!$B$5:$B$304=B11)*('Sales Entry'!$H$5:$H$304))</f>
        <v/>
      </c>
      <c r="D11" s="9">
        <f>SUMPRODUCT(('Sales Entry'!$B$5:$B$304=B11)*1)</f>
        <v/>
      </c>
      <c r="E11" s="4">
        <f>IFERROR(C11/D11,0)</f>
        <v/>
      </c>
      <c r="F11" s="4">
        <f>SUMPRODUCT(('Sales Entry'!$B$5:$B$304=B11)*('Sales Entry'!$I$5:$I$304="Cash")*('Sales Entry'!$H$5:$H$304))</f>
        <v/>
      </c>
      <c r="G11" s="4">
        <f>SUMPRODUCT(('Sales Entry'!$B$5:$B$304=B11)*('Sales Entry'!$I$5:$I$304="Card")*('Sales Entry'!$H$5:$H$304))</f>
        <v/>
      </c>
      <c r="H11" s="4">
        <f>SUMPRODUCT(('Sales Entry'!$B$5:$B$304=B11)*('Sales Entry'!$I$5:$I$304="Online")*('Sales Entry'!$H$5:$H$304))</f>
        <v/>
      </c>
      <c r="I11" s="9">
        <f>SUMPRODUCT(('Sales Entry'!$B$5:$B$304=B11)*('Sales Entry'!$F$5:$F$304))</f>
        <v/>
      </c>
    </row>
    <row r="12" ht="22" customHeight="1">
      <c r="B12" s="5" t="n"/>
      <c r="C12" s="6">
        <f>SUMPRODUCT(('Sales Entry'!$B$5:$B$304=B12)*('Sales Entry'!$H$5:$H$304))</f>
        <v/>
      </c>
      <c r="D12" s="10">
        <f>SUMPRODUCT(('Sales Entry'!$B$5:$B$304=B12)*1)</f>
        <v/>
      </c>
      <c r="E12" s="6">
        <f>IFERROR(C12/D12,0)</f>
        <v/>
      </c>
      <c r="F12" s="6">
        <f>SUMPRODUCT(('Sales Entry'!$B$5:$B$304=B12)*('Sales Entry'!$I$5:$I$304="Cash")*('Sales Entry'!$H$5:$H$304))</f>
        <v/>
      </c>
      <c r="G12" s="6">
        <f>SUMPRODUCT(('Sales Entry'!$B$5:$B$304=B12)*('Sales Entry'!$I$5:$I$304="Card")*('Sales Entry'!$H$5:$H$304))</f>
        <v/>
      </c>
      <c r="H12" s="6">
        <f>SUMPRODUCT(('Sales Entry'!$B$5:$B$304=B12)*('Sales Entry'!$I$5:$I$304="Online")*('Sales Entry'!$H$5:$H$304))</f>
        <v/>
      </c>
      <c r="I12" s="10">
        <f>SUMPRODUCT(('Sales Entry'!$B$5:$B$304=B12)*('Sales Entry'!$F$5:$F$304))</f>
        <v/>
      </c>
    </row>
    <row r="13" ht="22" customHeight="1">
      <c r="B13" s="3" t="n"/>
      <c r="C13" s="4">
        <f>SUMPRODUCT(('Sales Entry'!$B$5:$B$304=B13)*('Sales Entry'!$H$5:$H$304))</f>
        <v/>
      </c>
      <c r="D13" s="9">
        <f>SUMPRODUCT(('Sales Entry'!$B$5:$B$304=B13)*1)</f>
        <v/>
      </c>
      <c r="E13" s="4">
        <f>IFERROR(C13/D13,0)</f>
        <v/>
      </c>
      <c r="F13" s="4">
        <f>SUMPRODUCT(('Sales Entry'!$B$5:$B$304=B13)*('Sales Entry'!$I$5:$I$304="Cash")*('Sales Entry'!$H$5:$H$304))</f>
        <v/>
      </c>
      <c r="G13" s="4">
        <f>SUMPRODUCT(('Sales Entry'!$B$5:$B$304=B13)*('Sales Entry'!$I$5:$I$304="Card")*('Sales Entry'!$H$5:$H$304))</f>
        <v/>
      </c>
      <c r="H13" s="4">
        <f>SUMPRODUCT(('Sales Entry'!$B$5:$B$304=B13)*('Sales Entry'!$I$5:$I$304="Online")*('Sales Entry'!$H$5:$H$304))</f>
        <v/>
      </c>
      <c r="I13" s="9">
        <f>SUMPRODUCT(('Sales Entry'!$B$5:$B$304=B13)*('Sales Entry'!$F$5:$F$304))</f>
        <v/>
      </c>
    </row>
    <row r="14" ht="22" customHeight="1">
      <c r="B14" s="5" t="n"/>
      <c r="C14" s="6">
        <f>SUMPRODUCT(('Sales Entry'!$B$5:$B$304=B14)*('Sales Entry'!$H$5:$H$304))</f>
        <v/>
      </c>
      <c r="D14" s="10">
        <f>SUMPRODUCT(('Sales Entry'!$B$5:$B$304=B14)*1)</f>
        <v/>
      </c>
      <c r="E14" s="6">
        <f>IFERROR(C14/D14,0)</f>
        <v/>
      </c>
      <c r="F14" s="6">
        <f>SUMPRODUCT(('Sales Entry'!$B$5:$B$304=B14)*('Sales Entry'!$I$5:$I$304="Cash")*('Sales Entry'!$H$5:$H$304))</f>
        <v/>
      </c>
      <c r="G14" s="6">
        <f>SUMPRODUCT(('Sales Entry'!$B$5:$B$304=B14)*('Sales Entry'!$I$5:$I$304="Card")*('Sales Entry'!$H$5:$H$304))</f>
        <v/>
      </c>
      <c r="H14" s="6">
        <f>SUMPRODUCT(('Sales Entry'!$B$5:$B$304=B14)*('Sales Entry'!$I$5:$I$304="Online")*('Sales Entry'!$H$5:$H$304))</f>
        <v/>
      </c>
      <c r="I14" s="10">
        <f>SUMPRODUCT(('Sales Entry'!$B$5:$B$304=B14)*('Sales Entry'!$F$5:$F$304))</f>
        <v/>
      </c>
    </row>
    <row r="15" ht="22" customHeight="1">
      <c r="B15" s="3" t="n"/>
      <c r="C15" s="4">
        <f>SUMPRODUCT(('Sales Entry'!$B$5:$B$304=B15)*('Sales Entry'!$H$5:$H$304))</f>
        <v/>
      </c>
      <c r="D15" s="9">
        <f>SUMPRODUCT(('Sales Entry'!$B$5:$B$304=B15)*1)</f>
        <v/>
      </c>
      <c r="E15" s="4">
        <f>IFERROR(C15/D15,0)</f>
        <v/>
      </c>
      <c r="F15" s="4">
        <f>SUMPRODUCT(('Sales Entry'!$B$5:$B$304=B15)*('Sales Entry'!$I$5:$I$304="Cash")*('Sales Entry'!$H$5:$H$304))</f>
        <v/>
      </c>
      <c r="G15" s="4">
        <f>SUMPRODUCT(('Sales Entry'!$B$5:$B$304=B15)*('Sales Entry'!$I$5:$I$304="Card")*('Sales Entry'!$H$5:$H$304))</f>
        <v/>
      </c>
      <c r="H15" s="4">
        <f>SUMPRODUCT(('Sales Entry'!$B$5:$B$304=B15)*('Sales Entry'!$I$5:$I$304="Online")*('Sales Entry'!$H$5:$H$304))</f>
        <v/>
      </c>
      <c r="I15" s="9">
        <f>SUMPRODUCT(('Sales Entry'!$B$5:$B$304=B15)*('Sales Entry'!$F$5:$F$304))</f>
        <v/>
      </c>
    </row>
    <row r="16" ht="22" customHeight="1">
      <c r="B16" s="5" t="n"/>
      <c r="C16" s="6">
        <f>SUMPRODUCT(('Sales Entry'!$B$5:$B$304=B16)*('Sales Entry'!$H$5:$H$304))</f>
        <v/>
      </c>
      <c r="D16" s="10">
        <f>SUMPRODUCT(('Sales Entry'!$B$5:$B$304=B16)*1)</f>
        <v/>
      </c>
      <c r="E16" s="6">
        <f>IFERROR(C16/D16,0)</f>
        <v/>
      </c>
      <c r="F16" s="6">
        <f>SUMPRODUCT(('Sales Entry'!$B$5:$B$304=B16)*('Sales Entry'!$I$5:$I$304="Cash")*('Sales Entry'!$H$5:$H$304))</f>
        <v/>
      </c>
      <c r="G16" s="6">
        <f>SUMPRODUCT(('Sales Entry'!$B$5:$B$304=B16)*('Sales Entry'!$I$5:$I$304="Card")*('Sales Entry'!$H$5:$H$304))</f>
        <v/>
      </c>
      <c r="H16" s="6">
        <f>SUMPRODUCT(('Sales Entry'!$B$5:$B$304=B16)*('Sales Entry'!$I$5:$I$304="Online")*('Sales Entry'!$H$5:$H$304))</f>
        <v/>
      </c>
      <c r="I16" s="10">
        <f>SUMPRODUCT(('Sales Entry'!$B$5:$B$304=B16)*('Sales Entry'!$F$5:$F$304))</f>
        <v/>
      </c>
    </row>
    <row r="17" ht="22" customHeight="1">
      <c r="B17" s="3" t="n"/>
      <c r="C17" s="4">
        <f>SUMPRODUCT(('Sales Entry'!$B$5:$B$304=B17)*('Sales Entry'!$H$5:$H$304))</f>
        <v/>
      </c>
      <c r="D17" s="9">
        <f>SUMPRODUCT(('Sales Entry'!$B$5:$B$304=B17)*1)</f>
        <v/>
      </c>
      <c r="E17" s="4">
        <f>IFERROR(C17/D17,0)</f>
        <v/>
      </c>
      <c r="F17" s="4">
        <f>SUMPRODUCT(('Sales Entry'!$B$5:$B$304=B17)*('Sales Entry'!$I$5:$I$304="Cash")*('Sales Entry'!$H$5:$H$304))</f>
        <v/>
      </c>
      <c r="G17" s="4">
        <f>SUMPRODUCT(('Sales Entry'!$B$5:$B$304=B17)*('Sales Entry'!$I$5:$I$304="Card")*('Sales Entry'!$H$5:$H$304))</f>
        <v/>
      </c>
      <c r="H17" s="4">
        <f>SUMPRODUCT(('Sales Entry'!$B$5:$B$304=B17)*('Sales Entry'!$I$5:$I$304="Online")*('Sales Entry'!$H$5:$H$304))</f>
        <v/>
      </c>
      <c r="I17" s="9">
        <f>SUMPRODUCT(('Sales Entry'!$B$5:$B$304=B17)*('Sales Entry'!$F$5:$F$304))</f>
        <v/>
      </c>
    </row>
    <row r="18" ht="22" customHeight="1">
      <c r="B18" s="5" t="n"/>
      <c r="C18" s="6">
        <f>SUMPRODUCT(('Sales Entry'!$B$5:$B$304=B18)*('Sales Entry'!$H$5:$H$304))</f>
        <v/>
      </c>
      <c r="D18" s="10">
        <f>SUMPRODUCT(('Sales Entry'!$B$5:$B$304=B18)*1)</f>
        <v/>
      </c>
      <c r="E18" s="6">
        <f>IFERROR(C18/D18,0)</f>
        <v/>
      </c>
      <c r="F18" s="6">
        <f>SUMPRODUCT(('Sales Entry'!$B$5:$B$304=B18)*('Sales Entry'!$I$5:$I$304="Cash")*('Sales Entry'!$H$5:$H$304))</f>
        <v/>
      </c>
      <c r="G18" s="6">
        <f>SUMPRODUCT(('Sales Entry'!$B$5:$B$304=B18)*('Sales Entry'!$I$5:$I$304="Card")*('Sales Entry'!$H$5:$H$304))</f>
        <v/>
      </c>
      <c r="H18" s="6">
        <f>SUMPRODUCT(('Sales Entry'!$B$5:$B$304=B18)*('Sales Entry'!$I$5:$I$304="Online")*('Sales Entry'!$H$5:$H$304))</f>
        <v/>
      </c>
      <c r="I18" s="10">
        <f>SUMPRODUCT(('Sales Entry'!$B$5:$B$304=B18)*('Sales Entry'!$F$5:$F$304))</f>
        <v/>
      </c>
    </row>
    <row r="19" ht="22" customHeight="1">
      <c r="B19" s="3" t="n"/>
      <c r="C19" s="4">
        <f>SUMPRODUCT(('Sales Entry'!$B$5:$B$304=B19)*('Sales Entry'!$H$5:$H$304))</f>
        <v/>
      </c>
      <c r="D19" s="9">
        <f>SUMPRODUCT(('Sales Entry'!$B$5:$B$304=B19)*1)</f>
        <v/>
      </c>
      <c r="E19" s="4">
        <f>IFERROR(C19/D19,0)</f>
        <v/>
      </c>
      <c r="F19" s="4">
        <f>SUMPRODUCT(('Sales Entry'!$B$5:$B$304=B19)*('Sales Entry'!$I$5:$I$304="Cash")*('Sales Entry'!$H$5:$H$304))</f>
        <v/>
      </c>
      <c r="G19" s="4">
        <f>SUMPRODUCT(('Sales Entry'!$B$5:$B$304=B19)*('Sales Entry'!$I$5:$I$304="Card")*('Sales Entry'!$H$5:$H$304))</f>
        <v/>
      </c>
      <c r="H19" s="4">
        <f>SUMPRODUCT(('Sales Entry'!$B$5:$B$304=B19)*('Sales Entry'!$I$5:$I$304="Online")*('Sales Entry'!$H$5:$H$304))</f>
        <v/>
      </c>
      <c r="I19" s="9">
        <f>SUMPRODUCT(('Sales Entry'!$B$5:$B$304=B19)*('Sales Entry'!$F$5:$F$304))</f>
        <v/>
      </c>
    </row>
    <row r="20" ht="22" customHeight="1">
      <c r="B20" s="5" t="n"/>
      <c r="C20" s="6">
        <f>SUMPRODUCT(('Sales Entry'!$B$5:$B$304=B20)*('Sales Entry'!$H$5:$H$304))</f>
        <v/>
      </c>
      <c r="D20" s="10">
        <f>SUMPRODUCT(('Sales Entry'!$B$5:$B$304=B20)*1)</f>
        <v/>
      </c>
      <c r="E20" s="6">
        <f>IFERROR(C20/D20,0)</f>
        <v/>
      </c>
      <c r="F20" s="6">
        <f>SUMPRODUCT(('Sales Entry'!$B$5:$B$304=B20)*('Sales Entry'!$I$5:$I$304="Cash")*('Sales Entry'!$H$5:$H$304))</f>
        <v/>
      </c>
      <c r="G20" s="6">
        <f>SUMPRODUCT(('Sales Entry'!$B$5:$B$304=B20)*('Sales Entry'!$I$5:$I$304="Card")*('Sales Entry'!$H$5:$H$304))</f>
        <v/>
      </c>
      <c r="H20" s="6">
        <f>SUMPRODUCT(('Sales Entry'!$B$5:$B$304=B20)*('Sales Entry'!$I$5:$I$304="Online")*('Sales Entry'!$H$5:$H$304))</f>
        <v/>
      </c>
      <c r="I20" s="10">
        <f>SUMPRODUCT(('Sales Entry'!$B$5:$B$304=B20)*('Sales Entry'!$F$5:$F$304))</f>
        <v/>
      </c>
    </row>
    <row r="21" ht="22" customHeight="1">
      <c r="B21" s="3" t="n"/>
      <c r="C21" s="4">
        <f>SUMPRODUCT(('Sales Entry'!$B$5:$B$304=B21)*('Sales Entry'!$H$5:$H$304))</f>
        <v/>
      </c>
      <c r="D21" s="9">
        <f>SUMPRODUCT(('Sales Entry'!$B$5:$B$304=B21)*1)</f>
        <v/>
      </c>
      <c r="E21" s="4">
        <f>IFERROR(C21/D21,0)</f>
        <v/>
      </c>
      <c r="F21" s="4">
        <f>SUMPRODUCT(('Sales Entry'!$B$5:$B$304=B21)*('Sales Entry'!$I$5:$I$304="Cash")*('Sales Entry'!$H$5:$H$304))</f>
        <v/>
      </c>
      <c r="G21" s="4">
        <f>SUMPRODUCT(('Sales Entry'!$B$5:$B$304=B21)*('Sales Entry'!$I$5:$I$304="Card")*('Sales Entry'!$H$5:$H$304))</f>
        <v/>
      </c>
      <c r="H21" s="4">
        <f>SUMPRODUCT(('Sales Entry'!$B$5:$B$304=B21)*('Sales Entry'!$I$5:$I$304="Online")*('Sales Entry'!$H$5:$H$304))</f>
        <v/>
      </c>
      <c r="I21" s="9">
        <f>SUMPRODUCT(('Sales Entry'!$B$5:$B$304=B21)*('Sales Entry'!$F$5:$F$304))</f>
        <v/>
      </c>
    </row>
    <row r="22" ht="22" customHeight="1">
      <c r="B22" s="5" t="n"/>
      <c r="C22" s="6">
        <f>SUMPRODUCT(('Sales Entry'!$B$5:$B$304=B22)*('Sales Entry'!$H$5:$H$304))</f>
        <v/>
      </c>
      <c r="D22" s="10">
        <f>SUMPRODUCT(('Sales Entry'!$B$5:$B$304=B22)*1)</f>
        <v/>
      </c>
      <c r="E22" s="6">
        <f>IFERROR(C22/D22,0)</f>
        <v/>
      </c>
      <c r="F22" s="6">
        <f>SUMPRODUCT(('Sales Entry'!$B$5:$B$304=B22)*('Sales Entry'!$I$5:$I$304="Cash")*('Sales Entry'!$H$5:$H$304))</f>
        <v/>
      </c>
      <c r="G22" s="6">
        <f>SUMPRODUCT(('Sales Entry'!$B$5:$B$304=B22)*('Sales Entry'!$I$5:$I$304="Card")*('Sales Entry'!$H$5:$H$304))</f>
        <v/>
      </c>
      <c r="H22" s="6">
        <f>SUMPRODUCT(('Sales Entry'!$B$5:$B$304=B22)*('Sales Entry'!$I$5:$I$304="Online")*('Sales Entry'!$H$5:$H$304))</f>
        <v/>
      </c>
      <c r="I22" s="10">
        <f>SUMPRODUCT(('Sales Entry'!$B$5:$B$304=B22)*('Sales Entry'!$F$5:$F$304))</f>
        <v/>
      </c>
    </row>
    <row r="23" ht="22" customHeight="1">
      <c r="B23" s="3" t="n"/>
      <c r="C23" s="4">
        <f>SUMPRODUCT(('Sales Entry'!$B$5:$B$304=B23)*('Sales Entry'!$H$5:$H$304))</f>
        <v/>
      </c>
      <c r="D23" s="9">
        <f>SUMPRODUCT(('Sales Entry'!$B$5:$B$304=B23)*1)</f>
        <v/>
      </c>
      <c r="E23" s="4">
        <f>IFERROR(C23/D23,0)</f>
        <v/>
      </c>
      <c r="F23" s="4">
        <f>SUMPRODUCT(('Sales Entry'!$B$5:$B$304=B23)*('Sales Entry'!$I$5:$I$304="Cash")*('Sales Entry'!$H$5:$H$304))</f>
        <v/>
      </c>
      <c r="G23" s="4">
        <f>SUMPRODUCT(('Sales Entry'!$B$5:$B$304=B23)*('Sales Entry'!$I$5:$I$304="Card")*('Sales Entry'!$H$5:$H$304))</f>
        <v/>
      </c>
      <c r="H23" s="4">
        <f>SUMPRODUCT(('Sales Entry'!$B$5:$B$304=B23)*('Sales Entry'!$I$5:$I$304="Online")*('Sales Entry'!$H$5:$H$304))</f>
        <v/>
      </c>
      <c r="I23" s="9">
        <f>SUMPRODUCT(('Sales Entry'!$B$5:$B$304=B23)*('Sales Entry'!$F$5:$F$304))</f>
        <v/>
      </c>
    </row>
    <row r="24" ht="22" customHeight="1">
      <c r="B24" s="5" t="n"/>
      <c r="C24" s="6">
        <f>SUMPRODUCT(('Sales Entry'!$B$5:$B$304=B24)*('Sales Entry'!$H$5:$H$304))</f>
        <v/>
      </c>
      <c r="D24" s="10">
        <f>SUMPRODUCT(('Sales Entry'!$B$5:$B$304=B24)*1)</f>
        <v/>
      </c>
      <c r="E24" s="6">
        <f>IFERROR(C24/D24,0)</f>
        <v/>
      </c>
      <c r="F24" s="6">
        <f>SUMPRODUCT(('Sales Entry'!$B$5:$B$304=B24)*('Sales Entry'!$I$5:$I$304="Cash")*('Sales Entry'!$H$5:$H$304))</f>
        <v/>
      </c>
      <c r="G24" s="6">
        <f>SUMPRODUCT(('Sales Entry'!$B$5:$B$304=B24)*('Sales Entry'!$I$5:$I$304="Card")*('Sales Entry'!$H$5:$H$304))</f>
        <v/>
      </c>
      <c r="H24" s="6">
        <f>SUMPRODUCT(('Sales Entry'!$B$5:$B$304=B24)*('Sales Entry'!$I$5:$I$304="Online")*('Sales Entry'!$H$5:$H$304))</f>
        <v/>
      </c>
      <c r="I24" s="10">
        <f>SUMPRODUCT(('Sales Entry'!$B$5:$B$304=B24)*('Sales Entry'!$F$5:$F$304))</f>
        <v/>
      </c>
    </row>
    <row r="25" ht="22" customHeight="1">
      <c r="B25" s="3" t="n"/>
      <c r="C25" s="4">
        <f>SUMPRODUCT(('Sales Entry'!$B$5:$B$304=B25)*('Sales Entry'!$H$5:$H$304))</f>
        <v/>
      </c>
      <c r="D25" s="9">
        <f>SUMPRODUCT(('Sales Entry'!$B$5:$B$304=B25)*1)</f>
        <v/>
      </c>
      <c r="E25" s="4">
        <f>IFERROR(C25/D25,0)</f>
        <v/>
      </c>
      <c r="F25" s="4">
        <f>SUMPRODUCT(('Sales Entry'!$B$5:$B$304=B25)*('Sales Entry'!$I$5:$I$304="Cash")*('Sales Entry'!$H$5:$H$304))</f>
        <v/>
      </c>
      <c r="G25" s="4">
        <f>SUMPRODUCT(('Sales Entry'!$B$5:$B$304=B25)*('Sales Entry'!$I$5:$I$304="Card")*('Sales Entry'!$H$5:$H$304))</f>
        <v/>
      </c>
      <c r="H25" s="4">
        <f>SUMPRODUCT(('Sales Entry'!$B$5:$B$304=B25)*('Sales Entry'!$I$5:$I$304="Online")*('Sales Entry'!$H$5:$H$304))</f>
        <v/>
      </c>
      <c r="I25" s="9">
        <f>SUMPRODUCT(('Sales Entry'!$B$5:$B$304=B25)*('Sales Entry'!$F$5:$F$304))</f>
        <v/>
      </c>
    </row>
    <row r="26" ht="22" customHeight="1">
      <c r="B26" s="5" t="n"/>
      <c r="C26" s="6">
        <f>SUMPRODUCT(('Sales Entry'!$B$5:$B$304=B26)*('Sales Entry'!$H$5:$H$304))</f>
        <v/>
      </c>
      <c r="D26" s="10">
        <f>SUMPRODUCT(('Sales Entry'!$B$5:$B$304=B26)*1)</f>
        <v/>
      </c>
      <c r="E26" s="6">
        <f>IFERROR(C26/D26,0)</f>
        <v/>
      </c>
      <c r="F26" s="6">
        <f>SUMPRODUCT(('Sales Entry'!$B$5:$B$304=B26)*('Sales Entry'!$I$5:$I$304="Cash")*('Sales Entry'!$H$5:$H$304))</f>
        <v/>
      </c>
      <c r="G26" s="6">
        <f>SUMPRODUCT(('Sales Entry'!$B$5:$B$304=B26)*('Sales Entry'!$I$5:$I$304="Card")*('Sales Entry'!$H$5:$H$304))</f>
        <v/>
      </c>
      <c r="H26" s="6">
        <f>SUMPRODUCT(('Sales Entry'!$B$5:$B$304=B26)*('Sales Entry'!$I$5:$I$304="Online")*('Sales Entry'!$H$5:$H$304))</f>
        <v/>
      </c>
      <c r="I26" s="10">
        <f>SUMPRODUCT(('Sales Entry'!$B$5:$B$304=B26)*('Sales Entry'!$F$5:$F$304))</f>
        <v/>
      </c>
    </row>
    <row r="27" ht="22" customHeight="1">
      <c r="B27" s="3" t="n"/>
      <c r="C27" s="4">
        <f>SUMPRODUCT(('Sales Entry'!$B$5:$B$304=B27)*('Sales Entry'!$H$5:$H$304))</f>
        <v/>
      </c>
      <c r="D27" s="9">
        <f>SUMPRODUCT(('Sales Entry'!$B$5:$B$304=B27)*1)</f>
        <v/>
      </c>
      <c r="E27" s="4">
        <f>IFERROR(C27/D27,0)</f>
        <v/>
      </c>
      <c r="F27" s="4">
        <f>SUMPRODUCT(('Sales Entry'!$B$5:$B$304=B27)*('Sales Entry'!$I$5:$I$304="Cash")*('Sales Entry'!$H$5:$H$304))</f>
        <v/>
      </c>
      <c r="G27" s="4">
        <f>SUMPRODUCT(('Sales Entry'!$B$5:$B$304=B27)*('Sales Entry'!$I$5:$I$304="Card")*('Sales Entry'!$H$5:$H$304))</f>
        <v/>
      </c>
      <c r="H27" s="4">
        <f>SUMPRODUCT(('Sales Entry'!$B$5:$B$304=B27)*('Sales Entry'!$I$5:$I$304="Online")*('Sales Entry'!$H$5:$H$304))</f>
        <v/>
      </c>
      <c r="I27" s="9">
        <f>SUMPRODUCT(('Sales Entry'!$B$5:$B$304=B27)*('Sales Entry'!$F$5:$F$304))</f>
        <v/>
      </c>
    </row>
    <row r="28" ht="22" customHeight="1">
      <c r="B28" s="5" t="n"/>
      <c r="C28" s="6">
        <f>SUMPRODUCT(('Sales Entry'!$B$5:$B$304=B28)*('Sales Entry'!$H$5:$H$304))</f>
        <v/>
      </c>
      <c r="D28" s="10">
        <f>SUMPRODUCT(('Sales Entry'!$B$5:$B$304=B28)*1)</f>
        <v/>
      </c>
      <c r="E28" s="6">
        <f>IFERROR(C28/D28,0)</f>
        <v/>
      </c>
      <c r="F28" s="6">
        <f>SUMPRODUCT(('Sales Entry'!$B$5:$B$304=B28)*('Sales Entry'!$I$5:$I$304="Cash")*('Sales Entry'!$H$5:$H$304))</f>
        <v/>
      </c>
      <c r="G28" s="6">
        <f>SUMPRODUCT(('Sales Entry'!$B$5:$B$304=B28)*('Sales Entry'!$I$5:$I$304="Card")*('Sales Entry'!$H$5:$H$304))</f>
        <v/>
      </c>
      <c r="H28" s="6">
        <f>SUMPRODUCT(('Sales Entry'!$B$5:$B$304=B28)*('Sales Entry'!$I$5:$I$304="Online")*('Sales Entry'!$H$5:$H$304))</f>
        <v/>
      </c>
      <c r="I28" s="10">
        <f>SUMPRODUCT(('Sales Entry'!$B$5:$B$304=B28)*('Sales Entry'!$F$5:$F$304))</f>
        <v/>
      </c>
    </row>
    <row r="29" ht="22" customHeight="1">
      <c r="B29" s="3" t="n"/>
      <c r="C29" s="4">
        <f>SUMPRODUCT(('Sales Entry'!$B$5:$B$304=B29)*('Sales Entry'!$H$5:$H$304))</f>
        <v/>
      </c>
      <c r="D29" s="9">
        <f>SUMPRODUCT(('Sales Entry'!$B$5:$B$304=B29)*1)</f>
        <v/>
      </c>
      <c r="E29" s="4">
        <f>IFERROR(C29/D29,0)</f>
        <v/>
      </c>
      <c r="F29" s="4">
        <f>SUMPRODUCT(('Sales Entry'!$B$5:$B$304=B29)*('Sales Entry'!$I$5:$I$304="Cash")*('Sales Entry'!$H$5:$H$304))</f>
        <v/>
      </c>
      <c r="G29" s="4">
        <f>SUMPRODUCT(('Sales Entry'!$B$5:$B$304=B29)*('Sales Entry'!$I$5:$I$304="Card")*('Sales Entry'!$H$5:$H$304))</f>
        <v/>
      </c>
      <c r="H29" s="4">
        <f>SUMPRODUCT(('Sales Entry'!$B$5:$B$304=B29)*('Sales Entry'!$I$5:$I$304="Online")*('Sales Entry'!$H$5:$H$304))</f>
        <v/>
      </c>
      <c r="I29" s="9">
        <f>SUMPRODUCT(('Sales Entry'!$B$5:$B$304=B29)*('Sales Entry'!$F$5:$F$304))</f>
        <v/>
      </c>
    </row>
    <row r="30" ht="22" customHeight="1">
      <c r="B30" s="5" t="n"/>
      <c r="C30" s="6">
        <f>SUMPRODUCT(('Sales Entry'!$B$5:$B$304=B30)*('Sales Entry'!$H$5:$H$304))</f>
        <v/>
      </c>
      <c r="D30" s="10">
        <f>SUMPRODUCT(('Sales Entry'!$B$5:$B$304=B30)*1)</f>
        <v/>
      </c>
      <c r="E30" s="6">
        <f>IFERROR(C30/D30,0)</f>
        <v/>
      </c>
      <c r="F30" s="6">
        <f>SUMPRODUCT(('Sales Entry'!$B$5:$B$304=B30)*('Sales Entry'!$I$5:$I$304="Cash")*('Sales Entry'!$H$5:$H$304))</f>
        <v/>
      </c>
      <c r="G30" s="6">
        <f>SUMPRODUCT(('Sales Entry'!$B$5:$B$304=B30)*('Sales Entry'!$I$5:$I$304="Card")*('Sales Entry'!$H$5:$H$304))</f>
        <v/>
      </c>
      <c r="H30" s="6">
        <f>SUMPRODUCT(('Sales Entry'!$B$5:$B$304=B30)*('Sales Entry'!$I$5:$I$304="Online")*('Sales Entry'!$H$5:$H$304))</f>
        <v/>
      </c>
      <c r="I30" s="10">
        <f>SUMPRODUCT(('Sales Entry'!$B$5:$B$304=B30)*('Sales Entry'!$F$5:$F$304))</f>
        <v/>
      </c>
    </row>
    <row r="31" ht="22" customHeight="1">
      <c r="B31" s="3" t="n"/>
      <c r="C31" s="4">
        <f>SUMPRODUCT(('Sales Entry'!$B$5:$B$304=B31)*('Sales Entry'!$H$5:$H$304))</f>
        <v/>
      </c>
      <c r="D31" s="9">
        <f>SUMPRODUCT(('Sales Entry'!$B$5:$B$304=B31)*1)</f>
        <v/>
      </c>
      <c r="E31" s="4">
        <f>IFERROR(C31/D31,0)</f>
        <v/>
      </c>
      <c r="F31" s="4">
        <f>SUMPRODUCT(('Sales Entry'!$B$5:$B$304=B31)*('Sales Entry'!$I$5:$I$304="Cash")*('Sales Entry'!$H$5:$H$304))</f>
        <v/>
      </c>
      <c r="G31" s="4">
        <f>SUMPRODUCT(('Sales Entry'!$B$5:$B$304=B31)*('Sales Entry'!$I$5:$I$304="Card")*('Sales Entry'!$H$5:$H$304))</f>
        <v/>
      </c>
      <c r="H31" s="4">
        <f>SUMPRODUCT(('Sales Entry'!$B$5:$B$304=B31)*('Sales Entry'!$I$5:$I$304="Online")*('Sales Entry'!$H$5:$H$304))</f>
        <v/>
      </c>
      <c r="I31" s="9">
        <f>SUMPRODUCT(('Sales Entry'!$B$5:$B$304=B31)*('Sales Entry'!$F$5:$F$304))</f>
        <v/>
      </c>
    </row>
    <row r="32" ht="22" customHeight="1">
      <c r="B32" s="5" t="n"/>
      <c r="C32" s="6">
        <f>SUMPRODUCT(('Sales Entry'!$B$5:$B$304=B32)*('Sales Entry'!$H$5:$H$304))</f>
        <v/>
      </c>
      <c r="D32" s="10">
        <f>SUMPRODUCT(('Sales Entry'!$B$5:$B$304=B32)*1)</f>
        <v/>
      </c>
      <c r="E32" s="6">
        <f>IFERROR(C32/D32,0)</f>
        <v/>
      </c>
      <c r="F32" s="6">
        <f>SUMPRODUCT(('Sales Entry'!$B$5:$B$304=B32)*('Sales Entry'!$I$5:$I$304="Cash")*('Sales Entry'!$H$5:$H$304))</f>
        <v/>
      </c>
      <c r="G32" s="6">
        <f>SUMPRODUCT(('Sales Entry'!$B$5:$B$304=B32)*('Sales Entry'!$I$5:$I$304="Card")*('Sales Entry'!$H$5:$H$304))</f>
        <v/>
      </c>
      <c r="H32" s="6">
        <f>SUMPRODUCT(('Sales Entry'!$B$5:$B$304=B32)*('Sales Entry'!$I$5:$I$304="Online")*('Sales Entry'!$H$5:$H$304))</f>
        <v/>
      </c>
      <c r="I32" s="10">
        <f>SUMPRODUCT(('Sales Entry'!$B$5:$B$304=B32)*('Sales Entry'!$F$5:$F$304))</f>
        <v/>
      </c>
    </row>
    <row r="33" ht="22" customHeight="1">
      <c r="B33" s="3" t="n"/>
      <c r="C33" s="4">
        <f>SUMPRODUCT(('Sales Entry'!$B$5:$B$304=B33)*('Sales Entry'!$H$5:$H$304))</f>
        <v/>
      </c>
      <c r="D33" s="9">
        <f>SUMPRODUCT(('Sales Entry'!$B$5:$B$304=B33)*1)</f>
        <v/>
      </c>
      <c r="E33" s="4">
        <f>IFERROR(C33/D33,0)</f>
        <v/>
      </c>
      <c r="F33" s="4">
        <f>SUMPRODUCT(('Sales Entry'!$B$5:$B$304=B33)*('Sales Entry'!$I$5:$I$304="Cash")*('Sales Entry'!$H$5:$H$304))</f>
        <v/>
      </c>
      <c r="G33" s="4">
        <f>SUMPRODUCT(('Sales Entry'!$B$5:$B$304=B33)*('Sales Entry'!$I$5:$I$304="Card")*('Sales Entry'!$H$5:$H$304))</f>
        <v/>
      </c>
      <c r="H33" s="4">
        <f>SUMPRODUCT(('Sales Entry'!$B$5:$B$304=B33)*('Sales Entry'!$I$5:$I$304="Online")*('Sales Entry'!$H$5:$H$304))</f>
        <v/>
      </c>
      <c r="I33" s="9">
        <f>SUMPRODUCT(('Sales Entry'!$B$5:$B$304=B33)*('Sales Entry'!$F$5:$F$304))</f>
        <v/>
      </c>
    </row>
    <row r="34" ht="22" customHeight="1">
      <c r="B34" s="5" t="n"/>
      <c r="C34" s="6">
        <f>SUMPRODUCT(('Sales Entry'!$B$5:$B$304=B34)*('Sales Entry'!$H$5:$H$304))</f>
        <v/>
      </c>
      <c r="D34" s="10">
        <f>SUMPRODUCT(('Sales Entry'!$B$5:$B$304=B34)*1)</f>
        <v/>
      </c>
      <c r="E34" s="6">
        <f>IFERROR(C34/D34,0)</f>
        <v/>
      </c>
      <c r="F34" s="6">
        <f>SUMPRODUCT(('Sales Entry'!$B$5:$B$304=B34)*('Sales Entry'!$I$5:$I$304="Cash")*('Sales Entry'!$H$5:$H$304))</f>
        <v/>
      </c>
      <c r="G34" s="6">
        <f>SUMPRODUCT(('Sales Entry'!$B$5:$B$304=B34)*('Sales Entry'!$I$5:$I$304="Card")*('Sales Entry'!$H$5:$H$304))</f>
        <v/>
      </c>
      <c r="H34" s="6">
        <f>SUMPRODUCT(('Sales Entry'!$B$5:$B$304=B34)*('Sales Entry'!$I$5:$I$304="Online")*('Sales Entry'!$H$5:$H$304))</f>
        <v/>
      </c>
      <c r="I34" s="10">
        <f>SUMPRODUCT(('Sales Entry'!$B$5:$B$304=B34)*('Sales Entry'!$F$5:$F$304))</f>
        <v/>
      </c>
    </row>
    <row r="35" ht="22" customHeight="1">
      <c r="B35" s="3" t="n"/>
      <c r="C35" s="4">
        <f>SUMPRODUCT(('Sales Entry'!$B$5:$B$304=B35)*('Sales Entry'!$H$5:$H$304))</f>
        <v/>
      </c>
      <c r="D35" s="9">
        <f>SUMPRODUCT(('Sales Entry'!$B$5:$B$304=B35)*1)</f>
        <v/>
      </c>
      <c r="E35" s="4">
        <f>IFERROR(C35/D35,0)</f>
        <v/>
      </c>
      <c r="F35" s="4">
        <f>SUMPRODUCT(('Sales Entry'!$B$5:$B$304=B35)*('Sales Entry'!$I$5:$I$304="Cash")*('Sales Entry'!$H$5:$H$304))</f>
        <v/>
      </c>
      <c r="G35" s="4">
        <f>SUMPRODUCT(('Sales Entry'!$B$5:$B$304=B35)*('Sales Entry'!$I$5:$I$304="Card")*('Sales Entry'!$H$5:$H$304))</f>
        <v/>
      </c>
      <c r="H35" s="4">
        <f>SUMPRODUCT(('Sales Entry'!$B$5:$B$304=B35)*('Sales Entry'!$I$5:$I$304="Online")*('Sales Entry'!$H$5:$H$304))</f>
        <v/>
      </c>
      <c r="I35" s="9">
        <f>SUMPRODUCT(('Sales Entry'!$B$5:$B$304=B35)*('Sales Entry'!$F$5:$F$304))</f>
        <v/>
      </c>
    </row>
    <row r="36" ht="26" customHeight="1">
      <c r="B36" s="7" t="inlineStr">
        <is>
          <t>TOTALS</t>
        </is>
      </c>
      <c r="C36" s="8">
        <f>SUM(C5:C35)</f>
        <v/>
      </c>
      <c r="D36" s="11">
        <f>SUM(D5:D35)</f>
        <v/>
      </c>
      <c r="E36" s="8">
        <f>IFERROR(C36/D36,0)</f>
        <v/>
      </c>
      <c r="F36" s="8">
        <f>SUM(F5:F35)</f>
        <v/>
      </c>
      <c r="G36" s="8">
        <f>SUM(G5:G35)</f>
        <v/>
      </c>
      <c r="H36" s="8">
        <f>SUM(H5:H35)</f>
        <v/>
      </c>
      <c r="I36" s="11">
        <f>SUM(I5:I35)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B2:H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15" customHeight="1"/>
    <row r="2" ht="32" customHeight="1">
      <c r="B2" s="1" t="inlineStr">
        <is>
          <t>Weekly Summary</t>
        </is>
      </c>
    </row>
    <row r="3" ht="8" customHeight="1"/>
    <row r="4" ht="28" customHeight="1">
      <c r="B4" s="2" t="inlineStr">
        <is>
          <t>Week #</t>
        </is>
      </c>
      <c r="C4" s="2" t="inlineStr">
        <is>
          <t>Week Start</t>
        </is>
      </c>
      <c r="D4" s="2" t="inlineStr">
        <is>
          <t>Week End</t>
        </is>
      </c>
      <c r="E4" s="2" t="inlineStr">
        <is>
          <t>Total Sales</t>
        </is>
      </c>
      <c r="F4" s="2" t="inlineStr">
        <is>
          <t># Transactions</t>
        </is>
      </c>
      <c r="G4" s="2" t="inlineStr">
        <is>
          <t>Avg Transaction</t>
        </is>
      </c>
      <c r="H4" s="2" t="inlineStr">
        <is>
          <t>Top Staff</t>
        </is>
      </c>
    </row>
    <row r="5" ht="22" customHeight="1">
      <c r="B5" s="3" t="n">
        <v>1</v>
      </c>
      <c r="C5" s="3" t="n"/>
      <c r="D5" s="3" t="n"/>
      <c r="E5" s="4">
        <f>SUMPRODUCT(('Daily Summary'!$B$5:$B$35&gt;=C5)*('Daily Summary'!$B$5:$B$35&lt;=D5)*('Daily Summary'!$C$5:$C$35))</f>
        <v/>
      </c>
      <c r="F5" s="9">
        <f>SUMPRODUCT(('Daily Summary'!$B$5:$B$35&gt;=C5)*('Daily Summary'!$B$5:$B$35&lt;=D5)*('Daily Summary'!$D$5:$D$35))</f>
        <v/>
      </c>
      <c r="G5" s="4">
        <f>IFERROR(E5/F5,0)</f>
        <v/>
      </c>
      <c r="H5" s="3" t="inlineStr"/>
    </row>
    <row r="6" ht="22" customHeight="1">
      <c r="B6" s="5" t="n">
        <v>2</v>
      </c>
      <c r="C6" s="5" t="n"/>
      <c r="D6" s="5" t="n"/>
      <c r="E6" s="6">
        <f>SUMPRODUCT(('Daily Summary'!$B$5:$B$35&gt;=C6)*('Daily Summary'!$B$5:$B$35&lt;=D6)*('Daily Summary'!$C$5:$C$35))</f>
        <v/>
      </c>
      <c r="F6" s="10">
        <f>SUMPRODUCT(('Daily Summary'!$B$5:$B$35&gt;=C6)*('Daily Summary'!$B$5:$B$35&lt;=D6)*('Daily Summary'!$D$5:$D$35))</f>
        <v/>
      </c>
      <c r="G6" s="6">
        <f>IFERROR(E6/F6,0)</f>
        <v/>
      </c>
      <c r="H6" s="5" t="inlineStr"/>
    </row>
    <row r="7" ht="22" customHeight="1">
      <c r="B7" s="3" t="n">
        <v>3</v>
      </c>
      <c r="C7" s="3" t="n"/>
      <c r="D7" s="3" t="n"/>
      <c r="E7" s="4">
        <f>SUMPRODUCT(('Daily Summary'!$B$5:$B$35&gt;=C7)*('Daily Summary'!$B$5:$B$35&lt;=D7)*('Daily Summary'!$C$5:$C$35))</f>
        <v/>
      </c>
      <c r="F7" s="9">
        <f>SUMPRODUCT(('Daily Summary'!$B$5:$B$35&gt;=C7)*('Daily Summary'!$B$5:$B$35&lt;=D7)*('Daily Summary'!$D$5:$D$35))</f>
        <v/>
      </c>
      <c r="G7" s="4">
        <f>IFERROR(E7/F7,0)</f>
        <v/>
      </c>
      <c r="H7" s="3" t="inlineStr"/>
    </row>
    <row r="8" ht="22" customHeight="1">
      <c r="B8" s="5" t="n">
        <v>4</v>
      </c>
      <c r="C8" s="5" t="n"/>
      <c r="D8" s="5" t="n"/>
      <c r="E8" s="6">
        <f>SUMPRODUCT(('Daily Summary'!$B$5:$B$35&gt;=C8)*('Daily Summary'!$B$5:$B$35&lt;=D8)*('Daily Summary'!$C$5:$C$35))</f>
        <v/>
      </c>
      <c r="F8" s="10">
        <f>SUMPRODUCT(('Daily Summary'!$B$5:$B$35&gt;=C8)*('Daily Summary'!$B$5:$B$35&lt;=D8)*('Daily Summary'!$D$5:$D$35))</f>
        <v/>
      </c>
      <c r="G8" s="6">
        <f>IFERROR(E8/F8,0)</f>
        <v/>
      </c>
      <c r="H8" s="5" t="inlineStr"/>
    </row>
    <row r="9" ht="22" customHeight="1">
      <c r="B9" s="3" t="n">
        <v>5</v>
      </c>
      <c r="C9" s="3" t="n"/>
      <c r="D9" s="3" t="n"/>
      <c r="E9" s="4">
        <f>SUMPRODUCT(('Daily Summary'!$B$5:$B$35&gt;=C9)*('Daily Summary'!$B$5:$B$35&lt;=D9)*('Daily Summary'!$C$5:$C$35))</f>
        <v/>
      </c>
      <c r="F9" s="9">
        <f>SUMPRODUCT(('Daily Summary'!$B$5:$B$35&gt;=C9)*('Daily Summary'!$B$5:$B$35&lt;=D9)*('Daily Summary'!$D$5:$D$35))</f>
        <v/>
      </c>
      <c r="G9" s="4">
        <f>IFERROR(E9/F9,0)</f>
        <v/>
      </c>
      <c r="H9" s="3" t="inlineStr"/>
    </row>
    <row r="10" ht="22" customHeight="1">
      <c r="B10" s="5" t="n">
        <v>6</v>
      </c>
      <c r="C10" s="5" t="n"/>
      <c r="D10" s="5" t="n"/>
      <c r="E10" s="6">
        <f>SUMPRODUCT(('Daily Summary'!$B$5:$B$35&gt;=C10)*('Daily Summary'!$B$5:$B$35&lt;=D10)*('Daily Summary'!$C$5:$C$35))</f>
        <v/>
      </c>
      <c r="F10" s="10">
        <f>SUMPRODUCT(('Daily Summary'!$B$5:$B$35&gt;=C10)*('Daily Summary'!$B$5:$B$35&lt;=D10)*('Daily Summary'!$D$5:$D$35))</f>
        <v/>
      </c>
      <c r="G10" s="6">
        <f>IFERROR(E10/F10,0)</f>
        <v/>
      </c>
      <c r="H10" s="5" t="inlineStr"/>
    </row>
    <row r="11" ht="22" customHeight="1">
      <c r="B11" s="3" t="n">
        <v>7</v>
      </c>
      <c r="C11" s="3" t="n"/>
      <c r="D11" s="3" t="n"/>
      <c r="E11" s="4">
        <f>SUMPRODUCT(('Daily Summary'!$B$5:$B$35&gt;=C11)*('Daily Summary'!$B$5:$B$35&lt;=D11)*('Daily Summary'!$C$5:$C$35))</f>
        <v/>
      </c>
      <c r="F11" s="9">
        <f>SUMPRODUCT(('Daily Summary'!$B$5:$B$35&gt;=C11)*('Daily Summary'!$B$5:$B$35&lt;=D11)*('Daily Summary'!$D$5:$D$35))</f>
        <v/>
      </c>
      <c r="G11" s="4">
        <f>IFERROR(E11/F11,0)</f>
        <v/>
      </c>
      <c r="H11" s="3" t="inlineStr"/>
    </row>
    <row r="12" ht="22" customHeight="1">
      <c r="B12" s="5" t="n">
        <v>8</v>
      </c>
      <c r="C12" s="5" t="n"/>
      <c r="D12" s="5" t="n"/>
      <c r="E12" s="6">
        <f>SUMPRODUCT(('Daily Summary'!$B$5:$B$35&gt;=C12)*('Daily Summary'!$B$5:$B$35&lt;=D12)*('Daily Summary'!$C$5:$C$35))</f>
        <v/>
      </c>
      <c r="F12" s="10">
        <f>SUMPRODUCT(('Daily Summary'!$B$5:$B$35&gt;=C12)*('Daily Summary'!$B$5:$B$35&lt;=D12)*('Daily Summary'!$D$5:$D$35))</f>
        <v/>
      </c>
      <c r="G12" s="6">
        <f>IFERROR(E12/F12,0)</f>
        <v/>
      </c>
      <c r="H12" s="5" t="inlineStr"/>
    </row>
    <row r="13" ht="22" customHeight="1">
      <c r="B13" s="3" t="n">
        <v>9</v>
      </c>
      <c r="C13" s="3" t="n"/>
      <c r="D13" s="3" t="n"/>
      <c r="E13" s="4">
        <f>SUMPRODUCT(('Daily Summary'!$B$5:$B$35&gt;=C13)*('Daily Summary'!$B$5:$B$35&lt;=D13)*('Daily Summary'!$C$5:$C$35))</f>
        <v/>
      </c>
      <c r="F13" s="9">
        <f>SUMPRODUCT(('Daily Summary'!$B$5:$B$35&gt;=C13)*('Daily Summary'!$B$5:$B$35&lt;=D13)*('Daily Summary'!$D$5:$D$35))</f>
        <v/>
      </c>
      <c r="G13" s="4">
        <f>IFERROR(E13/F13,0)</f>
        <v/>
      </c>
      <c r="H13" s="3" t="inlineStr"/>
    </row>
    <row r="14" ht="22" customHeight="1">
      <c r="B14" s="5" t="n">
        <v>10</v>
      </c>
      <c r="C14" s="5" t="n"/>
      <c r="D14" s="5" t="n"/>
      <c r="E14" s="6">
        <f>SUMPRODUCT(('Daily Summary'!$B$5:$B$35&gt;=C14)*('Daily Summary'!$B$5:$B$35&lt;=D14)*('Daily Summary'!$C$5:$C$35))</f>
        <v/>
      </c>
      <c r="F14" s="10">
        <f>SUMPRODUCT(('Daily Summary'!$B$5:$B$35&gt;=C14)*('Daily Summary'!$B$5:$B$35&lt;=D14)*('Daily Summary'!$D$5:$D$35))</f>
        <v/>
      </c>
      <c r="G14" s="6">
        <f>IFERROR(E14/F14,0)</f>
        <v/>
      </c>
      <c r="H14" s="5" t="inlineStr"/>
    </row>
    <row r="15" ht="22" customHeight="1">
      <c r="B15" s="3" t="n">
        <v>11</v>
      </c>
      <c r="C15" s="3" t="n"/>
      <c r="D15" s="3" t="n"/>
      <c r="E15" s="4">
        <f>SUMPRODUCT(('Daily Summary'!$B$5:$B$35&gt;=C15)*('Daily Summary'!$B$5:$B$35&lt;=D15)*('Daily Summary'!$C$5:$C$35))</f>
        <v/>
      </c>
      <c r="F15" s="9">
        <f>SUMPRODUCT(('Daily Summary'!$B$5:$B$35&gt;=C15)*('Daily Summary'!$B$5:$B$35&lt;=D15)*('Daily Summary'!$D$5:$D$35))</f>
        <v/>
      </c>
      <c r="G15" s="4">
        <f>IFERROR(E15/F15,0)</f>
        <v/>
      </c>
      <c r="H15" s="3" t="inlineStr"/>
    </row>
    <row r="16" ht="22" customHeight="1">
      <c r="B16" s="5" t="n">
        <v>12</v>
      </c>
      <c r="C16" s="5" t="n"/>
      <c r="D16" s="5" t="n"/>
      <c r="E16" s="6">
        <f>SUMPRODUCT(('Daily Summary'!$B$5:$B$35&gt;=C16)*('Daily Summary'!$B$5:$B$35&lt;=D16)*('Daily Summary'!$C$5:$C$35))</f>
        <v/>
      </c>
      <c r="F16" s="10">
        <f>SUMPRODUCT(('Daily Summary'!$B$5:$B$35&gt;=C16)*('Daily Summary'!$B$5:$B$35&lt;=D16)*('Daily Summary'!$D$5:$D$35))</f>
        <v/>
      </c>
      <c r="G16" s="6">
        <f>IFERROR(E16/F16,0)</f>
        <v/>
      </c>
      <c r="H16" s="5" t="inlineStr"/>
    </row>
    <row r="17" ht="22" customHeight="1">
      <c r="B17" s="3" t="n">
        <v>13</v>
      </c>
      <c r="C17" s="3" t="n"/>
      <c r="D17" s="3" t="n"/>
      <c r="E17" s="4">
        <f>SUMPRODUCT(('Daily Summary'!$B$5:$B$35&gt;=C17)*('Daily Summary'!$B$5:$B$35&lt;=D17)*('Daily Summary'!$C$5:$C$35))</f>
        <v/>
      </c>
      <c r="F17" s="9">
        <f>SUMPRODUCT(('Daily Summary'!$B$5:$B$35&gt;=C17)*('Daily Summary'!$B$5:$B$35&lt;=D17)*('Daily Summary'!$D$5:$D$35))</f>
        <v/>
      </c>
      <c r="G17" s="4">
        <f>IFERROR(E17/F17,0)</f>
        <v/>
      </c>
      <c r="H17" s="3" t="inlineStr"/>
    </row>
    <row r="18" ht="22" customHeight="1">
      <c r="B18" s="5" t="n">
        <v>14</v>
      </c>
      <c r="C18" s="5" t="n"/>
      <c r="D18" s="5" t="n"/>
      <c r="E18" s="6">
        <f>SUMPRODUCT(('Daily Summary'!$B$5:$B$35&gt;=C18)*('Daily Summary'!$B$5:$B$35&lt;=D18)*('Daily Summary'!$C$5:$C$35))</f>
        <v/>
      </c>
      <c r="F18" s="10">
        <f>SUMPRODUCT(('Daily Summary'!$B$5:$B$35&gt;=C18)*('Daily Summary'!$B$5:$B$35&lt;=D18)*('Daily Summary'!$D$5:$D$35))</f>
        <v/>
      </c>
      <c r="G18" s="6">
        <f>IFERROR(E18/F18,0)</f>
        <v/>
      </c>
      <c r="H18" s="5" t="inlineStr"/>
    </row>
    <row r="19" ht="22" customHeight="1">
      <c r="B19" s="3" t="n">
        <v>15</v>
      </c>
      <c r="C19" s="3" t="n"/>
      <c r="D19" s="3" t="n"/>
      <c r="E19" s="4">
        <f>SUMPRODUCT(('Daily Summary'!$B$5:$B$35&gt;=C19)*('Daily Summary'!$B$5:$B$35&lt;=D19)*('Daily Summary'!$C$5:$C$35))</f>
        <v/>
      </c>
      <c r="F19" s="9">
        <f>SUMPRODUCT(('Daily Summary'!$B$5:$B$35&gt;=C19)*('Daily Summary'!$B$5:$B$35&lt;=D19)*('Daily Summary'!$D$5:$D$35))</f>
        <v/>
      </c>
      <c r="G19" s="4">
        <f>IFERROR(E19/F19,0)</f>
        <v/>
      </c>
      <c r="H19" s="3" t="inlineStr"/>
    </row>
    <row r="20" ht="22" customHeight="1">
      <c r="B20" s="5" t="n">
        <v>16</v>
      </c>
      <c r="C20" s="5" t="n"/>
      <c r="D20" s="5" t="n"/>
      <c r="E20" s="6">
        <f>SUMPRODUCT(('Daily Summary'!$B$5:$B$35&gt;=C20)*('Daily Summary'!$B$5:$B$35&lt;=D20)*('Daily Summary'!$C$5:$C$35))</f>
        <v/>
      </c>
      <c r="F20" s="10">
        <f>SUMPRODUCT(('Daily Summary'!$B$5:$B$35&gt;=C20)*('Daily Summary'!$B$5:$B$35&lt;=D20)*('Daily Summary'!$D$5:$D$35))</f>
        <v/>
      </c>
      <c r="G20" s="6">
        <f>IFERROR(E20/F20,0)</f>
        <v/>
      </c>
      <c r="H20" s="5" t="inlineStr"/>
    </row>
    <row r="21" ht="22" customHeight="1">
      <c r="B21" s="3" t="n">
        <v>17</v>
      </c>
      <c r="C21" s="3" t="n"/>
      <c r="D21" s="3" t="n"/>
      <c r="E21" s="4">
        <f>SUMPRODUCT(('Daily Summary'!$B$5:$B$35&gt;=C21)*('Daily Summary'!$B$5:$B$35&lt;=D21)*('Daily Summary'!$C$5:$C$35))</f>
        <v/>
      </c>
      <c r="F21" s="9">
        <f>SUMPRODUCT(('Daily Summary'!$B$5:$B$35&gt;=C21)*('Daily Summary'!$B$5:$B$35&lt;=D21)*('Daily Summary'!$D$5:$D$35))</f>
        <v/>
      </c>
      <c r="G21" s="4">
        <f>IFERROR(E21/F21,0)</f>
        <v/>
      </c>
      <c r="H21" s="3" t="inlineStr"/>
    </row>
    <row r="22" ht="22" customHeight="1">
      <c r="B22" s="5" t="n">
        <v>18</v>
      </c>
      <c r="C22" s="5" t="n"/>
      <c r="D22" s="5" t="n"/>
      <c r="E22" s="6">
        <f>SUMPRODUCT(('Daily Summary'!$B$5:$B$35&gt;=C22)*('Daily Summary'!$B$5:$B$35&lt;=D22)*('Daily Summary'!$C$5:$C$35))</f>
        <v/>
      </c>
      <c r="F22" s="10">
        <f>SUMPRODUCT(('Daily Summary'!$B$5:$B$35&gt;=C22)*('Daily Summary'!$B$5:$B$35&lt;=D22)*('Daily Summary'!$D$5:$D$35))</f>
        <v/>
      </c>
      <c r="G22" s="6">
        <f>IFERROR(E22/F22,0)</f>
        <v/>
      </c>
      <c r="H22" s="5" t="inlineStr"/>
    </row>
    <row r="23" ht="22" customHeight="1">
      <c r="B23" s="3" t="n">
        <v>19</v>
      </c>
      <c r="C23" s="3" t="n"/>
      <c r="D23" s="3" t="n"/>
      <c r="E23" s="4">
        <f>SUMPRODUCT(('Daily Summary'!$B$5:$B$35&gt;=C23)*('Daily Summary'!$B$5:$B$35&lt;=D23)*('Daily Summary'!$C$5:$C$35))</f>
        <v/>
      </c>
      <c r="F23" s="9">
        <f>SUMPRODUCT(('Daily Summary'!$B$5:$B$35&gt;=C23)*('Daily Summary'!$B$5:$B$35&lt;=D23)*('Daily Summary'!$D$5:$D$35))</f>
        <v/>
      </c>
      <c r="G23" s="4">
        <f>IFERROR(E23/F23,0)</f>
        <v/>
      </c>
      <c r="H23" s="3" t="inlineStr"/>
    </row>
    <row r="24" ht="22" customHeight="1">
      <c r="B24" s="5" t="n">
        <v>20</v>
      </c>
      <c r="C24" s="5" t="n"/>
      <c r="D24" s="5" t="n"/>
      <c r="E24" s="6">
        <f>SUMPRODUCT(('Daily Summary'!$B$5:$B$35&gt;=C24)*('Daily Summary'!$B$5:$B$35&lt;=D24)*('Daily Summary'!$C$5:$C$35))</f>
        <v/>
      </c>
      <c r="F24" s="10">
        <f>SUMPRODUCT(('Daily Summary'!$B$5:$B$35&gt;=C24)*('Daily Summary'!$B$5:$B$35&lt;=D24)*('Daily Summary'!$D$5:$D$35))</f>
        <v/>
      </c>
      <c r="G24" s="6">
        <f>IFERROR(E24/F24,0)</f>
        <v/>
      </c>
      <c r="H24" s="5" t="inlineStr"/>
    </row>
    <row r="25" ht="22" customHeight="1">
      <c r="B25" s="3" t="n">
        <v>21</v>
      </c>
      <c r="C25" s="3" t="n"/>
      <c r="D25" s="3" t="n"/>
      <c r="E25" s="4">
        <f>SUMPRODUCT(('Daily Summary'!$B$5:$B$35&gt;=C25)*('Daily Summary'!$B$5:$B$35&lt;=D25)*('Daily Summary'!$C$5:$C$35))</f>
        <v/>
      </c>
      <c r="F25" s="9">
        <f>SUMPRODUCT(('Daily Summary'!$B$5:$B$35&gt;=C25)*('Daily Summary'!$B$5:$B$35&lt;=D25)*('Daily Summary'!$D$5:$D$35))</f>
        <v/>
      </c>
      <c r="G25" s="4">
        <f>IFERROR(E25/F25,0)</f>
        <v/>
      </c>
      <c r="H25" s="3" t="inlineStr"/>
    </row>
    <row r="26" ht="22" customHeight="1">
      <c r="B26" s="5" t="n">
        <v>22</v>
      </c>
      <c r="C26" s="5" t="n"/>
      <c r="D26" s="5" t="n"/>
      <c r="E26" s="6">
        <f>SUMPRODUCT(('Daily Summary'!$B$5:$B$35&gt;=C26)*('Daily Summary'!$B$5:$B$35&lt;=D26)*('Daily Summary'!$C$5:$C$35))</f>
        <v/>
      </c>
      <c r="F26" s="10">
        <f>SUMPRODUCT(('Daily Summary'!$B$5:$B$35&gt;=C26)*('Daily Summary'!$B$5:$B$35&lt;=D26)*('Daily Summary'!$D$5:$D$35))</f>
        <v/>
      </c>
      <c r="G26" s="6">
        <f>IFERROR(E26/F26,0)</f>
        <v/>
      </c>
      <c r="H26" s="5" t="inlineStr"/>
    </row>
    <row r="27" ht="22" customHeight="1">
      <c r="B27" s="3" t="n">
        <v>23</v>
      </c>
      <c r="C27" s="3" t="n"/>
      <c r="D27" s="3" t="n"/>
      <c r="E27" s="4">
        <f>SUMPRODUCT(('Daily Summary'!$B$5:$B$35&gt;=C27)*('Daily Summary'!$B$5:$B$35&lt;=D27)*('Daily Summary'!$C$5:$C$35))</f>
        <v/>
      </c>
      <c r="F27" s="9">
        <f>SUMPRODUCT(('Daily Summary'!$B$5:$B$35&gt;=C27)*('Daily Summary'!$B$5:$B$35&lt;=D27)*('Daily Summary'!$D$5:$D$35))</f>
        <v/>
      </c>
      <c r="G27" s="4">
        <f>IFERROR(E27/F27,0)</f>
        <v/>
      </c>
      <c r="H27" s="3" t="inlineStr"/>
    </row>
    <row r="28" ht="22" customHeight="1">
      <c r="B28" s="5" t="n">
        <v>24</v>
      </c>
      <c r="C28" s="5" t="n"/>
      <c r="D28" s="5" t="n"/>
      <c r="E28" s="6">
        <f>SUMPRODUCT(('Daily Summary'!$B$5:$B$35&gt;=C28)*('Daily Summary'!$B$5:$B$35&lt;=D28)*('Daily Summary'!$C$5:$C$35))</f>
        <v/>
      </c>
      <c r="F28" s="10">
        <f>SUMPRODUCT(('Daily Summary'!$B$5:$B$35&gt;=C28)*('Daily Summary'!$B$5:$B$35&lt;=D28)*('Daily Summary'!$D$5:$D$35))</f>
        <v/>
      </c>
      <c r="G28" s="6">
        <f>IFERROR(E28/F28,0)</f>
        <v/>
      </c>
      <c r="H28" s="5" t="inlineStr"/>
    </row>
    <row r="29" ht="22" customHeight="1">
      <c r="B29" s="3" t="n">
        <v>25</v>
      </c>
      <c r="C29" s="3" t="n"/>
      <c r="D29" s="3" t="n"/>
      <c r="E29" s="4">
        <f>SUMPRODUCT(('Daily Summary'!$B$5:$B$35&gt;=C29)*('Daily Summary'!$B$5:$B$35&lt;=D29)*('Daily Summary'!$C$5:$C$35))</f>
        <v/>
      </c>
      <c r="F29" s="9">
        <f>SUMPRODUCT(('Daily Summary'!$B$5:$B$35&gt;=C29)*('Daily Summary'!$B$5:$B$35&lt;=D29)*('Daily Summary'!$D$5:$D$35))</f>
        <v/>
      </c>
      <c r="G29" s="4">
        <f>IFERROR(E29/F29,0)</f>
        <v/>
      </c>
      <c r="H29" s="3" t="inlineStr"/>
    </row>
    <row r="30" ht="22" customHeight="1">
      <c r="B30" s="5" t="n">
        <v>26</v>
      </c>
      <c r="C30" s="5" t="n"/>
      <c r="D30" s="5" t="n"/>
      <c r="E30" s="6">
        <f>SUMPRODUCT(('Daily Summary'!$B$5:$B$35&gt;=C30)*('Daily Summary'!$B$5:$B$35&lt;=D30)*('Daily Summary'!$C$5:$C$35))</f>
        <v/>
      </c>
      <c r="F30" s="10">
        <f>SUMPRODUCT(('Daily Summary'!$B$5:$B$35&gt;=C30)*('Daily Summary'!$B$5:$B$35&lt;=D30)*('Daily Summary'!$D$5:$D$35))</f>
        <v/>
      </c>
      <c r="G30" s="6">
        <f>IFERROR(E30/F30,0)</f>
        <v/>
      </c>
      <c r="H30" s="5" t="inlineStr"/>
    </row>
    <row r="31" ht="22" customHeight="1">
      <c r="B31" s="3" t="n">
        <v>27</v>
      </c>
      <c r="C31" s="3" t="n"/>
      <c r="D31" s="3" t="n"/>
      <c r="E31" s="4">
        <f>SUMPRODUCT(('Daily Summary'!$B$5:$B$35&gt;=C31)*('Daily Summary'!$B$5:$B$35&lt;=D31)*('Daily Summary'!$C$5:$C$35))</f>
        <v/>
      </c>
      <c r="F31" s="9">
        <f>SUMPRODUCT(('Daily Summary'!$B$5:$B$35&gt;=C31)*('Daily Summary'!$B$5:$B$35&lt;=D31)*('Daily Summary'!$D$5:$D$35))</f>
        <v/>
      </c>
      <c r="G31" s="4">
        <f>IFERROR(E31/F31,0)</f>
        <v/>
      </c>
      <c r="H31" s="3" t="inlineStr"/>
    </row>
    <row r="32" ht="22" customHeight="1">
      <c r="B32" s="5" t="n">
        <v>28</v>
      </c>
      <c r="C32" s="5" t="n"/>
      <c r="D32" s="5" t="n"/>
      <c r="E32" s="6">
        <f>SUMPRODUCT(('Daily Summary'!$B$5:$B$35&gt;=C32)*('Daily Summary'!$B$5:$B$35&lt;=D32)*('Daily Summary'!$C$5:$C$35))</f>
        <v/>
      </c>
      <c r="F32" s="10">
        <f>SUMPRODUCT(('Daily Summary'!$B$5:$B$35&gt;=C32)*('Daily Summary'!$B$5:$B$35&lt;=D32)*('Daily Summary'!$D$5:$D$35))</f>
        <v/>
      </c>
      <c r="G32" s="6">
        <f>IFERROR(E32/F32,0)</f>
        <v/>
      </c>
      <c r="H32" s="5" t="inlineStr"/>
    </row>
    <row r="33" ht="22" customHeight="1">
      <c r="B33" s="3" t="n">
        <v>29</v>
      </c>
      <c r="C33" s="3" t="n"/>
      <c r="D33" s="3" t="n"/>
      <c r="E33" s="4">
        <f>SUMPRODUCT(('Daily Summary'!$B$5:$B$35&gt;=C33)*('Daily Summary'!$B$5:$B$35&lt;=D33)*('Daily Summary'!$C$5:$C$35))</f>
        <v/>
      </c>
      <c r="F33" s="9">
        <f>SUMPRODUCT(('Daily Summary'!$B$5:$B$35&gt;=C33)*('Daily Summary'!$B$5:$B$35&lt;=D33)*('Daily Summary'!$D$5:$D$35))</f>
        <v/>
      </c>
      <c r="G33" s="4">
        <f>IFERROR(E33/F33,0)</f>
        <v/>
      </c>
      <c r="H33" s="3" t="inlineStr"/>
    </row>
    <row r="34" ht="22" customHeight="1">
      <c r="B34" s="5" t="n">
        <v>30</v>
      </c>
      <c r="C34" s="5" t="n"/>
      <c r="D34" s="5" t="n"/>
      <c r="E34" s="6">
        <f>SUMPRODUCT(('Daily Summary'!$B$5:$B$35&gt;=C34)*('Daily Summary'!$B$5:$B$35&lt;=D34)*('Daily Summary'!$C$5:$C$35))</f>
        <v/>
      </c>
      <c r="F34" s="10">
        <f>SUMPRODUCT(('Daily Summary'!$B$5:$B$35&gt;=C34)*('Daily Summary'!$B$5:$B$35&lt;=D34)*('Daily Summary'!$D$5:$D$35))</f>
        <v/>
      </c>
      <c r="G34" s="6">
        <f>IFERROR(E34/F34,0)</f>
        <v/>
      </c>
      <c r="H34" s="5" t="inlineStr"/>
    </row>
    <row r="35" ht="22" customHeight="1">
      <c r="B35" s="3" t="n">
        <v>31</v>
      </c>
      <c r="C35" s="3" t="n"/>
      <c r="D35" s="3" t="n"/>
      <c r="E35" s="4">
        <f>SUMPRODUCT(('Daily Summary'!$B$5:$B$35&gt;=C35)*('Daily Summary'!$B$5:$B$35&lt;=D35)*('Daily Summary'!$C$5:$C$35))</f>
        <v/>
      </c>
      <c r="F35" s="9">
        <f>SUMPRODUCT(('Daily Summary'!$B$5:$B$35&gt;=C35)*('Daily Summary'!$B$5:$B$35&lt;=D35)*('Daily Summary'!$D$5:$D$35))</f>
        <v/>
      </c>
      <c r="G35" s="4">
        <f>IFERROR(E35/F35,0)</f>
        <v/>
      </c>
      <c r="H35" s="3" t="inlineStr"/>
    </row>
    <row r="36" ht="22" customHeight="1">
      <c r="B36" s="5" t="n">
        <v>32</v>
      </c>
      <c r="C36" s="5" t="n"/>
      <c r="D36" s="5" t="n"/>
      <c r="E36" s="6">
        <f>SUMPRODUCT(('Daily Summary'!$B$5:$B$35&gt;=C36)*('Daily Summary'!$B$5:$B$35&lt;=D36)*('Daily Summary'!$C$5:$C$35))</f>
        <v/>
      </c>
      <c r="F36" s="10">
        <f>SUMPRODUCT(('Daily Summary'!$B$5:$B$35&gt;=C36)*('Daily Summary'!$B$5:$B$35&lt;=D36)*('Daily Summary'!$D$5:$D$35))</f>
        <v/>
      </c>
      <c r="G36" s="6">
        <f>IFERROR(E36/F36,0)</f>
        <v/>
      </c>
      <c r="H36" s="5" t="inlineStr"/>
    </row>
    <row r="37" ht="22" customHeight="1">
      <c r="B37" s="3" t="n">
        <v>33</v>
      </c>
      <c r="C37" s="3" t="n"/>
      <c r="D37" s="3" t="n"/>
      <c r="E37" s="4">
        <f>SUMPRODUCT(('Daily Summary'!$B$5:$B$35&gt;=C37)*('Daily Summary'!$B$5:$B$35&lt;=D37)*('Daily Summary'!$C$5:$C$35))</f>
        <v/>
      </c>
      <c r="F37" s="9">
        <f>SUMPRODUCT(('Daily Summary'!$B$5:$B$35&gt;=C37)*('Daily Summary'!$B$5:$B$35&lt;=D37)*('Daily Summary'!$D$5:$D$35))</f>
        <v/>
      </c>
      <c r="G37" s="4">
        <f>IFERROR(E37/F37,0)</f>
        <v/>
      </c>
      <c r="H37" s="3" t="inlineStr"/>
    </row>
    <row r="38" ht="22" customHeight="1">
      <c r="B38" s="5" t="n">
        <v>34</v>
      </c>
      <c r="C38" s="5" t="n"/>
      <c r="D38" s="5" t="n"/>
      <c r="E38" s="6">
        <f>SUMPRODUCT(('Daily Summary'!$B$5:$B$35&gt;=C38)*('Daily Summary'!$B$5:$B$35&lt;=D38)*('Daily Summary'!$C$5:$C$35))</f>
        <v/>
      </c>
      <c r="F38" s="10">
        <f>SUMPRODUCT(('Daily Summary'!$B$5:$B$35&gt;=C38)*('Daily Summary'!$B$5:$B$35&lt;=D38)*('Daily Summary'!$D$5:$D$35))</f>
        <v/>
      </c>
      <c r="G38" s="6">
        <f>IFERROR(E38/F38,0)</f>
        <v/>
      </c>
      <c r="H38" s="5" t="inlineStr"/>
    </row>
    <row r="39" ht="22" customHeight="1">
      <c r="B39" s="3" t="n">
        <v>35</v>
      </c>
      <c r="C39" s="3" t="n"/>
      <c r="D39" s="3" t="n"/>
      <c r="E39" s="4">
        <f>SUMPRODUCT(('Daily Summary'!$B$5:$B$35&gt;=C39)*('Daily Summary'!$B$5:$B$35&lt;=D39)*('Daily Summary'!$C$5:$C$35))</f>
        <v/>
      </c>
      <c r="F39" s="9">
        <f>SUMPRODUCT(('Daily Summary'!$B$5:$B$35&gt;=C39)*('Daily Summary'!$B$5:$B$35&lt;=D39)*('Daily Summary'!$D$5:$D$35))</f>
        <v/>
      </c>
      <c r="G39" s="4">
        <f>IFERROR(E39/F39,0)</f>
        <v/>
      </c>
      <c r="H39" s="3" t="inlineStr"/>
    </row>
    <row r="40" ht="22" customHeight="1">
      <c r="B40" s="5" t="n">
        <v>36</v>
      </c>
      <c r="C40" s="5" t="n"/>
      <c r="D40" s="5" t="n"/>
      <c r="E40" s="6">
        <f>SUMPRODUCT(('Daily Summary'!$B$5:$B$35&gt;=C40)*('Daily Summary'!$B$5:$B$35&lt;=D40)*('Daily Summary'!$C$5:$C$35))</f>
        <v/>
      </c>
      <c r="F40" s="10">
        <f>SUMPRODUCT(('Daily Summary'!$B$5:$B$35&gt;=C40)*('Daily Summary'!$B$5:$B$35&lt;=D40)*('Daily Summary'!$D$5:$D$35))</f>
        <v/>
      </c>
      <c r="G40" s="6">
        <f>IFERROR(E40/F40,0)</f>
        <v/>
      </c>
      <c r="H40" s="5" t="inlineStr"/>
    </row>
    <row r="41" ht="22" customHeight="1">
      <c r="B41" s="3" t="n">
        <v>37</v>
      </c>
      <c r="C41" s="3" t="n"/>
      <c r="D41" s="3" t="n"/>
      <c r="E41" s="4">
        <f>SUMPRODUCT(('Daily Summary'!$B$5:$B$35&gt;=C41)*('Daily Summary'!$B$5:$B$35&lt;=D41)*('Daily Summary'!$C$5:$C$35))</f>
        <v/>
      </c>
      <c r="F41" s="9">
        <f>SUMPRODUCT(('Daily Summary'!$B$5:$B$35&gt;=C41)*('Daily Summary'!$B$5:$B$35&lt;=D41)*('Daily Summary'!$D$5:$D$35))</f>
        <v/>
      </c>
      <c r="G41" s="4">
        <f>IFERROR(E41/F41,0)</f>
        <v/>
      </c>
      <c r="H41" s="3" t="inlineStr"/>
    </row>
    <row r="42" ht="22" customHeight="1">
      <c r="B42" s="5" t="n">
        <v>38</v>
      </c>
      <c r="C42" s="5" t="n"/>
      <c r="D42" s="5" t="n"/>
      <c r="E42" s="6">
        <f>SUMPRODUCT(('Daily Summary'!$B$5:$B$35&gt;=C42)*('Daily Summary'!$B$5:$B$35&lt;=D42)*('Daily Summary'!$C$5:$C$35))</f>
        <v/>
      </c>
      <c r="F42" s="10">
        <f>SUMPRODUCT(('Daily Summary'!$B$5:$B$35&gt;=C42)*('Daily Summary'!$B$5:$B$35&lt;=D42)*('Daily Summary'!$D$5:$D$35))</f>
        <v/>
      </c>
      <c r="G42" s="6">
        <f>IFERROR(E42/F42,0)</f>
        <v/>
      </c>
      <c r="H42" s="5" t="inlineStr"/>
    </row>
    <row r="43" ht="22" customHeight="1">
      <c r="B43" s="3" t="n">
        <v>39</v>
      </c>
      <c r="C43" s="3" t="n"/>
      <c r="D43" s="3" t="n"/>
      <c r="E43" s="4">
        <f>SUMPRODUCT(('Daily Summary'!$B$5:$B$35&gt;=C43)*('Daily Summary'!$B$5:$B$35&lt;=D43)*('Daily Summary'!$C$5:$C$35))</f>
        <v/>
      </c>
      <c r="F43" s="9">
        <f>SUMPRODUCT(('Daily Summary'!$B$5:$B$35&gt;=C43)*('Daily Summary'!$B$5:$B$35&lt;=D43)*('Daily Summary'!$D$5:$D$35))</f>
        <v/>
      </c>
      <c r="G43" s="4">
        <f>IFERROR(E43/F43,0)</f>
        <v/>
      </c>
      <c r="H43" s="3" t="inlineStr"/>
    </row>
    <row r="44" ht="22" customHeight="1">
      <c r="B44" s="5" t="n">
        <v>40</v>
      </c>
      <c r="C44" s="5" t="n"/>
      <c r="D44" s="5" t="n"/>
      <c r="E44" s="6">
        <f>SUMPRODUCT(('Daily Summary'!$B$5:$B$35&gt;=C44)*('Daily Summary'!$B$5:$B$35&lt;=D44)*('Daily Summary'!$C$5:$C$35))</f>
        <v/>
      </c>
      <c r="F44" s="10">
        <f>SUMPRODUCT(('Daily Summary'!$B$5:$B$35&gt;=C44)*('Daily Summary'!$B$5:$B$35&lt;=D44)*('Daily Summary'!$D$5:$D$35))</f>
        <v/>
      </c>
      <c r="G44" s="6">
        <f>IFERROR(E44/F44,0)</f>
        <v/>
      </c>
      <c r="H44" s="5" t="inlineStr"/>
    </row>
    <row r="45" ht="22" customHeight="1">
      <c r="B45" s="3" t="n">
        <v>41</v>
      </c>
      <c r="C45" s="3" t="n"/>
      <c r="D45" s="3" t="n"/>
      <c r="E45" s="4">
        <f>SUMPRODUCT(('Daily Summary'!$B$5:$B$35&gt;=C45)*('Daily Summary'!$B$5:$B$35&lt;=D45)*('Daily Summary'!$C$5:$C$35))</f>
        <v/>
      </c>
      <c r="F45" s="9">
        <f>SUMPRODUCT(('Daily Summary'!$B$5:$B$35&gt;=C45)*('Daily Summary'!$B$5:$B$35&lt;=D45)*('Daily Summary'!$D$5:$D$35))</f>
        <v/>
      </c>
      <c r="G45" s="4">
        <f>IFERROR(E45/F45,0)</f>
        <v/>
      </c>
      <c r="H45" s="3" t="inlineStr"/>
    </row>
    <row r="46" ht="22" customHeight="1">
      <c r="B46" s="5" t="n">
        <v>42</v>
      </c>
      <c r="C46" s="5" t="n"/>
      <c r="D46" s="5" t="n"/>
      <c r="E46" s="6">
        <f>SUMPRODUCT(('Daily Summary'!$B$5:$B$35&gt;=C46)*('Daily Summary'!$B$5:$B$35&lt;=D46)*('Daily Summary'!$C$5:$C$35))</f>
        <v/>
      </c>
      <c r="F46" s="10">
        <f>SUMPRODUCT(('Daily Summary'!$B$5:$B$35&gt;=C46)*('Daily Summary'!$B$5:$B$35&lt;=D46)*('Daily Summary'!$D$5:$D$35))</f>
        <v/>
      </c>
      <c r="G46" s="6">
        <f>IFERROR(E46/F46,0)</f>
        <v/>
      </c>
      <c r="H46" s="5" t="inlineStr"/>
    </row>
    <row r="47" ht="22" customHeight="1">
      <c r="B47" s="3" t="n">
        <v>43</v>
      </c>
      <c r="C47" s="3" t="n"/>
      <c r="D47" s="3" t="n"/>
      <c r="E47" s="4">
        <f>SUMPRODUCT(('Daily Summary'!$B$5:$B$35&gt;=C47)*('Daily Summary'!$B$5:$B$35&lt;=D47)*('Daily Summary'!$C$5:$C$35))</f>
        <v/>
      </c>
      <c r="F47" s="9">
        <f>SUMPRODUCT(('Daily Summary'!$B$5:$B$35&gt;=C47)*('Daily Summary'!$B$5:$B$35&lt;=D47)*('Daily Summary'!$D$5:$D$35))</f>
        <v/>
      </c>
      <c r="G47" s="4">
        <f>IFERROR(E47/F47,0)</f>
        <v/>
      </c>
      <c r="H47" s="3" t="inlineStr"/>
    </row>
    <row r="48" ht="22" customHeight="1">
      <c r="B48" s="5" t="n">
        <v>44</v>
      </c>
      <c r="C48" s="5" t="n"/>
      <c r="D48" s="5" t="n"/>
      <c r="E48" s="6">
        <f>SUMPRODUCT(('Daily Summary'!$B$5:$B$35&gt;=C48)*('Daily Summary'!$B$5:$B$35&lt;=D48)*('Daily Summary'!$C$5:$C$35))</f>
        <v/>
      </c>
      <c r="F48" s="10">
        <f>SUMPRODUCT(('Daily Summary'!$B$5:$B$35&gt;=C48)*('Daily Summary'!$B$5:$B$35&lt;=D48)*('Daily Summary'!$D$5:$D$35))</f>
        <v/>
      </c>
      <c r="G48" s="6">
        <f>IFERROR(E48/F48,0)</f>
        <v/>
      </c>
      <c r="H48" s="5" t="inlineStr"/>
    </row>
    <row r="49" ht="22" customHeight="1">
      <c r="B49" s="3" t="n">
        <v>45</v>
      </c>
      <c r="C49" s="3" t="n"/>
      <c r="D49" s="3" t="n"/>
      <c r="E49" s="4">
        <f>SUMPRODUCT(('Daily Summary'!$B$5:$B$35&gt;=C49)*('Daily Summary'!$B$5:$B$35&lt;=D49)*('Daily Summary'!$C$5:$C$35))</f>
        <v/>
      </c>
      <c r="F49" s="9">
        <f>SUMPRODUCT(('Daily Summary'!$B$5:$B$35&gt;=C49)*('Daily Summary'!$B$5:$B$35&lt;=D49)*('Daily Summary'!$D$5:$D$35))</f>
        <v/>
      </c>
      <c r="G49" s="4">
        <f>IFERROR(E49/F49,0)</f>
        <v/>
      </c>
      <c r="H49" s="3" t="inlineStr"/>
    </row>
    <row r="50" ht="22" customHeight="1">
      <c r="B50" s="5" t="n">
        <v>46</v>
      </c>
      <c r="C50" s="5" t="n"/>
      <c r="D50" s="5" t="n"/>
      <c r="E50" s="6">
        <f>SUMPRODUCT(('Daily Summary'!$B$5:$B$35&gt;=C50)*('Daily Summary'!$B$5:$B$35&lt;=D50)*('Daily Summary'!$C$5:$C$35))</f>
        <v/>
      </c>
      <c r="F50" s="10">
        <f>SUMPRODUCT(('Daily Summary'!$B$5:$B$35&gt;=C50)*('Daily Summary'!$B$5:$B$35&lt;=D50)*('Daily Summary'!$D$5:$D$35))</f>
        <v/>
      </c>
      <c r="G50" s="6">
        <f>IFERROR(E50/F50,0)</f>
        <v/>
      </c>
      <c r="H50" s="5" t="inlineStr"/>
    </row>
    <row r="51" ht="22" customHeight="1">
      <c r="B51" s="3" t="n">
        <v>47</v>
      </c>
      <c r="C51" s="3" t="n"/>
      <c r="D51" s="3" t="n"/>
      <c r="E51" s="4">
        <f>SUMPRODUCT(('Daily Summary'!$B$5:$B$35&gt;=C51)*('Daily Summary'!$B$5:$B$35&lt;=D51)*('Daily Summary'!$C$5:$C$35))</f>
        <v/>
      </c>
      <c r="F51" s="9">
        <f>SUMPRODUCT(('Daily Summary'!$B$5:$B$35&gt;=C51)*('Daily Summary'!$B$5:$B$35&lt;=D51)*('Daily Summary'!$D$5:$D$35))</f>
        <v/>
      </c>
      <c r="G51" s="4">
        <f>IFERROR(E51/F51,0)</f>
        <v/>
      </c>
      <c r="H51" s="3" t="inlineStr"/>
    </row>
    <row r="52" ht="22" customHeight="1">
      <c r="B52" s="5" t="n">
        <v>48</v>
      </c>
      <c r="C52" s="5" t="n"/>
      <c r="D52" s="5" t="n"/>
      <c r="E52" s="6">
        <f>SUMPRODUCT(('Daily Summary'!$B$5:$B$35&gt;=C52)*('Daily Summary'!$B$5:$B$35&lt;=D52)*('Daily Summary'!$C$5:$C$35))</f>
        <v/>
      </c>
      <c r="F52" s="10">
        <f>SUMPRODUCT(('Daily Summary'!$B$5:$B$35&gt;=C52)*('Daily Summary'!$B$5:$B$35&lt;=D52)*('Daily Summary'!$D$5:$D$35))</f>
        <v/>
      </c>
      <c r="G52" s="6">
        <f>IFERROR(E52/F52,0)</f>
        <v/>
      </c>
      <c r="H52" s="5" t="inlineStr"/>
    </row>
    <row r="53" ht="22" customHeight="1">
      <c r="B53" s="3" t="n">
        <v>49</v>
      </c>
      <c r="C53" s="3" t="n"/>
      <c r="D53" s="3" t="n"/>
      <c r="E53" s="4">
        <f>SUMPRODUCT(('Daily Summary'!$B$5:$B$35&gt;=C53)*('Daily Summary'!$B$5:$B$35&lt;=D53)*('Daily Summary'!$C$5:$C$35))</f>
        <v/>
      </c>
      <c r="F53" s="9">
        <f>SUMPRODUCT(('Daily Summary'!$B$5:$B$35&gt;=C53)*('Daily Summary'!$B$5:$B$35&lt;=D53)*('Daily Summary'!$D$5:$D$35))</f>
        <v/>
      </c>
      <c r="G53" s="4">
        <f>IFERROR(E53/F53,0)</f>
        <v/>
      </c>
      <c r="H53" s="3" t="inlineStr"/>
    </row>
    <row r="54" ht="22" customHeight="1">
      <c r="B54" s="5" t="n">
        <v>50</v>
      </c>
      <c r="C54" s="5" t="n"/>
      <c r="D54" s="5" t="n"/>
      <c r="E54" s="6">
        <f>SUMPRODUCT(('Daily Summary'!$B$5:$B$35&gt;=C54)*('Daily Summary'!$B$5:$B$35&lt;=D54)*('Daily Summary'!$C$5:$C$35))</f>
        <v/>
      </c>
      <c r="F54" s="10">
        <f>SUMPRODUCT(('Daily Summary'!$B$5:$B$35&gt;=C54)*('Daily Summary'!$B$5:$B$35&lt;=D54)*('Daily Summary'!$D$5:$D$35))</f>
        <v/>
      </c>
      <c r="G54" s="6">
        <f>IFERROR(E54/F54,0)</f>
        <v/>
      </c>
      <c r="H54" s="5" t="inlineStr"/>
    </row>
    <row r="55" ht="22" customHeight="1">
      <c r="B55" s="3" t="n">
        <v>51</v>
      </c>
      <c r="C55" s="3" t="n"/>
      <c r="D55" s="3" t="n"/>
      <c r="E55" s="4">
        <f>SUMPRODUCT(('Daily Summary'!$B$5:$B$35&gt;=C55)*('Daily Summary'!$B$5:$B$35&lt;=D55)*('Daily Summary'!$C$5:$C$35))</f>
        <v/>
      </c>
      <c r="F55" s="9">
        <f>SUMPRODUCT(('Daily Summary'!$B$5:$B$35&gt;=C55)*('Daily Summary'!$B$5:$B$35&lt;=D55)*('Daily Summary'!$D$5:$D$35))</f>
        <v/>
      </c>
      <c r="G55" s="4">
        <f>IFERROR(E55/F55,0)</f>
        <v/>
      </c>
      <c r="H55" s="3" t="inlineStr"/>
    </row>
    <row r="56" ht="22" customHeight="1">
      <c r="B56" s="5" t="n">
        <v>52</v>
      </c>
      <c r="C56" s="5" t="n"/>
      <c r="D56" s="5" t="n"/>
      <c r="E56" s="6">
        <f>SUMPRODUCT(('Daily Summary'!$B$5:$B$35&gt;=C56)*('Daily Summary'!$B$5:$B$35&lt;=D56)*('Daily Summary'!$C$5:$C$35))</f>
        <v/>
      </c>
      <c r="F56" s="10">
        <f>SUMPRODUCT(('Daily Summary'!$B$5:$B$35&gt;=C56)*('Daily Summary'!$B$5:$B$35&lt;=D56)*('Daily Summary'!$D$5:$D$35))</f>
        <v/>
      </c>
      <c r="G56" s="6">
        <f>IFERROR(E56/F56,0)</f>
        <v/>
      </c>
      <c r="H56" s="5" t="inlineStr"/>
    </row>
    <row r="57" ht="26" customHeight="1">
      <c r="B57" s="7" t="inlineStr">
        <is>
          <t>TOTALS</t>
        </is>
      </c>
      <c r="C57" s="7" t="n"/>
      <c r="D57" s="7" t="n"/>
      <c r="E57" s="8">
        <f>SUM(E5:E56)</f>
        <v/>
      </c>
      <c r="F57" s="11">
        <f>SUM(F5:F56)</f>
        <v/>
      </c>
      <c r="G57" s="8">
        <f>IFERROR(E57/F57,0)</f>
        <v/>
      </c>
      <c r="H57" s="7" t="n"/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B2:G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5" customHeight="1"/>
    <row r="2" ht="32" customHeight="1">
      <c r="B2" s="1" t="inlineStr">
        <is>
          <t>Monthly Summary</t>
        </is>
      </c>
    </row>
    <row r="3" ht="8" customHeight="1"/>
    <row r="4" ht="28" customHeight="1">
      <c r="B4" s="2" t="inlineStr">
        <is>
          <t>Month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Best Day Sales</t>
        </is>
      </c>
      <c r="G4" s="2" t="inlineStr">
        <is>
          <t>Best Day Date</t>
        </is>
      </c>
    </row>
    <row r="5" ht="22" customHeight="1">
      <c r="B5" s="3" t="inlineStr">
        <is>
          <t>January</t>
        </is>
      </c>
      <c r="C5" s="4">
        <f>SUMPRODUCT((MONTH('Daily Summary'!$B$5:$B$35)=1)*('Daily Summary'!$C$5:$C$35))</f>
        <v/>
      </c>
      <c r="D5" s="9">
        <f>SUMPRODUCT((MONTH('Daily Summary'!$B$5:$B$35)=1)*('Daily Summary'!$D$5:$D$35))</f>
        <v/>
      </c>
      <c r="E5" s="4">
        <f>IFERROR(C5/D5,0)</f>
        <v/>
      </c>
      <c r="F5" s="4">
        <f>MAX(IF(MONTH('Daily Summary'!$B$5:$B$35)=1,'Daily Summary'!$C$5:$C$35))</f>
        <v/>
      </c>
      <c r="G5" s="3" t="inlineStr"/>
    </row>
    <row r="6" ht="22" customHeight="1">
      <c r="B6" s="5" t="inlineStr">
        <is>
          <t>February</t>
        </is>
      </c>
      <c r="C6" s="6">
        <f>SUMPRODUCT((MONTH('Daily Summary'!$B$5:$B$35)=2)*('Daily Summary'!$C$5:$C$35))</f>
        <v/>
      </c>
      <c r="D6" s="10">
        <f>SUMPRODUCT((MONTH('Daily Summary'!$B$5:$B$35)=2)*('Daily Summary'!$D$5:$D$35))</f>
        <v/>
      </c>
      <c r="E6" s="6">
        <f>IFERROR(C6/D6,0)</f>
        <v/>
      </c>
      <c r="F6" s="6">
        <f>MAX(IF(MONTH('Daily Summary'!$B$5:$B$35)=2,'Daily Summary'!$C$5:$C$35))</f>
        <v/>
      </c>
      <c r="G6" s="5" t="inlineStr"/>
    </row>
    <row r="7" ht="22" customHeight="1">
      <c r="B7" s="3" t="inlineStr">
        <is>
          <t>March</t>
        </is>
      </c>
      <c r="C7" s="4">
        <f>SUMPRODUCT((MONTH('Daily Summary'!$B$5:$B$35)=3)*('Daily Summary'!$C$5:$C$35))</f>
        <v/>
      </c>
      <c r="D7" s="9">
        <f>SUMPRODUCT((MONTH('Daily Summary'!$B$5:$B$35)=3)*('Daily Summary'!$D$5:$D$35))</f>
        <v/>
      </c>
      <c r="E7" s="4">
        <f>IFERROR(C7/D7,0)</f>
        <v/>
      </c>
      <c r="F7" s="4">
        <f>MAX(IF(MONTH('Daily Summary'!$B$5:$B$35)=3,'Daily Summary'!$C$5:$C$35))</f>
        <v/>
      </c>
      <c r="G7" s="3" t="inlineStr"/>
    </row>
    <row r="8" ht="22" customHeight="1">
      <c r="B8" s="5" t="inlineStr">
        <is>
          <t>April</t>
        </is>
      </c>
      <c r="C8" s="6">
        <f>SUMPRODUCT((MONTH('Daily Summary'!$B$5:$B$35)=4)*('Daily Summary'!$C$5:$C$35))</f>
        <v/>
      </c>
      <c r="D8" s="10">
        <f>SUMPRODUCT((MONTH('Daily Summary'!$B$5:$B$35)=4)*('Daily Summary'!$D$5:$D$35))</f>
        <v/>
      </c>
      <c r="E8" s="6">
        <f>IFERROR(C8/D8,0)</f>
        <v/>
      </c>
      <c r="F8" s="6">
        <f>MAX(IF(MONTH('Daily Summary'!$B$5:$B$35)=4,'Daily Summary'!$C$5:$C$35))</f>
        <v/>
      </c>
      <c r="G8" s="5" t="inlineStr"/>
    </row>
    <row r="9" ht="22" customHeight="1">
      <c r="B9" s="3" t="inlineStr">
        <is>
          <t>May</t>
        </is>
      </c>
      <c r="C9" s="4">
        <f>SUMPRODUCT((MONTH('Daily Summary'!$B$5:$B$35)=5)*('Daily Summary'!$C$5:$C$35))</f>
        <v/>
      </c>
      <c r="D9" s="9">
        <f>SUMPRODUCT((MONTH('Daily Summary'!$B$5:$B$35)=5)*('Daily Summary'!$D$5:$D$35))</f>
        <v/>
      </c>
      <c r="E9" s="4">
        <f>IFERROR(C9/D9,0)</f>
        <v/>
      </c>
      <c r="F9" s="4">
        <f>MAX(IF(MONTH('Daily Summary'!$B$5:$B$35)=5,'Daily Summary'!$C$5:$C$35))</f>
        <v/>
      </c>
      <c r="G9" s="3" t="inlineStr"/>
    </row>
    <row r="10" ht="22" customHeight="1">
      <c r="B10" s="5" t="inlineStr">
        <is>
          <t>June</t>
        </is>
      </c>
      <c r="C10" s="6">
        <f>SUMPRODUCT((MONTH('Daily Summary'!$B$5:$B$35)=6)*('Daily Summary'!$C$5:$C$35))</f>
        <v/>
      </c>
      <c r="D10" s="10">
        <f>SUMPRODUCT((MONTH('Daily Summary'!$B$5:$B$35)=6)*('Daily Summary'!$D$5:$D$35))</f>
        <v/>
      </c>
      <c r="E10" s="6">
        <f>IFERROR(C10/D10,0)</f>
        <v/>
      </c>
      <c r="F10" s="6">
        <f>MAX(IF(MONTH('Daily Summary'!$B$5:$B$35)=6,'Daily Summary'!$C$5:$C$35))</f>
        <v/>
      </c>
      <c r="G10" s="5" t="inlineStr"/>
    </row>
    <row r="11" ht="22" customHeight="1">
      <c r="B11" s="3" t="inlineStr">
        <is>
          <t>July</t>
        </is>
      </c>
      <c r="C11" s="4">
        <f>SUMPRODUCT((MONTH('Daily Summary'!$B$5:$B$35)=7)*('Daily Summary'!$C$5:$C$35))</f>
        <v/>
      </c>
      <c r="D11" s="9">
        <f>SUMPRODUCT((MONTH('Daily Summary'!$B$5:$B$35)=7)*('Daily Summary'!$D$5:$D$35))</f>
        <v/>
      </c>
      <c r="E11" s="4">
        <f>IFERROR(C11/D11,0)</f>
        <v/>
      </c>
      <c r="F11" s="4">
        <f>MAX(IF(MONTH('Daily Summary'!$B$5:$B$35)=7,'Daily Summary'!$C$5:$C$35))</f>
        <v/>
      </c>
      <c r="G11" s="3" t="inlineStr"/>
    </row>
    <row r="12" ht="22" customHeight="1">
      <c r="B12" s="5" t="inlineStr">
        <is>
          <t>August</t>
        </is>
      </c>
      <c r="C12" s="6">
        <f>SUMPRODUCT((MONTH('Daily Summary'!$B$5:$B$35)=8)*('Daily Summary'!$C$5:$C$35))</f>
        <v/>
      </c>
      <c r="D12" s="10">
        <f>SUMPRODUCT((MONTH('Daily Summary'!$B$5:$B$35)=8)*('Daily Summary'!$D$5:$D$35))</f>
        <v/>
      </c>
      <c r="E12" s="6">
        <f>IFERROR(C12/D12,0)</f>
        <v/>
      </c>
      <c r="F12" s="6">
        <f>MAX(IF(MONTH('Daily Summary'!$B$5:$B$35)=8,'Daily Summary'!$C$5:$C$35))</f>
        <v/>
      </c>
      <c r="G12" s="5" t="inlineStr"/>
    </row>
    <row r="13" ht="22" customHeight="1">
      <c r="B13" s="3" t="inlineStr">
        <is>
          <t>September</t>
        </is>
      </c>
      <c r="C13" s="4">
        <f>SUMPRODUCT((MONTH('Daily Summary'!$B$5:$B$35)=9)*('Daily Summary'!$C$5:$C$35))</f>
        <v/>
      </c>
      <c r="D13" s="9">
        <f>SUMPRODUCT((MONTH('Daily Summary'!$B$5:$B$35)=9)*('Daily Summary'!$D$5:$D$35))</f>
        <v/>
      </c>
      <c r="E13" s="4">
        <f>IFERROR(C13/D13,0)</f>
        <v/>
      </c>
      <c r="F13" s="4">
        <f>MAX(IF(MONTH('Daily Summary'!$B$5:$B$35)=9,'Daily Summary'!$C$5:$C$35))</f>
        <v/>
      </c>
      <c r="G13" s="3" t="inlineStr"/>
    </row>
    <row r="14" ht="22" customHeight="1">
      <c r="B14" s="5" t="inlineStr">
        <is>
          <t>October</t>
        </is>
      </c>
      <c r="C14" s="6">
        <f>SUMPRODUCT((MONTH('Daily Summary'!$B$5:$B$35)=10)*('Daily Summary'!$C$5:$C$35))</f>
        <v/>
      </c>
      <c r="D14" s="10">
        <f>SUMPRODUCT((MONTH('Daily Summary'!$B$5:$B$35)=10)*('Daily Summary'!$D$5:$D$35))</f>
        <v/>
      </c>
      <c r="E14" s="6">
        <f>IFERROR(C14/D14,0)</f>
        <v/>
      </c>
      <c r="F14" s="6">
        <f>MAX(IF(MONTH('Daily Summary'!$B$5:$B$35)=10,'Daily Summary'!$C$5:$C$35))</f>
        <v/>
      </c>
      <c r="G14" s="5" t="inlineStr"/>
    </row>
    <row r="15" ht="22" customHeight="1">
      <c r="B15" s="3" t="inlineStr">
        <is>
          <t>November</t>
        </is>
      </c>
      <c r="C15" s="4">
        <f>SUMPRODUCT((MONTH('Daily Summary'!$B$5:$B$35)=11)*('Daily Summary'!$C$5:$C$35))</f>
        <v/>
      </c>
      <c r="D15" s="9">
        <f>SUMPRODUCT((MONTH('Daily Summary'!$B$5:$B$35)=11)*('Daily Summary'!$D$5:$D$35))</f>
        <v/>
      </c>
      <c r="E15" s="4">
        <f>IFERROR(C15/D15,0)</f>
        <v/>
      </c>
      <c r="F15" s="4">
        <f>MAX(IF(MONTH('Daily Summary'!$B$5:$B$35)=11,'Daily Summary'!$C$5:$C$35))</f>
        <v/>
      </c>
      <c r="G15" s="3" t="inlineStr"/>
    </row>
    <row r="16" ht="22" customHeight="1">
      <c r="B16" s="5" t="inlineStr">
        <is>
          <t>December</t>
        </is>
      </c>
      <c r="C16" s="6">
        <f>SUMPRODUCT((MONTH('Daily Summary'!$B$5:$B$35)=12)*('Daily Summary'!$C$5:$C$35))</f>
        <v/>
      </c>
      <c r="D16" s="10">
        <f>SUMPRODUCT((MONTH('Daily Summary'!$B$5:$B$35)=12)*('Daily Summary'!$D$5:$D$35))</f>
        <v/>
      </c>
      <c r="E16" s="6">
        <f>IFERROR(C16/D16,0)</f>
        <v/>
      </c>
      <c r="F16" s="6">
        <f>MAX(IF(MONTH('Daily Summary'!$B$5:$B$35)=12,'Daily Summary'!$C$5:$C$35))</f>
        <v/>
      </c>
      <c r="G16" s="5" t="inlineStr"/>
    </row>
    <row r="17" ht="26" customHeight="1">
      <c r="B17" s="7" t="inlineStr">
        <is>
          <t>TOTALS</t>
        </is>
      </c>
      <c r="C17" s="8">
        <f>SUM(C5:C16)</f>
        <v/>
      </c>
      <c r="D17" s="11">
        <f>SUM(D5:D16)</f>
        <v/>
      </c>
      <c r="E17" s="8">
        <f>IFERROR(C17/D17,0)</f>
        <v/>
      </c>
      <c r="F17" s="7" t="n"/>
      <c r="G17" s="7" t="n"/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 ht="15" customHeight="1"/>
    <row r="2" ht="32" customHeight="1">
      <c r="B2" s="12" t="inlineStr">
        <is>
          <t>YOUR COMPANY NAME</t>
        </is>
      </c>
    </row>
    <row r="3" ht="8" customHeight="1">
      <c r="B3" s="13" t="inlineStr">
        <is>
          <t>Address Line | Phone | Email | Website</t>
        </is>
      </c>
    </row>
    <row r="5">
      <c r="B5" s="14" t="inlineStr">
        <is>
          <t>Invoice #:</t>
        </is>
      </c>
      <c r="C5" t="inlineStr"/>
      <c r="E5" s="14" t="inlineStr">
        <is>
          <t>Date:</t>
        </is>
      </c>
      <c r="F5" t="inlineStr"/>
    </row>
    <row r="6">
      <c r="B6" s="14" t="inlineStr">
        <is>
          <t>Customer:</t>
        </is>
      </c>
      <c r="C6" t="inlineStr"/>
      <c r="E6" s="14" t="inlineStr">
        <is>
          <t>Staff:</t>
        </is>
      </c>
      <c r="F6" t="inlineStr"/>
    </row>
    <row r="8" ht="28" customHeight="1">
      <c r="B8" s="2" t="inlineStr">
        <is>
          <t>Item</t>
        </is>
      </c>
      <c r="C8" s="2" t="inlineStr">
        <is>
          <t>Qty</t>
        </is>
      </c>
      <c r="D8" s="2" t="inlineStr">
        <is>
          <t>Price</t>
        </is>
      </c>
      <c r="E8" s="2" t="inlineStr">
        <is>
          <t>Total</t>
        </is>
      </c>
    </row>
    <row r="9" ht="22" customHeight="1">
      <c r="B9" s="3" t="n"/>
      <c r="C9" s="3" t="n"/>
      <c r="D9" s="4" t="n"/>
      <c r="E9" s="4">
        <f>IFERROR(C9*D9,0)</f>
        <v/>
      </c>
    </row>
    <row r="10" ht="22" customHeight="1">
      <c r="B10" s="5" t="n"/>
      <c r="C10" s="5" t="n"/>
      <c r="D10" s="6" t="n"/>
      <c r="E10" s="6">
        <f>IFERROR(C10*D10,0)</f>
        <v/>
      </c>
    </row>
    <row r="11" ht="22" customHeight="1">
      <c r="B11" s="3" t="n"/>
      <c r="C11" s="3" t="n"/>
      <c r="D11" s="4" t="n"/>
      <c r="E11" s="4">
        <f>IFERROR(C11*D11,0)</f>
        <v/>
      </c>
    </row>
    <row r="12" ht="22" customHeight="1">
      <c r="B12" s="5" t="n"/>
      <c r="C12" s="5" t="n"/>
      <c r="D12" s="6" t="n"/>
      <c r="E12" s="6">
        <f>IFERROR(C12*D12,0)</f>
        <v/>
      </c>
    </row>
    <row r="13" ht="22" customHeight="1">
      <c r="B13" s="3" t="n"/>
      <c r="C13" s="3" t="n"/>
      <c r="D13" s="4" t="n"/>
      <c r="E13" s="4">
        <f>IFERROR(C13*D13,0)</f>
        <v/>
      </c>
    </row>
    <row r="14" ht="22" customHeight="1">
      <c r="B14" s="5" t="n"/>
      <c r="C14" s="5" t="n"/>
      <c r="D14" s="6" t="n"/>
      <c r="E14" s="6">
        <f>IFERROR(C14*D14,0)</f>
        <v/>
      </c>
    </row>
    <row r="15" ht="22" customHeight="1">
      <c r="B15" s="3" t="n"/>
      <c r="C15" s="3" t="n"/>
      <c r="D15" s="4" t="n"/>
      <c r="E15" s="4">
        <f>IFERROR(C15*D15,0)</f>
        <v/>
      </c>
    </row>
    <row r="16" ht="22" customHeight="1">
      <c r="B16" s="5" t="n"/>
      <c r="C16" s="5" t="n"/>
      <c r="D16" s="6" t="n"/>
      <c r="E16" s="6">
        <f>IFERROR(C16*D16,0)</f>
        <v/>
      </c>
    </row>
    <row r="17" ht="22" customHeight="1">
      <c r="B17" s="3" t="n"/>
      <c r="C17" s="3" t="n"/>
      <c r="D17" s="4" t="n"/>
      <c r="E17" s="4">
        <f>IFERROR(C17*D17,0)</f>
        <v/>
      </c>
    </row>
    <row r="18" ht="22" customHeight="1">
      <c r="B18" s="5" t="n"/>
      <c r="C18" s="5" t="n"/>
      <c r="D18" s="6" t="n"/>
      <c r="E18" s="6">
        <f>IFERROR(C18*D18,0)</f>
        <v/>
      </c>
    </row>
    <row r="19" ht="26" customHeight="1">
      <c r="B19" s="7" t="inlineStr">
        <is>
          <t>Subtotal</t>
        </is>
      </c>
      <c r="C19" s="7" t="n"/>
      <c r="D19" s="7" t="n"/>
      <c r="E19" s="8">
        <f>SUM(E9:E18)</f>
        <v/>
      </c>
    </row>
    <row r="20" ht="22" customHeight="1">
      <c r="B20" s="5" t="inlineStr">
        <is>
          <t>VAT 5%</t>
        </is>
      </c>
      <c r="C20" s="5" t="n"/>
      <c r="D20" s="5" t="n"/>
      <c r="E20" s="6">
        <f>IFERROR(E19*0.05,0)</f>
        <v/>
      </c>
    </row>
    <row r="21" ht="22" customHeight="1">
      <c r="B21" s="3" t="inlineStr">
        <is>
          <t>Discount</t>
        </is>
      </c>
      <c r="C21" s="3" t="n"/>
      <c r="D21" s="3" t="n"/>
      <c r="E21" s="4" t="inlineStr"/>
    </row>
    <row r="22" ht="26" customHeight="1">
      <c r="B22" s="15" t="inlineStr">
        <is>
          <t>GRAND TOTAL</t>
        </is>
      </c>
      <c r="C22" s="7" t="n"/>
      <c r="D22" s="7" t="n"/>
      <c r="E22" s="8">
        <f>IFERROR(E19+E20-E21,0)</f>
        <v/>
      </c>
    </row>
    <row r="24">
      <c r="B24" s="16" t="inlineStr">
        <is>
          <t>Thank you for your business!</t>
        </is>
      </c>
    </row>
  </sheetData>
  <mergeCells count="2">
    <mergeCell ref="B3:H3"/>
    <mergeCell ref="B2:H2"/>
  </mergeCells>
  <pageMargins left="0.75" right="0.75" top="1" bottom="1" header="0.5" footer="0.5"/>
  <pageSetup orientation="portrait" paperSize="11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B2:J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8" customWidth="1" min="9" max="9"/>
    <col width="16" customWidth="1" min="10" max="10"/>
  </cols>
  <sheetData>
    <row r="1" ht="15" customHeight="1"/>
    <row r="2" ht="32" customHeight="1">
      <c r="B2" s="1" t="inlineStr">
        <is>
          <t>Inventory</t>
        </is>
      </c>
    </row>
    <row r="3" ht="8" customHeight="1"/>
    <row r="4" ht="28" customHeight="1">
      <c r="B4" s="2" t="inlineStr">
        <is>
          <t>Product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Unit Price</t>
        </is>
      </c>
      <c r="F4" s="2" t="inlineStr">
        <is>
          <t>Stock Qty</t>
        </is>
      </c>
      <c r="G4" s="2" t="inlineStr">
        <is>
          <t>Reorder Level</t>
        </is>
      </c>
      <c r="H4" s="2" t="inlineStr">
        <is>
          <t>Status</t>
        </is>
      </c>
      <c r="I4" s="2" t="inlineStr">
        <is>
          <t>Supplier</t>
        </is>
      </c>
      <c r="J4" s="2" t="inlineStr">
        <is>
          <t>Last Restocked</t>
        </is>
      </c>
    </row>
    <row r="5" ht="22" customHeight="1">
      <c r="B5" s="3" t="n"/>
      <c r="C5" s="3" t="n"/>
      <c r="D5" s="3" t="n"/>
      <c r="E5" s="4" t="n"/>
      <c r="F5" s="3" t="n"/>
      <c r="G5" s="3" t="n"/>
      <c r="H5" s="3">
        <f>IF(F5&lt;=G5,"LOW STOCK","In Stock")</f>
        <v/>
      </c>
      <c r="I5" s="3" t="n"/>
      <c r="J5" s="3" t="n"/>
    </row>
    <row r="6" ht="22" customHeight="1">
      <c r="B6" s="5" t="n"/>
      <c r="C6" s="5" t="n"/>
      <c r="D6" s="5" t="n"/>
      <c r="E6" s="6" t="n"/>
      <c r="F6" s="5" t="n"/>
      <c r="G6" s="5" t="n"/>
      <c r="H6" s="5">
        <f>IF(F6&lt;=G6,"LOW STOCK","In Stock")</f>
        <v/>
      </c>
      <c r="I6" s="5" t="n"/>
      <c r="J6" s="5" t="n"/>
    </row>
    <row r="7" ht="22" customHeight="1">
      <c r="B7" s="3" t="n"/>
      <c r="C7" s="3" t="n"/>
      <c r="D7" s="3" t="n"/>
      <c r="E7" s="4" t="n"/>
      <c r="F7" s="3" t="n"/>
      <c r="G7" s="3" t="n"/>
      <c r="H7" s="3">
        <f>IF(F7&lt;=G7,"LOW STOCK","In Stock")</f>
        <v/>
      </c>
      <c r="I7" s="3" t="n"/>
      <c r="J7" s="3" t="n"/>
    </row>
    <row r="8" ht="22" customHeight="1">
      <c r="B8" s="5" t="n"/>
      <c r="C8" s="5" t="n"/>
      <c r="D8" s="5" t="n"/>
      <c r="E8" s="6" t="n"/>
      <c r="F8" s="5" t="n"/>
      <c r="G8" s="5" t="n"/>
      <c r="H8" s="5">
        <f>IF(F8&lt;=G8,"LOW STOCK","In Stock")</f>
        <v/>
      </c>
      <c r="I8" s="5" t="n"/>
      <c r="J8" s="5" t="n"/>
    </row>
    <row r="9" ht="22" customHeight="1">
      <c r="B9" s="3" t="n"/>
      <c r="C9" s="3" t="n"/>
      <c r="D9" s="3" t="n"/>
      <c r="E9" s="4" t="n"/>
      <c r="F9" s="3" t="n"/>
      <c r="G9" s="3" t="n"/>
      <c r="H9" s="3">
        <f>IF(F9&lt;=G9,"LOW STOCK","In Stock")</f>
        <v/>
      </c>
      <c r="I9" s="3" t="n"/>
      <c r="J9" s="3" t="n"/>
    </row>
    <row r="10" ht="22" customHeight="1">
      <c r="B10" s="5" t="n"/>
      <c r="C10" s="5" t="n"/>
      <c r="D10" s="5" t="n"/>
      <c r="E10" s="6" t="n"/>
      <c r="F10" s="5" t="n"/>
      <c r="G10" s="5" t="n"/>
      <c r="H10" s="5">
        <f>IF(F10&lt;=G10,"LOW STOCK","In Stock")</f>
        <v/>
      </c>
      <c r="I10" s="5" t="n"/>
      <c r="J10" s="5" t="n"/>
    </row>
    <row r="11" ht="22" customHeight="1">
      <c r="B11" s="3" t="n"/>
      <c r="C11" s="3" t="n"/>
      <c r="D11" s="3" t="n"/>
      <c r="E11" s="4" t="n"/>
      <c r="F11" s="3" t="n"/>
      <c r="G11" s="3" t="n"/>
      <c r="H11" s="3">
        <f>IF(F11&lt;=G11,"LOW STOCK","In Stock")</f>
        <v/>
      </c>
      <c r="I11" s="3" t="n"/>
      <c r="J11" s="3" t="n"/>
    </row>
    <row r="12" ht="22" customHeight="1">
      <c r="B12" s="5" t="n"/>
      <c r="C12" s="5" t="n"/>
      <c r="D12" s="5" t="n"/>
      <c r="E12" s="6" t="n"/>
      <c r="F12" s="5" t="n"/>
      <c r="G12" s="5" t="n"/>
      <c r="H12" s="5">
        <f>IF(F12&lt;=G12,"LOW STOCK","In Stock")</f>
        <v/>
      </c>
      <c r="I12" s="5" t="n"/>
      <c r="J12" s="5" t="n"/>
    </row>
    <row r="13" ht="22" customHeight="1">
      <c r="B13" s="3" t="n"/>
      <c r="C13" s="3" t="n"/>
      <c r="D13" s="3" t="n"/>
      <c r="E13" s="4" t="n"/>
      <c r="F13" s="3" t="n"/>
      <c r="G13" s="3" t="n"/>
      <c r="H13" s="3">
        <f>IF(F13&lt;=G13,"LOW STOCK","In Stock")</f>
        <v/>
      </c>
      <c r="I13" s="3" t="n"/>
      <c r="J13" s="3" t="n"/>
    </row>
    <row r="14" ht="22" customHeight="1">
      <c r="B14" s="5" t="n"/>
      <c r="C14" s="5" t="n"/>
      <c r="D14" s="5" t="n"/>
      <c r="E14" s="6" t="n"/>
      <c r="F14" s="5" t="n"/>
      <c r="G14" s="5" t="n"/>
      <c r="H14" s="5">
        <f>IF(F14&lt;=G14,"LOW STOCK","In Stock")</f>
        <v/>
      </c>
      <c r="I14" s="5" t="n"/>
      <c r="J14" s="5" t="n"/>
    </row>
    <row r="15" ht="22" customHeight="1">
      <c r="B15" s="3" t="n"/>
      <c r="C15" s="3" t="n"/>
      <c r="D15" s="3" t="n"/>
      <c r="E15" s="4" t="n"/>
      <c r="F15" s="3" t="n"/>
      <c r="G15" s="3" t="n"/>
      <c r="H15" s="3">
        <f>IF(F15&lt;=G15,"LOW STOCK","In Stock")</f>
        <v/>
      </c>
      <c r="I15" s="3" t="n"/>
      <c r="J15" s="3" t="n"/>
    </row>
    <row r="16" ht="22" customHeight="1">
      <c r="B16" s="5" t="n"/>
      <c r="C16" s="5" t="n"/>
      <c r="D16" s="5" t="n"/>
      <c r="E16" s="6" t="n"/>
      <c r="F16" s="5" t="n"/>
      <c r="G16" s="5" t="n"/>
      <c r="H16" s="5">
        <f>IF(F16&lt;=G16,"LOW STOCK","In Stock")</f>
        <v/>
      </c>
      <c r="I16" s="5" t="n"/>
      <c r="J16" s="5" t="n"/>
    </row>
    <row r="17" ht="22" customHeight="1">
      <c r="B17" s="3" t="n"/>
      <c r="C17" s="3" t="n"/>
      <c r="D17" s="3" t="n"/>
      <c r="E17" s="4" t="n"/>
      <c r="F17" s="3" t="n"/>
      <c r="G17" s="3" t="n"/>
      <c r="H17" s="3">
        <f>IF(F17&lt;=G17,"LOW STOCK","In Stock")</f>
        <v/>
      </c>
      <c r="I17" s="3" t="n"/>
      <c r="J17" s="3" t="n"/>
    </row>
    <row r="18" ht="22" customHeight="1">
      <c r="B18" s="5" t="n"/>
      <c r="C18" s="5" t="n"/>
      <c r="D18" s="5" t="n"/>
      <c r="E18" s="6" t="n"/>
      <c r="F18" s="5" t="n"/>
      <c r="G18" s="5" t="n"/>
      <c r="H18" s="5">
        <f>IF(F18&lt;=G18,"LOW STOCK","In Stock")</f>
        <v/>
      </c>
      <c r="I18" s="5" t="n"/>
      <c r="J18" s="5" t="n"/>
    </row>
    <row r="19" ht="22" customHeight="1">
      <c r="B19" s="3" t="n"/>
      <c r="C19" s="3" t="n"/>
      <c r="D19" s="3" t="n"/>
      <c r="E19" s="4" t="n"/>
      <c r="F19" s="3" t="n"/>
      <c r="G19" s="3" t="n"/>
      <c r="H19" s="3">
        <f>IF(F19&lt;=G19,"LOW STOCK","In Stock")</f>
        <v/>
      </c>
      <c r="I19" s="3" t="n"/>
      <c r="J19" s="3" t="n"/>
    </row>
    <row r="20" ht="22" customHeight="1">
      <c r="B20" s="5" t="n"/>
      <c r="C20" s="5" t="n"/>
      <c r="D20" s="5" t="n"/>
      <c r="E20" s="6" t="n"/>
      <c r="F20" s="5" t="n"/>
      <c r="G20" s="5" t="n"/>
      <c r="H20" s="5">
        <f>IF(F20&lt;=G20,"LOW STOCK","In Stock")</f>
        <v/>
      </c>
      <c r="I20" s="5" t="n"/>
      <c r="J20" s="5" t="n"/>
    </row>
    <row r="21" ht="22" customHeight="1">
      <c r="B21" s="3" t="n"/>
      <c r="C21" s="3" t="n"/>
      <c r="D21" s="3" t="n"/>
      <c r="E21" s="4" t="n"/>
      <c r="F21" s="3" t="n"/>
      <c r="G21" s="3" t="n"/>
      <c r="H21" s="3">
        <f>IF(F21&lt;=G21,"LOW STOCK","In Stock")</f>
        <v/>
      </c>
      <c r="I21" s="3" t="n"/>
      <c r="J21" s="3" t="n"/>
    </row>
    <row r="22" ht="22" customHeight="1">
      <c r="B22" s="5" t="n"/>
      <c r="C22" s="5" t="n"/>
      <c r="D22" s="5" t="n"/>
      <c r="E22" s="6" t="n"/>
      <c r="F22" s="5" t="n"/>
      <c r="G22" s="5" t="n"/>
      <c r="H22" s="5">
        <f>IF(F22&lt;=G22,"LOW STOCK","In Stock")</f>
        <v/>
      </c>
      <c r="I22" s="5" t="n"/>
      <c r="J22" s="5" t="n"/>
    </row>
    <row r="23" ht="22" customHeight="1">
      <c r="B23" s="3" t="n"/>
      <c r="C23" s="3" t="n"/>
      <c r="D23" s="3" t="n"/>
      <c r="E23" s="4" t="n"/>
      <c r="F23" s="3" t="n"/>
      <c r="G23" s="3" t="n"/>
      <c r="H23" s="3">
        <f>IF(F23&lt;=G23,"LOW STOCK","In Stock")</f>
        <v/>
      </c>
      <c r="I23" s="3" t="n"/>
      <c r="J23" s="3" t="n"/>
    </row>
    <row r="24" ht="22" customHeight="1">
      <c r="B24" s="5" t="n"/>
      <c r="C24" s="5" t="n"/>
      <c r="D24" s="5" t="n"/>
      <c r="E24" s="6" t="n"/>
      <c r="F24" s="5" t="n"/>
      <c r="G24" s="5" t="n"/>
      <c r="H24" s="5">
        <f>IF(F24&lt;=G24,"LOW STOCK","In Stock")</f>
        <v/>
      </c>
      <c r="I24" s="5" t="n"/>
      <c r="J24" s="5" t="n"/>
    </row>
    <row r="25" ht="22" customHeight="1">
      <c r="B25" s="3" t="n"/>
      <c r="C25" s="3" t="n"/>
      <c r="D25" s="3" t="n"/>
      <c r="E25" s="4" t="n"/>
      <c r="F25" s="3" t="n"/>
      <c r="G25" s="3" t="n"/>
      <c r="H25" s="3">
        <f>IF(F25&lt;=G25,"LOW STOCK","In Stock")</f>
        <v/>
      </c>
      <c r="I25" s="3" t="n"/>
      <c r="J25" s="3" t="n"/>
    </row>
    <row r="26" ht="22" customHeight="1">
      <c r="B26" s="5" t="n"/>
      <c r="C26" s="5" t="n"/>
      <c r="D26" s="5" t="n"/>
      <c r="E26" s="6" t="n"/>
      <c r="F26" s="5" t="n"/>
      <c r="G26" s="5" t="n"/>
      <c r="H26" s="5">
        <f>IF(F26&lt;=G26,"LOW STOCK","In Stock")</f>
        <v/>
      </c>
      <c r="I26" s="5" t="n"/>
      <c r="J26" s="5" t="n"/>
    </row>
    <row r="27" ht="22" customHeight="1">
      <c r="B27" s="3" t="n"/>
      <c r="C27" s="3" t="n"/>
      <c r="D27" s="3" t="n"/>
      <c r="E27" s="4" t="n"/>
      <c r="F27" s="3" t="n"/>
      <c r="G27" s="3" t="n"/>
      <c r="H27" s="3">
        <f>IF(F27&lt;=G27,"LOW STOCK","In Stock")</f>
        <v/>
      </c>
      <c r="I27" s="3" t="n"/>
      <c r="J27" s="3" t="n"/>
    </row>
    <row r="28" ht="22" customHeight="1">
      <c r="B28" s="5" t="n"/>
      <c r="C28" s="5" t="n"/>
      <c r="D28" s="5" t="n"/>
      <c r="E28" s="6" t="n"/>
      <c r="F28" s="5" t="n"/>
      <c r="G28" s="5" t="n"/>
      <c r="H28" s="5">
        <f>IF(F28&lt;=G28,"LOW STOCK","In Stock")</f>
        <v/>
      </c>
      <c r="I28" s="5" t="n"/>
      <c r="J28" s="5" t="n"/>
    </row>
    <row r="29" ht="22" customHeight="1">
      <c r="B29" s="3" t="n"/>
      <c r="C29" s="3" t="n"/>
      <c r="D29" s="3" t="n"/>
      <c r="E29" s="4" t="n"/>
      <c r="F29" s="3" t="n"/>
      <c r="G29" s="3" t="n"/>
      <c r="H29" s="3">
        <f>IF(F29&lt;=G29,"LOW STOCK","In Stock")</f>
        <v/>
      </c>
      <c r="I29" s="3" t="n"/>
      <c r="J29" s="3" t="n"/>
    </row>
    <row r="30" ht="22" customHeight="1">
      <c r="B30" s="5" t="n"/>
      <c r="C30" s="5" t="n"/>
      <c r="D30" s="5" t="n"/>
      <c r="E30" s="6" t="n"/>
      <c r="F30" s="5" t="n"/>
      <c r="G30" s="5" t="n"/>
      <c r="H30" s="5">
        <f>IF(F30&lt;=G30,"LOW STOCK","In Stock")</f>
        <v/>
      </c>
      <c r="I30" s="5" t="n"/>
      <c r="J30" s="5" t="n"/>
    </row>
    <row r="31" ht="22" customHeight="1">
      <c r="B31" s="3" t="n"/>
      <c r="C31" s="3" t="n"/>
      <c r="D31" s="3" t="n"/>
      <c r="E31" s="4" t="n"/>
      <c r="F31" s="3" t="n"/>
      <c r="G31" s="3" t="n"/>
      <c r="H31" s="3">
        <f>IF(F31&lt;=G31,"LOW STOCK","In Stock")</f>
        <v/>
      </c>
      <c r="I31" s="3" t="n"/>
      <c r="J31" s="3" t="n"/>
    </row>
    <row r="32" ht="22" customHeight="1">
      <c r="B32" s="5" t="n"/>
      <c r="C32" s="5" t="n"/>
      <c r="D32" s="5" t="n"/>
      <c r="E32" s="6" t="n"/>
      <c r="F32" s="5" t="n"/>
      <c r="G32" s="5" t="n"/>
      <c r="H32" s="5">
        <f>IF(F32&lt;=G32,"LOW STOCK","In Stock")</f>
        <v/>
      </c>
      <c r="I32" s="5" t="n"/>
      <c r="J32" s="5" t="n"/>
    </row>
    <row r="33" ht="22" customHeight="1">
      <c r="B33" s="3" t="n"/>
      <c r="C33" s="3" t="n"/>
      <c r="D33" s="3" t="n"/>
      <c r="E33" s="4" t="n"/>
      <c r="F33" s="3" t="n"/>
      <c r="G33" s="3" t="n"/>
      <c r="H33" s="3">
        <f>IF(F33&lt;=G33,"LOW STOCK","In Stock")</f>
        <v/>
      </c>
      <c r="I33" s="3" t="n"/>
      <c r="J33" s="3" t="n"/>
    </row>
    <row r="34" ht="22" customHeight="1">
      <c r="B34" s="5" t="n"/>
      <c r="C34" s="5" t="n"/>
      <c r="D34" s="5" t="n"/>
      <c r="E34" s="6" t="n"/>
      <c r="F34" s="5" t="n"/>
      <c r="G34" s="5" t="n"/>
      <c r="H34" s="5">
        <f>IF(F34&lt;=G34,"LOW STOCK","In Stock")</f>
        <v/>
      </c>
      <c r="I34" s="5" t="n"/>
      <c r="J34" s="5" t="n"/>
    </row>
    <row r="35" ht="22" customHeight="1">
      <c r="B35" s="3" t="n"/>
      <c r="C35" s="3" t="n"/>
      <c r="D35" s="3" t="n"/>
      <c r="E35" s="4" t="n"/>
      <c r="F35" s="3" t="n"/>
      <c r="G35" s="3" t="n"/>
      <c r="H35" s="3">
        <f>IF(F35&lt;=G35,"LOW STOCK","In Stock")</f>
        <v/>
      </c>
      <c r="I35" s="3" t="n"/>
      <c r="J35" s="3" t="n"/>
    </row>
    <row r="36" ht="22" customHeight="1">
      <c r="B36" s="5" t="n"/>
      <c r="C36" s="5" t="n"/>
      <c r="D36" s="5" t="n"/>
      <c r="E36" s="6" t="n"/>
      <c r="F36" s="5" t="n"/>
      <c r="G36" s="5" t="n"/>
      <c r="H36" s="5">
        <f>IF(F36&lt;=G36,"LOW STOCK","In Stock")</f>
        <v/>
      </c>
      <c r="I36" s="5" t="n"/>
      <c r="J36" s="5" t="n"/>
    </row>
    <row r="37" ht="22" customHeight="1">
      <c r="B37" s="3" t="n"/>
      <c r="C37" s="3" t="n"/>
      <c r="D37" s="3" t="n"/>
      <c r="E37" s="4" t="n"/>
      <c r="F37" s="3" t="n"/>
      <c r="G37" s="3" t="n"/>
      <c r="H37" s="3">
        <f>IF(F37&lt;=G37,"LOW STOCK","In Stock")</f>
        <v/>
      </c>
      <c r="I37" s="3" t="n"/>
      <c r="J37" s="3" t="n"/>
    </row>
    <row r="38" ht="22" customHeight="1">
      <c r="B38" s="5" t="n"/>
      <c r="C38" s="5" t="n"/>
      <c r="D38" s="5" t="n"/>
      <c r="E38" s="6" t="n"/>
      <c r="F38" s="5" t="n"/>
      <c r="G38" s="5" t="n"/>
      <c r="H38" s="5">
        <f>IF(F38&lt;=G38,"LOW STOCK","In Stock")</f>
        <v/>
      </c>
      <c r="I38" s="5" t="n"/>
      <c r="J38" s="5" t="n"/>
    </row>
    <row r="39" ht="22" customHeight="1">
      <c r="B39" s="3" t="n"/>
      <c r="C39" s="3" t="n"/>
      <c r="D39" s="3" t="n"/>
      <c r="E39" s="4" t="n"/>
      <c r="F39" s="3" t="n"/>
      <c r="G39" s="3" t="n"/>
      <c r="H39" s="3">
        <f>IF(F39&lt;=G39,"LOW STOCK","In Stock")</f>
        <v/>
      </c>
      <c r="I39" s="3" t="n"/>
      <c r="J39" s="3" t="n"/>
    </row>
    <row r="40" ht="22" customHeight="1">
      <c r="B40" s="5" t="n"/>
      <c r="C40" s="5" t="n"/>
      <c r="D40" s="5" t="n"/>
      <c r="E40" s="6" t="n"/>
      <c r="F40" s="5" t="n"/>
      <c r="G40" s="5" t="n"/>
      <c r="H40" s="5">
        <f>IF(F40&lt;=G40,"LOW STOCK","In Stock")</f>
        <v/>
      </c>
      <c r="I40" s="5" t="n"/>
      <c r="J40" s="5" t="n"/>
    </row>
    <row r="41" ht="22" customHeight="1">
      <c r="B41" s="3" t="n"/>
      <c r="C41" s="3" t="n"/>
      <c r="D41" s="3" t="n"/>
      <c r="E41" s="4" t="n"/>
      <c r="F41" s="3" t="n"/>
      <c r="G41" s="3" t="n"/>
      <c r="H41" s="3">
        <f>IF(F41&lt;=G41,"LOW STOCK","In Stock")</f>
        <v/>
      </c>
      <c r="I41" s="3" t="n"/>
      <c r="J41" s="3" t="n"/>
    </row>
    <row r="42" ht="22" customHeight="1">
      <c r="B42" s="5" t="n"/>
      <c r="C42" s="5" t="n"/>
      <c r="D42" s="5" t="n"/>
      <c r="E42" s="6" t="n"/>
      <c r="F42" s="5" t="n"/>
      <c r="G42" s="5" t="n"/>
      <c r="H42" s="5">
        <f>IF(F42&lt;=G42,"LOW STOCK","In Stock")</f>
        <v/>
      </c>
      <c r="I42" s="5" t="n"/>
      <c r="J42" s="5" t="n"/>
    </row>
    <row r="43" ht="22" customHeight="1">
      <c r="B43" s="3" t="n"/>
      <c r="C43" s="3" t="n"/>
      <c r="D43" s="3" t="n"/>
      <c r="E43" s="4" t="n"/>
      <c r="F43" s="3" t="n"/>
      <c r="G43" s="3" t="n"/>
      <c r="H43" s="3">
        <f>IF(F43&lt;=G43,"LOW STOCK","In Stock")</f>
        <v/>
      </c>
      <c r="I43" s="3" t="n"/>
      <c r="J43" s="3" t="n"/>
    </row>
    <row r="44" ht="22" customHeight="1">
      <c r="B44" s="5" t="n"/>
      <c r="C44" s="5" t="n"/>
      <c r="D44" s="5" t="n"/>
      <c r="E44" s="6" t="n"/>
      <c r="F44" s="5" t="n"/>
      <c r="G44" s="5" t="n"/>
      <c r="H44" s="5">
        <f>IF(F44&lt;=G44,"LOW STOCK","In Stock")</f>
        <v/>
      </c>
      <c r="I44" s="5" t="n"/>
      <c r="J44" s="5" t="n"/>
    </row>
    <row r="45" ht="22" customHeight="1">
      <c r="B45" s="3" t="n"/>
      <c r="C45" s="3" t="n"/>
      <c r="D45" s="3" t="n"/>
      <c r="E45" s="4" t="n"/>
      <c r="F45" s="3" t="n"/>
      <c r="G45" s="3" t="n"/>
      <c r="H45" s="3">
        <f>IF(F45&lt;=G45,"LOW STOCK","In Stock")</f>
        <v/>
      </c>
      <c r="I45" s="3" t="n"/>
      <c r="J45" s="3" t="n"/>
    </row>
    <row r="46" ht="22" customHeight="1">
      <c r="B46" s="5" t="n"/>
      <c r="C46" s="5" t="n"/>
      <c r="D46" s="5" t="n"/>
      <c r="E46" s="6" t="n"/>
      <c r="F46" s="5" t="n"/>
      <c r="G46" s="5" t="n"/>
      <c r="H46" s="5">
        <f>IF(F46&lt;=G46,"LOW STOCK","In Stock")</f>
        <v/>
      </c>
      <c r="I46" s="5" t="n"/>
      <c r="J46" s="5" t="n"/>
    </row>
    <row r="47" ht="22" customHeight="1">
      <c r="B47" s="3" t="n"/>
      <c r="C47" s="3" t="n"/>
      <c r="D47" s="3" t="n"/>
      <c r="E47" s="4" t="n"/>
      <c r="F47" s="3" t="n"/>
      <c r="G47" s="3" t="n"/>
      <c r="H47" s="3">
        <f>IF(F47&lt;=G47,"LOW STOCK","In Stock")</f>
        <v/>
      </c>
      <c r="I47" s="3" t="n"/>
      <c r="J47" s="3" t="n"/>
    </row>
    <row r="48" ht="22" customHeight="1">
      <c r="B48" s="5" t="n"/>
      <c r="C48" s="5" t="n"/>
      <c r="D48" s="5" t="n"/>
      <c r="E48" s="6" t="n"/>
      <c r="F48" s="5" t="n"/>
      <c r="G48" s="5" t="n"/>
      <c r="H48" s="5">
        <f>IF(F48&lt;=G48,"LOW STOCK","In Stock")</f>
        <v/>
      </c>
      <c r="I48" s="5" t="n"/>
      <c r="J48" s="5" t="n"/>
    </row>
    <row r="49" ht="22" customHeight="1">
      <c r="B49" s="3" t="n"/>
      <c r="C49" s="3" t="n"/>
      <c r="D49" s="3" t="n"/>
      <c r="E49" s="4" t="n"/>
      <c r="F49" s="3" t="n"/>
      <c r="G49" s="3" t="n"/>
      <c r="H49" s="3">
        <f>IF(F49&lt;=G49,"LOW STOCK","In Stock")</f>
        <v/>
      </c>
      <c r="I49" s="3" t="n"/>
      <c r="J49" s="3" t="n"/>
    </row>
    <row r="50" ht="22" customHeight="1">
      <c r="B50" s="5" t="n"/>
      <c r="C50" s="5" t="n"/>
      <c r="D50" s="5" t="n"/>
      <c r="E50" s="6" t="n"/>
      <c r="F50" s="5" t="n"/>
      <c r="G50" s="5" t="n"/>
      <c r="H50" s="5">
        <f>IF(F50&lt;=G50,"LOW STOCK","In Stock")</f>
        <v/>
      </c>
      <c r="I50" s="5" t="n"/>
      <c r="J50" s="5" t="n"/>
    </row>
    <row r="51" ht="22" customHeight="1">
      <c r="B51" s="3" t="n"/>
      <c r="C51" s="3" t="n"/>
      <c r="D51" s="3" t="n"/>
      <c r="E51" s="4" t="n"/>
      <c r="F51" s="3" t="n"/>
      <c r="G51" s="3" t="n"/>
      <c r="H51" s="3">
        <f>IF(F51&lt;=G51,"LOW STOCK","In Stock")</f>
        <v/>
      </c>
      <c r="I51" s="3" t="n"/>
      <c r="J51" s="3" t="n"/>
    </row>
    <row r="52" ht="22" customHeight="1">
      <c r="B52" s="5" t="n"/>
      <c r="C52" s="5" t="n"/>
      <c r="D52" s="5" t="n"/>
      <c r="E52" s="6" t="n"/>
      <c r="F52" s="5" t="n"/>
      <c r="G52" s="5" t="n"/>
      <c r="H52" s="5">
        <f>IF(F52&lt;=G52,"LOW STOCK","In Stock")</f>
        <v/>
      </c>
      <c r="I52" s="5" t="n"/>
      <c r="J52" s="5" t="n"/>
    </row>
    <row r="53" ht="22" customHeight="1">
      <c r="B53" s="3" t="n"/>
      <c r="C53" s="3" t="n"/>
      <c r="D53" s="3" t="n"/>
      <c r="E53" s="4" t="n"/>
      <c r="F53" s="3" t="n"/>
      <c r="G53" s="3" t="n"/>
      <c r="H53" s="3">
        <f>IF(F53&lt;=G53,"LOW STOCK","In Stock")</f>
        <v/>
      </c>
      <c r="I53" s="3" t="n"/>
      <c r="J53" s="3" t="n"/>
    </row>
    <row r="54" ht="22" customHeight="1">
      <c r="B54" s="5" t="n"/>
      <c r="C54" s="5" t="n"/>
      <c r="D54" s="5" t="n"/>
      <c r="E54" s="6" t="n"/>
      <c r="F54" s="5" t="n"/>
      <c r="G54" s="5" t="n"/>
      <c r="H54" s="5">
        <f>IF(F54&lt;=G54,"LOW STOCK","In Stock")</f>
        <v/>
      </c>
      <c r="I54" s="5" t="n"/>
      <c r="J54" s="5" t="n"/>
    </row>
    <row r="55" ht="22" customHeight="1">
      <c r="B55" s="3" t="n"/>
      <c r="C55" s="3" t="n"/>
      <c r="D55" s="3" t="n"/>
      <c r="E55" s="4" t="n"/>
      <c r="F55" s="3" t="n"/>
      <c r="G55" s="3" t="n"/>
      <c r="H55" s="3">
        <f>IF(F55&lt;=G55,"LOW STOCK","In Stock")</f>
        <v/>
      </c>
      <c r="I55" s="3" t="n"/>
      <c r="J55" s="3" t="n"/>
    </row>
    <row r="56" ht="22" customHeight="1">
      <c r="B56" s="5" t="n"/>
      <c r="C56" s="5" t="n"/>
      <c r="D56" s="5" t="n"/>
      <c r="E56" s="6" t="n"/>
      <c r="F56" s="5" t="n"/>
      <c r="G56" s="5" t="n"/>
      <c r="H56" s="5">
        <f>IF(F56&lt;=G56,"LOW STOCK","In Stock")</f>
        <v/>
      </c>
      <c r="I56" s="5" t="n"/>
      <c r="J56" s="5" t="n"/>
    </row>
    <row r="57" ht="22" customHeight="1">
      <c r="B57" s="3" t="n"/>
      <c r="C57" s="3" t="n"/>
      <c r="D57" s="3" t="n"/>
      <c r="E57" s="4" t="n"/>
      <c r="F57" s="3" t="n"/>
      <c r="G57" s="3" t="n"/>
      <c r="H57" s="3">
        <f>IF(F57&lt;=G57,"LOW STOCK","In Stock")</f>
        <v/>
      </c>
      <c r="I57" s="3" t="n"/>
      <c r="J57" s="3" t="n"/>
    </row>
    <row r="58" ht="22" customHeight="1">
      <c r="B58" s="5" t="n"/>
      <c r="C58" s="5" t="n"/>
      <c r="D58" s="5" t="n"/>
      <c r="E58" s="6" t="n"/>
      <c r="F58" s="5" t="n"/>
      <c r="G58" s="5" t="n"/>
      <c r="H58" s="5">
        <f>IF(F58&lt;=G58,"LOW STOCK","In Stock")</f>
        <v/>
      </c>
      <c r="I58" s="5" t="n"/>
      <c r="J58" s="5" t="n"/>
    </row>
    <row r="59" ht="22" customHeight="1">
      <c r="B59" s="3" t="n"/>
      <c r="C59" s="3" t="n"/>
      <c r="D59" s="3" t="n"/>
      <c r="E59" s="4" t="n"/>
      <c r="F59" s="3" t="n"/>
      <c r="G59" s="3" t="n"/>
      <c r="H59" s="3">
        <f>IF(F59&lt;=G59,"LOW STOCK","In Stock")</f>
        <v/>
      </c>
      <c r="I59" s="3" t="n"/>
      <c r="J59" s="3" t="n"/>
    </row>
    <row r="60" ht="22" customHeight="1">
      <c r="B60" s="5" t="n"/>
      <c r="C60" s="5" t="n"/>
      <c r="D60" s="5" t="n"/>
      <c r="E60" s="6" t="n"/>
      <c r="F60" s="5" t="n"/>
      <c r="G60" s="5" t="n"/>
      <c r="H60" s="5">
        <f>IF(F60&lt;=G60,"LOW STOCK","In Stock")</f>
        <v/>
      </c>
      <c r="I60" s="5" t="n"/>
      <c r="J60" s="5" t="n"/>
    </row>
    <row r="61" ht="22" customHeight="1">
      <c r="B61" s="3" t="n"/>
      <c r="C61" s="3" t="n"/>
      <c r="D61" s="3" t="n"/>
      <c r="E61" s="4" t="n"/>
      <c r="F61" s="3" t="n"/>
      <c r="G61" s="3" t="n"/>
      <c r="H61" s="3">
        <f>IF(F61&lt;=G61,"LOW STOCK","In Stock")</f>
        <v/>
      </c>
      <c r="I61" s="3" t="n"/>
      <c r="J61" s="3" t="n"/>
    </row>
    <row r="62" ht="22" customHeight="1">
      <c r="B62" s="5" t="n"/>
      <c r="C62" s="5" t="n"/>
      <c r="D62" s="5" t="n"/>
      <c r="E62" s="6" t="n"/>
      <c r="F62" s="5" t="n"/>
      <c r="G62" s="5" t="n"/>
      <c r="H62" s="5">
        <f>IF(F62&lt;=G62,"LOW STOCK","In Stock")</f>
        <v/>
      </c>
      <c r="I62" s="5" t="n"/>
      <c r="J62" s="5" t="n"/>
    </row>
    <row r="63" ht="22" customHeight="1">
      <c r="B63" s="3" t="n"/>
      <c r="C63" s="3" t="n"/>
      <c r="D63" s="3" t="n"/>
      <c r="E63" s="4" t="n"/>
      <c r="F63" s="3" t="n"/>
      <c r="G63" s="3" t="n"/>
      <c r="H63" s="3">
        <f>IF(F63&lt;=G63,"LOW STOCK","In Stock")</f>
        <v/>
      </c>
      <c r="I63" s="3" t="n"/>
      <c r="J63" s="3" t="n"/>
    </row>
    <row r="64" ht="22" customHeight="1">
      <c r="B64" s="5" t="n"/>
      <c r="C64" s="5" t="n"/>
      <c r="D64" s="5" t="n"/>
      <c r="E64" s="6" t="n"/>
      <c r="F64" s="5" t="n"/>
      <c r="G64" s="5" t="n"/>
      <c r="H64" s="5">
        <f>IF(F64&lt;=G64,"LOW STOCK","In Stock")</f>
        <v/>
      </c>
      <c r="I64" s="5" t="n"/>
      <c r="J64" s="5" t="n"/>
    </row>
    <row r="65" ht="22" customHeight="1">
      <c r="B65" s="3" t="n"/>
      <c r="C65" s="3" t="n"/>
      <c r="D65" s="3" t="n"/>
      <c r="E65" s="4" t="n"/>
      <c r="F65" s="3" t="n"/>
      <c r="G65" s="3" t="n"/>
      <c r="H65" s="3">
        <f>IF(F65&lt;=G65,"LOW STOCK","In Stock")</f>
        <v/>
      </c>
      <c r="I65" s="3" t="n"/>
      <c r="J65" s="3" t="n"/>
    </row>
    <row r="66" ht="22" customHeight="1">
      <c r="B66" s="5" t="n"/>
      <c r="C66" s="5" t="n"/>
      <c r="D66" s="5" t="n"/>
      <c r="E66" s="6" t="n"/>
      <c r="F66" s="5" t="n"/>
      <c r="G66" s="5" t="n"/>
      <c r="H66" s="5">
        <f>IF(F66&lt;=G66,"LOW STOCK","In Stock")</f>
        <v/>
      </c>
      <c r="I66" s="5" t="n"/>
      <c r="J66" s="5" t="n"/>
    </row>
    <row r="67" ht="22" customHeight="1">
      <c r="B67" s="3" t="n"/>
      <c r="C67" s="3" t="n"/>
      <c r="D67" s="3" t="n"/>
      <c r="E67" s="4" t="n"/>
      <c r="F67" s="3" t="n"/>
      <c r="G67" s="3" t="n"/>
      <c r="H67" s="3">
        <f>IF(F67&lt;=G67,"LOW STOCK","In Stock")</f>
        <v/>
      </c>
      <c r="I67" s="3" t="n"/>
      <c r="J67" s="3" t="n"/>
    </row>
    <row r="68" ht="22" customHeight="1">
      <c r="B68" s="5" t="n"/>
      <c r="C68" s="5" t="n"/>
      <c r="D68" s="5" t="n"/>
      <c r="E68" s="6" t="n"/>
      <c r="F68" s="5" t="n"/>
      <c r="G68" s="5" t="n"/>
      <c r="H68" s="5">
        <f>IF(F68&lt;=G68,"LOW STOCK","In Stock")</f>
        <v/>
      </c>
      <c r="I68" s="5" t="n"/>
      <c r="J68" s="5" t="n"/>
    </row>
    <row r="69" ht="22" customHeight="1">
      <c r="B69" s="3" t="n"/>
      <c r="C69" s="3" t="n"/>
      <c r="D69" s="3" t="n"/>
      <c r="E69" s="4" t="n"/>
      <c r="F69" s="3" t="n"/>
      <c r="G69" s="3" t="n"/>
      <c r="H69" s="3">
        <f>IF(F69&lt;=G69,"LOW STOCK","In Stock")</f>
        <v/>
      </c>
      <c r="I69" s="3" t="n"/>
      <c r="J69" s="3" t="n"/>
    </row>
    <row r="70" ht="22" customHeight="1">
      <c r="B70" s="5" t="n"/>
      <c r="C70" s="5" t="n"/>
      <c r="D70" s="5" t="n"/>
      <c r="E70" s="6" t="n"/>
      <c r="F70" s="5" t="n"/>
      <c r="G70" s="5" t="n"/>
      <c r="H70" s="5">
        <f>IF(F70&lt;=G70,"LOW STOCK","In Stock")</f>
        <v/>
      </c>
      <c r="I70" s="5" t="n"/>
      <c r="J70" s="5" t="n"/>
    </row>
    <row r="71" ht="22" customHeight="1">
      <c r="B71" s="3" t="n"/>
      <c r="C71" s="3" t="n"/>
      <c r="D71" s="3" t="n"/>
      <c r="E71" s="4" t="n"/>
      <c r="F71" s="3" t="n"/>
      <c r="G71" s="3" t="n"/>
      <c r="H71" s="3">
        <f>IF(F71&lt;=G71,"LOW STOCK","In Stock")</f>
        <v/>
      </c>
      <c r="I71" s="3" t="n"/>
      <c r="J71" s="3" t="n"/>
    </row>
    <row r="72" ht="22" customHeight="1">
      <c r="B72" s="5" t="n"/>
      <c r="C72" s="5" t="n"/>
      <c r="D72" s="5" t="n"/>
      <c r="E72" s="6" t="n"/>
      <c r="F72" s="5" t="n"/>
      <c r="G72" s="5" t="n"/>
      <c r="H72" s="5">
        <f>IF(F72&lt;=G72,"LOW STOCK","In Stock")</f>
        <v/>
      </c>
      <c r="I72" s="5" t="n"/>
      <c r="J72" s="5" t="n"/>
    </row>
    <row r="73" ht="22" customHeight="1">
      <c r="B73" s="3" t="n"/>
      <c r="C73" s="3" t="n"/>
      <c r="D73" s="3" t="n"/>
      <c r="E73" s="4" t="n"/>
      <c r="F73" s="3" t="n"/>
      <c r="G73" s="3" t="n"/>
      <c r="H73" s="3">
        <f>IF(F73&lt;=G73,"LOW STOCK","In Stock")</f>
        <v/>
      </c>
      <c r="I73" s="3" t="n"/>
      <c r="J73" s="3" t="n"/>
    </row>
    <row r="74" ht="22" customHeight="1">
      <c r="B74" s="5" t="n"/>
      <c r="C74" s="5" t="n"/>
      <c r="D74" s="5" t="n"/>
      <c r="E74" s="6" t="n"/>
      <c r="F74" s="5" t="n"/>
      <c r="G74" s="5" t="n"/>
      <c r="H74" s="5">
        <f>IF(F74&lt;=G74,"LOW STOCK","In Stock")</f>
        <v/>
      </c>
      <c r="I74" s="5" t="n"/>
      <c r="J74" s="5" t="n"/>
    </row>
    <row r="75" ht="22" customHeight="1">
      <c r="B75" s="3" t="n"/>
      <c r="C75" s="3" t="n"/>
      <c r="D75" s="3" t="n"/>
      <c r="E75" s="4" t="n"/>
      <c r="F75" s="3" t="n"/>
      <c r="G75" s="3" t="n"/>
      <c r="H75" s="3">
        <f>IF(F75&lt;=G75,"LOW STOCK","In Stock")</f>
        <v/>
      </c>
      <c r="I75" s="3" t="n"/>
      <c r="J75" s="3" t="n"/>
    </row>
    <row r="76" ht="22" customHeight="1">
      <c r="B76" s="5" t="n"/>
      <c r="C76" s="5" t="n"/>
      <c r="D76" s="5" t="n"/>
      <c r="E76" s="6" t="n"/>
      <c r="F76" s="5" t="n"/>
      <c r="G76" s="5" t="n"/>
      <c r="H76" s="5">
        <f>IF(F76&lt;=G76,"LOW STOCK","In Stock")</f>
        <v/>
      </c>
      <c r="I76" s="5" t="n"/>
      <c r="J76" s="5" t="n"/>
    </row>
    <row r="77" ht="22" customHeight="1">
      <c r="B77" s="3" t="n"/>
      <c r="C77" s="3" t="n"/>
      <c r="D77" s="3" t="n"/>
      <c r="E77" s="4" t="n"/>
      <c r="F77" s="3" t="n"/>
      <c r="G77" s="3" t="n"/>
      <c r="H77" s="3">
        <f>IF(F77&lt;=G77,"LOW STOCK","In Stock")</f>
        <v/>
      </c>
      <c r="I77" s="3" t="n"/>
      <c r="J77" s="3" t="n"/>
    </row>
    <row r="78" ht="22" customHeight="1">
      <c r="B78" s="5" t="n"/>
      <c r="C78" s="5" t="n"/>
      <c r="D78" s="5" t="n"/>
      <c r="E78" s="6" t="n"/>
      <c r="F78" s="5" t="n"/>
      <c r="G78" s="5" t="n"/>
      <c r="H78" s="5">
        <f>IF(F78&lt;=G78,"LOW STOCK","In Stock")</f>
        <v/>
      </c>
      <c r="I78" s="5" t="n"/>
      <c r="J78" s="5" t="n"/>
    </row>
    <row r="79" ht="22" customHeight="1">
      <c r="B79" s="3" t="n"/>
      <c r="C79" s="3" t="n"/>
      <c r="D79" s="3" t="n"/>
      <c r="E79" s="4" t="n"/>
      <c r="F79" s="3" t="n"/>
      <c r="G79" s="3" t="n"/>
      <c r="H79" s="3">
        <f>IF(F79&lt;=G79,"LOW STOCK","In Stock")</f>
        <v/>
      </c>
      <c r="I79" s="3" t="n"/>
      <c r="J79" s="3" t="n"/>
    </row>
    <row r="80" ht="22" customHeight="1">
      <c r="B80" s="5" t="n"/>
      <c r="C80" s="5" t="n"/>
      <c r="D80" s="5" t="n"/>
      <c r="E80" s="6" t="n"/>
      <c r="F80" s="5" t="n"/>
      <c r="G80" s="5" t="n"/>
      <c r="H80" s="5">
        <f>IF(F80&lt;=G80,"LOW STOCK","In Stock")</f>
        <v/>
      </c>
      <c r="I80" s="5" t="n"/>
      <c r="J80" s="5" t="n"/>
    </row>
    <row r="81" ht="22" customHeight="1">
      <c r="B81" s="3" t="n"/>
      <c r="C81" s="3" t="n"/>
      <c r="D81" s="3" t="n"/>
      <c r="E81" s="4" t="n"/>
      <c r="F81" s="3" t="n"/>
      <c r="G81" s="3" t="n"/>
      <c r="H81" s="3">
        <f>IF(F81&lt;=G81,"LOW STOCK","In Stock")</f>
        <v/>
      </c>
      <c r="I81" s="3" t="n"/>
      <c r="J81" s="3" t="n"/>
    </row>
    <row r="82" ht="22" customHeight="1">
      <c r="B82" s="5" t="n"/>
      <c r="C82" s="5" t="n"/>
      <c r="D82" s="5" t="n"/>
      <c r="E82" s="6" t="n"/>
      <c r="F82" s="5" t="n"/>
      <c r="G82" s="5" t="n"/>
      <c r="H82" s="5">
        <f>IF(F82&lt;=G82,"LOW STOCK","In Stock")</f>
        <v/>
      </c>
      <c r="I82" s="5" t="n"/>
      <c r="J82" s="5" t="n"/>
    </row>
    <row r="83" ht="22" customHeight="1">
      <c r="B83" s="3" t="n"/>
      <c r="C83" s="3" t="n"/>
      <c r="D83" s="3" t="n"/>
      <c r="E83" s="4" t="n"/>
      <c r="F83" s="3" t="n"/>
      <c r="G83" s="3" t="n"/>
      <c r="H83" s="3">
        <f>IF(F83&lt;=G83,"LOW STOCK","In Stock")</f>
        <v/>
      </c>
      <c r="I83" s="3" t="n"/>
      <c r="J83" s="3" t="n"/>
    </row>
    <row r="84" ht="22" customHeight="1">
      <c r="B84" s="5" t="n"/>
      <c r="C84" s="5" t="n"/>
      <c r="D84" s="5" t="n"/>
      <c r="E84" s="6" t="n"/>
      <c r="F84" s="5" t="n"/>
      <c r="G84" s="5" t="n"/>
      <c r="H84" s="5">
        <f>IF(F84&lt;=G84,"LOW STOCK","In Stock")</f>
        <v/>
      </c>
      <c r="I84" s="5" t="n"/>
      <c r="J84" s="5" t="n"/>
    </row>
    <row r="85" ht="22" customHeight="1">
      <c r="B85" s="3" t="n"/>
      <c r="C85" s="3" t="n"/>
      <c r="D85" s="3" t="n"/>
      <c r="E85" s="4" t="n"/>
      <c r="F85" s="3" t="n"/>
      <c r="G85" s="3" t="n"/>
      <c r="H85" s="3">
        <f>IF(F85&lt;=G85,"LOW STOCK","In Stock")</f>
        <v/>
      </c>
      <c r="I85" s="3" t="n"/>
      <c r="J85" s="3" t="n"/>
    </row>
    <row r="86" ht="22" customHeight="1">
      <c r="B86" s="5" t="n"/>
      <c r="C86" s="5" t="n"/>
      <c r="D86" s="5" t="n"/>
      <c r="E86" s="6" t="n"/>
      <c r="F86" s="5" t="n"/>
      <c r="G86" s="5" t="n"/>
      <c r="H86" s="5">
        <f>IF(F86&lt;=G86,"LOW STOCK","In Stock")</f>
        <v/>
      </c>
      <c r="I86" s="5" t="n"/>
      <c r="J86" s="5" t="n"/>
    </row>
    <row r="87" ht="22" customHeight="1">
      <c r="B87" s="3" t="n"/>
      <c r="C87" s="3" t="n"/>
      <c r="D87" s="3" t="n"/>
      <c r="E87" s="4" t="n"/>
      <c r="F87" s="3" t="n"/>
      <c r="G87" s="3" t="n"/>
      <c r="H87" s="3">
        <f>IF(F87&lt;=G87,"LOW STOCK","In Stock")</f>
        <v/>
      </c>
      <c r="I87" s="3" t="n"/>
      <c r="J87" s="3" t="n"/>
    </row>
    <row r="88" ht="22" customHeight="1">
      <c r="B88" s="5" t="n"/>
      <c r="C88" s="5" t="n"/>
      <c r="D88" s="5" t="n"/>
      <c r="E88" s="6" t="n"/>
      <c r="F88" s="5" t="n"/>
      <c r="G88" s="5" t="n"/>
      <c r="H88" s="5">
        <f>IF(F88&lt;=G88,"LOW STOCK","In Stock")</f>
        <v/>
      </c>
      <c r="I88" s="5" t="n"/>
      <c r="J88" s="5" t="n"/>
    </row>
    <row r="89" ht="22" customHeight="1">
      <c r="B89" s="3" t="n"/>
      <c r="C89" s="3" t="n"/>
      <c r="D89" s="3" t="n"/>
      <c r="E89" s="4" t="n"/>
      <c r="F89" s="3" t="n"/>
      <c r="G89" s="3" t="n"/>
      <c r="H89" s="3">
        <f>IF(F89&lt;=G89,"LOW STOCK","In Stock")</f>
        <v/>
      </c>
      <c r="I89" s="3" t="n"/>
      <c r="J89" s="3" t="n"/>
    </row>
    <row r="90" ht="22" customHeight="1">
      <c r="B90" s="5" t="n"/>
      <c r="C90" s="5" t="n"/>
      <c r="D90" s="5" t="n"/>
      <c r="E90" s="6" t="n"/>
      <c r="F90" s="5" t="n"/>
      <c r="G90" s="5" t="n"/>
      <c r="H90" s="5">
        <f>IF(F90&lt;=G90,"LOW STOCK","In Stock")</f>
        <v/>
      </c>
      <c r="I90" s="5" t="n"/>
      <c r="J90" s="5" t="n"/>
    </row>
    <row r="91" ht="22" customHeight="1">
      <c r="B91" s="3" t="n"/>
      <c r="C91" s="3" t="n"/>
      <c r="D91" s="3" t="n"/>
      <c r="E91" s="4" t="n"/>
      <c r="F91" s="3" t="n"/>
      <c r="G91" s="3" t="n"/>
      <c r="H91" s="3">
        <f>IF(F91&lt;=G91,"LOW STOCK","In Stock")</f>
        <v/>
      </c>
      <c r="I91" s="3" t="n"/>
      <c r="J91" s="3" t="n"/>
    </row>
    <row r="92" ht="22" customHeight="1">
      <c r="B92" s="5" t="n"/>
      <c r="C92" s="5" t="n"/>
      <c r="D92" s="5" t="n"/>
      <c r="E92" s="6" t="n"/>
      <c r="F92" s="5" t="n"/>
      <c r="G92" s="5" t="n"/>
      <c r="H92" s="5">
        <f>IF(F92&lt;=G92,"LOW STOCK","In Stock")</f>
        <v/>
      </c>
      <c r="I92" s="5" t="n"/>
      <c r="J92" s="5" t="n"/>
    </row>
    <row r="93" ht="22" customHeight="1">
      <c r="B93" s="3" t="n"/>
      <c r="C93" s="3" t="n"/>
      <c r="D93" s="3" t="n"/>
      <c r="E93" s="4" t="n"/>
      <c r="F93" s="3" t="n"/>
      <c r="G93" s="3" t="n"/>
      <c r="H93" s="3">
        <f>IF(F93&lt;=G93,"LOW STOCK","In Stock")</f>
        <v/>
      </c>
      <c r="I93" s="3" t="n"/>
      <c r="J93" s="3" t="n"/>
    </row>
    <row r="94" ht="22" customHeight="1">
      <c r="B94" s="5" t="n"/>
      <c r="C94" s="5" t="n"/>
      <c r="D94" s="5" t="n"/>
      <c r="E94" s="6" t="n"/>
      <c r="F94" s="5" t="n"/>
      <c r="G94" s="5" t="n"/>
      <c r="H94" s="5">
        <f>IF(F94&lt;=G94,"LOW STOCK","In Stock")</f>
        <v/>
      </c>
      <c r="I94" s="5" t="n"/>
      <c r="J94" s="5" t="n"/>
    </row>
    <row r="95" ht="22" customHeight="1">
      <c r="B95" s="3" t="n"/>
      <c r="C95" s="3" t="n"/>
      <c r="D95" s="3" t="n"/>
      <c r="E95" s="4" t="n"/>
      <c r="F95" s="3" t="n"/>
      <c r="G95" s="3" t="n"/>
      <c r="H95" s="3">
        <f>IF(F95&lt;=G95,"LOW STOCK","In Stock")</f>
        <v/>
      </c>
      <c r="I95" s="3" t="n"/>
      <c r="J95" s="3" t="n"/>
    </row>
    <row r="96" ht="22" customHeight="1">
      <c r="B96" s="5" t="n"/>
      <c r="C96" s="5" t="n"/>
      <c r="D96" s="5" t="n"/>
      <c r="E96" s="6" t="n"/>
      <c r="F96" s="5" t="n"/>
      <c r="G96" s="5" t="n"/>
      <c r="H96" s="5">
        <f>IF(F96&lt;=G96,"LOW STOCK","In Stock")</f>
        <v/>
      </c>
      <c r="I96" s="5" t="n"/>
      <c r="J96" s="5" t="n"/>
    </row>
    <row r="97" ht="22" customHeight="1">
      <c r="B97" s="3" t="n"/>
      <c r="C97" s="3" t="n"/>
      <c r="D97" s="3" t="n"/>
      <c r="E97" s="4" t="n"/>
      <c r="F97" s="3" t="n"/>
      <c r="G97" s="3" t="n"/>
      <c r="H97" s="3">
        <f>IF(F97&lt;=G97,"LOW STOCK","In Stock")</f>
        <v/>
      </c>
      <c r="I97" s="3" t="n"/>
      <c r="J97" s="3" t="n"/>
    </row>
    <row r="98" ht="22" customHeight="1">
      <c r="B98" s="5" t="n"/>
      <c r="C98" s="5" t="n"/>
      <c r="D98" s="5" t="n"/>
      <c r="E98" s="6" t="n"/>
      <c r="F98" s="5" t="n"/>
      <c r="G98" s="5" t="n"/>
      <c r="H98" s="5">
        <f>IF(F98&lt;=G98,"LOW STOCK","In Stock")</f>
        <v/>
      </c>
      <c r="I98" s="5" t="n"/>
      <c r="J98" s="5" t="n"/>
    </row>
    <row r="99" ht="22" customHeight="1">
      <c r="B99" s="3" t="n"/>
      <c r="C99" s="3" t="n"/>
      <c r="D99" s="3" t="n"/>
      <c r="E99" s="4" t="n"/>
      <c r="F99" s="3" t="n"/>
      <c r="G99" s="3" t="n"/>
      <c r="H99" s="3">
        <f>IF(F99&lt;=G99,"LOW STOCK","In Stock")</f>
        <v/>
      </c>
      <c r="I99" s="3" t="n"/>
      <c r="J99" s="3" t="n"/>
    </row>
    <row r="100" ht="22" customHeight="1">
      <c r="B100" s="5" t="n"/>
      <c r="C100" s="5" t="n"/>
      <c r="D100" s="5" t="n"/>
      <c r="E100" s="6" t="n"/>
      <c r="F100" s="5" t="n"/>
      <c r="G100" s="5" t="n"/>
      <c r="H100" s="5">
        <f>IF(F100&lt;=G100,"LOW STOCK","In Stock")</f>
        <v/>
      </c>
      <c r="I100" s="5" t="n"/>
      <c r="J100" s="5" t="n"/>
    </row>
    <row r="101" ht="22" customHeight="1">
      <c r="B101" s="3" t="n"/>
      <c r="C101" s="3" t="n"/>
      <c r="D101" s="3" t="n"/>
      <c r="E101" s="4" t="n"/>
      <c r="F101" s="3" t="n"/>
      <c r="G101" s="3" t="n"/>
      <c r="H101" s="3">
        <f>IF(F101&lt;=G101,"LOW STOCK","In Stock")</f>
        <v/>
      </c>
      <c r="I101" s="3" t="n"/>
      <c r="J101" s="3" t="n"/>
    </row>
    <row r="102" ht="22" customHeight="1">
      <c r="B102" s="5" t="n"/>
      <c r="C102" s="5" t="n"/>
      <c r="D102" s="5" t="n"/>
      <c r="E102" s="6" t="n"/>
      <c r="F102" s="5" t="n"/>
      <c r="G102" s="5" t="n"/>
      <c r="H102" s="5">
        <f>IF(F102&lt;=G102,"LOW STOCK","In Stock")</f>
        <v/>
      </c>
      <c r="I102" s="5" t="n"/>
      <c r="J102" s="5" t="n"/>
    </row>
    <row r="103" ht="22" customHeight="1">
      <c r="B103" s="3" t="n"/>
      <c r="C103" s="3" t="n"/>
      <c r="D103" s="3" t="n"/>
      <c r="E103" s="4" t="n"/>
      <c r="F103" s="3" t="n"/>
      <c r="G103" s="3" t="n"/>
      <c r="H103" s="3">
        <f>IF(F103&lt;=G103,"LOW STOCK","In Stock")</f>
        <v/>
      </c>
      <c r="I103" s="3" t="n"/>
      <c r="J103" s="3" t="n"/>
    </row>
    <row r="104" ht="22" customHeight="1">
      <c r="B104" s="5" t="n"/>
      <c r="C104" s="5" t="n"/>
      <c r="D104" s="5" t="n"/>
      <c r="E104" s="6" t="n"/>
      <c r="F104" s="5" t="n"/>
      <c r="G104" s="5" t="n"/>
      <c r="H104" s="5">
        <f>IF(F104&lt;=G104,"LOW STOCK","In Stock")</f>
        <v/>
      </c>
      <c r="I104" s="5" t="n"/>
      <c r="J104" s="5" t="n"/>
    </row>
    <row r="105" ht="22" customHeight="1">
      <c r="B105" s="3" t="n"/>
      <c r="C105" s="3" t="n"/>
      <c r="D105" s="3" t="n"/>
      <c r="E105" s="4" t="n"/>
      <c r="F105" s="3" t="n"/>
      <c r="G105" s="3" t="n"/>
      <c r="H105" s="3">
        <f>IF(F105&lt;=G105,"LOW STOCK","In Stock")</f>
        <v/>
      </c>
      <c r="I105" s="3" t="n"/>
      <c r="J105" s="3" t="n"/>
    </row>
    <row r="106" ht="22" customHeight="1">
      <c r="B106" s="5" t="n"/>
      <c r="C106" s="5" t="n"/>
      <c r="D106" s="5" t="n"/>
      <c r="E106" s="6" t="n"/>
      <c r="F106" s="5" t="n"/>
      <c r="G106" s="5" t="n"/>
      <c r="H106" s="5">
        <f>IF(F106&lt;=G106,"LOW STOCK","In Stock")</f>
        <v/>
      </c>
      <c r="I106" s="5" t="n"/>
      <c r="J106" s="5" t="n"/>
    </row>
    <row r="107" ht="22" customHeight="1">
      <c r="B107" s="3" t="n"/>
      <c r="C107" s="3" t="n"/>
      <c r="D107" s="3" t="n"/>
      <c r="E107" s="4" t="n"/>
      <c r="F107" s="3" t="n"/>
      <c r="G107" s="3" t="n"/>
      <c r="H107" s="3">
        <f>IF(F107&lt;=G107,"LOW STOCK","In Stock")</f>
        <v/>
      </c>
      <c r="I107" s="3" t="n"/>
      <c r="J107" s="3" t="n"/>
    </row>
    <row r="108" ht="22" customHeight="1">
      <c r="B108" s="5" t="n"/>
      <c r="C108" s="5" t="n"/>
      <c r="D108" s="5" t="n"/>
      <c r="E108" s="6" t="n"/>
      <c r="F108" s="5" t="n"/>
      <c r="G108" s="5" t="n"/>
      <c r="H108" s="5">
        <f>IF(F108&lt;=G108,"LOW STOCK","In Stock")</f>
        <v/>
      </c>
      <c r="I108" s="5" t="n"/>
      <c r="J108" s="5" t="n"/>
    </row>
    <row r="109" ht="22" customHeight="1">
      <c r="B109" s="3" t="n"/>
      <c r="C109" s="3" t="n"/>
      <c r="D109" s="3" t="n"/>
      <c r="E109" s="4" t="n"/>
      <c r="F109" s="3" t="n"/>
      <c r="G109" s="3" t="n"/>
      <c r="H109" s="3">
        <f>IF(F109&lt;=G109,"LOW STOCK","In Stock")</f>
        <v/>
      </c>
      <c r="I109" s="3" t="n"/>
      <c r="J109" s="3" t="n"/>
    </row>
    <row r="110" ht="22" customHeight="1">
      <c r="B110" s="5" t="n"/>
      <c r="C110" s="5" t="n"/>
      <c r="D110" s="5" t="n"/>
      <c r="E110" s="6" t="n"/>
      <c r="F110" s="5" t="n"/>
      <c r="G110" s="5" t="n"/>
      <c r="H110" s="5">
        <f>IF(F110&lt;=G110,"LOW STOCK","In Stock")</f>
        <v/>
      </c>
      <c r="I110" s="5" t="n"/>
      <c r="J110" s="5" t="n"/>
    </row>
    <row r="111" ht="22" customHeight="1">
      <c r="B111" s="3" t="n"/>
      <c r="C111" s="3" t="n"/>
      <c r="D111" s="3" t="n"/>
      <c r="E111" s="4" t="n"/>
      <c r="F111" s="3" t="n"/>
      <c r="G111" s="3" t="n"/>
      <c r="H111" s="3">
        <f>IF(F111&lt;=G111,"LOW STOCK","In Stock")</f>
        <v/>
      </c>
      <c r="I111" s="3" t="n"/>
      <c r="J111" s="3" t="n"/>
    </row>
    <row r="112" ht="22" customHeight="1">
      <c r="B112" s="5" t="n"/>
      <c r="C112" s="5" t="n"/>
      <c r="D112" s="5" t="n"/>
      <c r="E112" s="6" t="n"/>
      <c r="F112" s="5" t="n"/>
      <c r="G112" s="5" t="n"/>
      <c r="H112" s="5">
        <f>IF(F112&lt;=G112,"LOW STOCK","In Stock")</f>
        <v/>
      </c>
      <c r="I112" s="5" t="n"/>
      <c r="J112" s="5" t="n"/>
    </row>
    <row r="113" ht="22" customHeight="1">
      <c r="B113" s="3" t="n"/>
      <c r="C113" s="3" t="n"/>
      <c r="D113" s="3" t="n"/>
      <c r="E113" s="4" t="n"/>
      <c r="F113" s="3" t="n"/>
      <c r="G113" s="3" t="n"/>
      <c r="H113" s="3">
        <f>IF(F113&lt;=G113,"LOW STOCK","In Stock")</f>
        <v/>
      </c>
      <c r="I113" s="3" t="n"/>
      <c r="J113" s="3" t="n"/>
    </row>
    <row r="114" ht="22" customHeight="1">
      <c r="B114" s="5" t="n"/>
      <c r="C114" s="5" t="n"/>
      <c r="D114" s="5" t="n"/>
      <c r="E114" s="6" t="n"/>
      <c r="F114" s="5" t="n"/>
      <c r="G114" s="5" t="n"/>
      <c r="H114" s="5">
        <f>IF(F114&lt;=G114,"LOW STOCK","In Stock")</f>
        <v/>
      </c>
      <c r="I114" s="5" t="n"/>
      <c r="J114" s="5" t="n"/>
    </row>
    <row r="115" ht="22" customHeight="1">
      <c r="B115" s="3" t="n"/>
      <c r="C115" s="3" t="n"/>
      <c r="D115" s="3" t="n"/>
      <c r="E115" s="4" t="n"/>
      <c r="F115" s="3" t="n"/>
      <c r="G115" s="3" t="n"/>
      <c r="H115" s="3">
        <f>IF(F115&lt;=G115,"LOW STOCK","In Stock")</f>
        <v/>
      </c>
      <c r="I115" s="3" t="n"/>
      <c r="J115" s="3" t="n"/>
    </row>
    <row r="116" ht="22" customHeight="1">
      <c r="B116" s="5" t="n"/>
      <c r="C116" s="5" t="n"/>
      <c r="D116" s="5" t="n"/>
      <c r="E116" s="6" t="n"/>
      <c r="F116" s="5" t="n"/>
      <c r="G116" s="5" t="n"/>
      <c r="H116" s="5">
        <f>IF(F116&lt;=G116,"LOW STOCK","In Stock")</f>
        <v/>
      </c>
      <c r="I116" s="5" t="n"/>
      <c r="J116" s="5" t="n"/>
    </row>
    <row r="117" ht="22" customHeight="1">
      <c r="B117" s="3" t="n"/>
      <c r="C117" s="3" t="n"/>
      <c r="D117" s="3" t="n"/>
      <c r="E117" s="4" t="n"/>
      <c r="F117" s="3" t="n"/>
      <c r="G117" s="3" t="n"/>
      <c r="H117" s="3">
        <f>IF(F117&lt;=G117,"LOW STOCK","In Stock")</f>
        <v/>
      </c>
      <c r="I117" s="3" t="n"/>
      <c r="J117" s="3" t="n"/>
    </row>
    <row r="118" ht="22" customHeight="1">
      <c r="B118" s="5" t="n"/>
      <c r="C118" s="5" t="n"/>
      <c r="D118" s="5" t="n"/>
      <c r="E118" s="6" t="n"/>
      <c r="F118" s="5" t="n"/>
      <c r="G118" s="5" t="n"/>
      <c r="H118" s="5">
        <f>IF(F118&lt;=G118,"LOW STOCK","In Stock")</f>
        <v/>
      </c>
      <c r="I118" s="5" t="n"/>
      <c r="J118" s="5" t="n"/>
    </row>
    <row r="119" ht="22" customHeight="1">
      <c r="B119" s="3" t="n"/>
      <c r="C119" s="3" t="n"/>
      <c r="D119" s="3" t="n"/>
      <c r="E119" s="4" t="n"/>
      <c r="F119" s="3" t="n"/>
      <c r="G119" s="3" t="n"/>
      <c r="H119" s="3">
        <f>IF(F119&lt;=G119,"LOW STOCK","In Stock")</f>
        <v/>
      </c>
      <c r="I119" s="3" t="n"/>
      <c r="J119" s="3" t="n"/>
    </row>
    <row r="120" ht="22" customHeight="1">
      <c r="B120" s="5" t="n"/>
      <c r="C120" s="5" t="n"/>
      <c r="D120" s="5" t="n"/>
      <c r="E120" s="6" t="n"/>
      <c r="F120" s="5" t="n"/>
      <c r="G120" s="5" t="n"/>
      <c r="H120" s="5">
        <f>IF(F120&lt;=G120,"LOW STOCK","In Stock")</f>
        <v/>
      </c>
      <c r="I120" s="5" t="n"/>
      <c r="J120" s="5" t="n"/>
    </row>
    <row r="121" ht="22" customHeight="1">
      <c r="B121" s="3" t="n"/>
      <c r="C121" s="3" t="n"/>
      <c r="D121" s="3" t="n"/>
      <c r="E121" s="4" t="n"/>
      <c r="F121" s="3" t="n"/>
      <c r="G121" s="3" t="n"/>
      <c r="H121" s="3">
        <f>IF(F121&lt;=G121,"LOW STOCK","In Stock")</f>
        <v/>
      </c>
      <c r="I121" s="3" t="n"/>
      <c r="J121" s="3" t="n"/>
    </row>
    <row r="122" ht="22" customHeight="1">
      <c r="B122" s="5" t="n"/>
      <c r="C122" s="5" t="n"/>
      <c r="D122" s="5" t="n"/>
      <c r="E122" s="6" t="n"/>
      <c r="F122" s="5" t="n"/>
      <c r="G122" s="5" t="n"/>
      <c r="H122" s="5">
        <f>IF(F122&lt;=G122,"LOW STOCK","In Stock")</f>
        <v/>
      </c>
      <c r="I122" s="5" t="n"/>
      <c r="J122" s="5" t="n"/>
    </row>
    <row r="123" ht="22" customHeight="1">
      <c r="B123" s="3" t="n"/>
      <c r="C123" s="3" t="n"/>
      <c r="D123" s="3" t="n"/>
      <c r="E123" s="4" t="n"/>
      <c r="F123" s="3" t="n"/>
      <c r="G123" s="3" t="n"/>
      <c r="H123" s="3">
        <f>IF(F123&lt;=G123,"LOW STOCK","In Stock")</f>
        <v/>
      </c>
      <c r="I123" s="3" t="n"/>
      <c r="J123" s="3" t="n"/>
    </row>
    <row r="124" ht="22" customHeight="1">
      <c r="B124" s="5" t="n"/>
      <c r="C124" s="5" t="n"/>
      <c r="D124" s="5" t="n"/>
      <c r="E124" s="6" t="n"/>
      <c r="F124" s="5" t="n"/>
      <c r="G124" s="5" t="n"/>
      <c r="H124" s="5">
        <f>IF(F124&lt;=G124,"LOW STOCK","In Stock")</f>
        <v/>
      </c>
      <c r="I124" s="5" t="n"/>
      <c r="J124" s="5" t="n"/>
    </row>
    <row r="125" ht="22" customHeight="1">
      <c r="B125" s="3" t="n"/>
      <c r="C125" s="3" t="n"/>
      <c r="D125" s="3" t="n"/>
      <c r="E125" s="4" t="n"/>
      <c r="F125" s="3" t="n"/>
      <c r="G125" s="3" t="n"/>
      <c r="H125" s="3">
        <f>IF(F125&lt;=G125,"LOW STOCK","In Stock")</f>
        <v/>
      </c>
      <c r="I125" s="3" t="n"/>
      <c r="J125" s="3" t="n"/>
    </row>
    <row r="126" ht="22" customHeight="1">
      <c r="B126" s="5" t="n"/>
      <c r="C126" s="5" t="n"/>
      <c r="D126" s="5" t="n"/>
      <c r="E126" s="6" t="n"/>
      <c r="F126" s="5" t="n"/>
      <c r="G126" s="5" t="n"/>
      <c r="H126" s="5">
        <f>IF(F126&lt;=G126,"LOW STOCK","In Stock")</f>
        <v/>
      </c>
      <c r="I126" s="5" t="n"/>
      <c r="J126" s="5" t="n"/>
    </row>
    <row r="127" ht="22" customHeight="1">
      <c r="B127" s="3" t="n"/>
      <c r="C127" s="3" t="n"/>
      <c r="D127" s="3" t="n"/>
      <c r="E127" s="4" t="n"/>
      <c r="F127" s="3" t="n"/>
      <c r="G127" s="3" t="n"/>
      <c r="H127" s="3">
        <f>IF(F127&lt;=G127,"LOW STOCK","In Stock")</f>
        <v/>
      </c>
      <c r="I127" s="3" t="n"/>
      <c r="J127" s="3" t="n"/>
    </row>
    <row r="128" ht="22" customHeight="1">
      <c r="B128" s="5" t="n"/>
      <c r="C128" s="5" t="n"/>
      <c r="D128" s="5" t="n"/>
      <c r="E128" s="6" t="n"/>
      <c r="F128" s="5" t="n"/>
      <c r="G128" s="5" t="n"/>
      <c r="H128" s="5">
        <f>IF(F128&lt;=G128,"LOW STOCK","In Stock")</f>
        <v/>
      </c>
      <c r="I128" s="5" t="n"/>
      <c r="J128" s="5" t="n"/>
    </row>
    <row r="129" ht="22" customHeight="1">
      <c r="B129" s="3" t="n"/>
      <c r="C129" s="3" t="n"/>
      <c r="D129" s="3" t="n"/>
      <c r="E129" s="4" t="n"/>
      <c r="F129" s="3" t="n"/>
      <c r="G129" s="3" t="n"/>
      <c r="H129" s="3">
        <f>IF(F129&lt;=G129,"LOW STOCK","In Stock")</f>
        <v/>
      </c>
      <c r="I129" s="3" t="n"/>
      <c r="J129" s="3" t="n"/>
    </row>
    <row r="130" ht="22" customHeight="1">
      <c r="B130" s="5" t="n"/>
      <c r="C130" s="5" t="n"/>
      <c r="D130" s="5" t="n"/>
      <c r="E130" s="6" t="n"/>
      <c r="F130" s="5" t="n"/>
      <c r="G130" s="5" t="n"/>
      <c r="H130" s="5">
        <f>IF(F130&lt;=G130,"LOW STOCK","In Stock")</f>
        <v/>
      </c>
      <c r="I130" s="5" t="n"/>
      <c r="J130" s="5" t="n"/>
    </row>
    <row r="131" ht="22" customHeight="1">
      <c r="B131" s="3" t="n"/>
      <c r="C131" s="3" t="n"/>
      <c r="D131" s="3" t="n"/>
      <c r="E131" s="4" t="n"/>
      <c r="F131" s="3" t="n"/>
      <c r="G131" s="3" t="n"/>
      <c r="H131" s="3">
        <f>IF(F131&lt;=G131,"LOW STOCK","In Stock")</f>
        <v/>
      </c>
      <c r="I131" s="3" t="n"/>
      <c r="J131" s="3" t="n"/>
    </row>
    <row r="132" ht="22" customHeight="1">
      <c r="B132" s="5" t="n"/>
      <c r="C132" s="5" t="n"/>
      <c r="D132" s="5" t="n"/>
      <c r="E132" s="6" t="n"/>
      <c r="F132" s="5" t="n"/>
      <c r="G132" s="5" t="n"/>
      <c r="H132" s="5">
        <f>IF(F132&lt;=G132,"LOW STOCK","In Stock")</f>
        <v/>
      </c>
      <c r="I132" s="5" t="n"/>
      <c r="J132" s="5" t="n"/>
    </row>
    <row r="133" ht="22" customHeight="1">
      <c r="B133" s="3" t="n"/>
      <c r="C133" s="3" t="n"/>
      <c r="D133" s="3" t="n"/>
      <c r="E133" s="4" t="n"/>
      <c r="F133" s="3" t="n"/>
      <c r="G133" s="3" t="n"/>
      <c r="H133" s="3">
        <f>IF(F133&lt;=G133,"LOW STOCK","In Stock")</f>
        <v/>
      </c>
      <c r="I133" s="3" t="n"/>
      <c r="J133" s="3" t="n"/>
    </row>
    <row r="134" ht="22" customHeight="1">
      <c r="B134" s="5" t="n"/>
      <c r="C134" s="5" t="n"/>
      <c r="D134" s="5" t="n"/>
      <c r="E134" s="6" t="n"/>
      <c r="F134" s="5" t="n"/>
      <c r="G134" s="5" t="n"/>
      <c r="H134" s="5">
        <f>IF(F134&lt;=G134,"LOW STOCK","In Stock")</f>
        <v/>
      </c>
      <c r="I134" s="5" t="n"/>
      <c r="J134" s="5" t="n"/>
    </row>
    <row r="135" ht="22" customHeight="1">
      <c r="B135" s="3" t="n"/>
      <c r="C135" s="3" t="n"/>
      <c r="D135" s="3" t="n"/>
      <c r="E135" s="4" t="n"/>
      <c r="F135" s="3" t="n"/>
      <c r="G135" s="3" t="n"/>
      <c r="H135" s="3">
        <f>IF(F135&lt;=G135,"LOW STOCK","In Stock")</f>
        <v/>
      </c>
      <c r="I135" s="3" t="n"/>
      <c r="J135" s="3" t="n"/>
    </row>
    <row r="136" ht="22" customHeight="1">
      <c r="B136" s="5" t="n"/>
      <c r="C136" s="5" t="n"/>
      <c r="D136" s="5" t="n"/>
      <c r="E136" s="6" t="n"/>
      <c r="F136" s="5" t="n"/>
      <c r="G136" s="5" t="n"/>
      <c r="H136" s="5">
        <f>IF(F136&lt;=G136,"LOW STOCK","In Stock")</f>
        <v/>
      </c>
      <c r="I136" s="5" t="n"/>
      <c r="J136" s="5" t="n"/>
    </row>
    <row r="137" ht="22" customHeight="1">
      <c r="B137" s="3" t="n"/>
      <c r="C137" s="3" t="n"/>
      <c r="D137" s="3" t="n"/>
      <c r="E137" s="4" t="n"/>
      <c r="F137" s="3" t="n"/>
      <c r="G137" s="3" t="n"/>
      <c r="H137" s="3">
        <f>IF(F137&lt;=G137,"LOW STOCK","In Stock")</f>
        <v/>
      </c>
      <c r="I137" s="3" t="n"/>
      <c r="J137" s="3" t="n"/>
    </row>
    <row r="138" ht="22" customHeight="1">
      <c r="B138" s="5" t="n"/>
      <c r="C138" s="5" t="n"/>
      <c r="D138" s="5" t="n"/>
      <c r="E138" s="6" t="n"/>
      <c r="F138" s="5" t="n"/>
      <c r="G138" s="5" t="n"/>
      <c r="H138" s="5">
        <f>IF(F138&lt;=G138,"LOW STOCK","In Stock")</f>
        <v/>
      </c>
      <c r="I138" s="5" t="n"/>
      <c r="J138" s="5" t="n"/>
    </row>
    <row r="139" ht="22" customHeight="1">
      <c r="B139" s="3" t="n"/>
      <c r="C139" s="3" t="n"/>
      <c r="D139" s="3" t="n"/>
      <c r="E139" s="4" t="n"/>
      <c r="F139" s="3" t="n"/>
      <c r="G139" s="3" t="n"/>
      <c r="H139" s="3">
        <f>IF(F139&lt;=G139,"LOW STOCK","In Stock")</f>
        <v/>
      </c>
      <c r="I139" s="3" t="n"/>
      <c r="J139" s="3" t="n"/>
    </row>
    <row r="140" ht="22" customHeight="1">
      <c r="B140" s="5" t="n"/>
      <c r="C140" s="5" t="n"/>
      <c r="D140" s="5" t="n"/>
      <c r="E140" s="6" t="n"/>
      <c r="F140" s="5" t="n"/>
      <c r="G140" s="5" t="n"/>
      <c r="H140" s="5">
        <f>IF(F140&lt;=G140,"LOW STOCK","In Stock")</f>
        <v/>
      </c>
      <c r="I140" s="5" t="n"/>
      <c r="J140" s="5" t="n"/>
    </row>
    <row r="141" ht="22" customHeight="1">
      <c r="B141" s="3" t="n"/>
      <c r="C141" s="3" t="n"/>
      <c r="D141" s="3" t="n"/>
      <c r="E141" s="4" t="n"/>
      <c r="F141" s="3" t="n"/>
      <c r="G141" s="3" t="n"/>
      <c r="H141" s="3">
        <f>IF(F141&lt;=G141,"LOW STOCK","In Stock")</f>
        <v/>
      </c>
      <c r="I141" s="3" t="n"/>
      <c r="J141" s="3" t="n"/>
    </row>
    <row r="142" ht="22" customHeight="1">
      <c r="B142" s="5" t="n"/>
      <c r="C142" s="5" t="n"/>
      <c r="D142" s="5" t="n"/>
      <c r="E142" s="6" t="n"/>
      <c r="F142" s="5" t="n"/>
      <c r="G142" s="5" t="n"/>
      <c r="H142" s="5">
        <f>IF(F142&lt;=G142,"LOW STOCK","In Stock")</f>
        <v/>
      </c>
      <c r="I142" s="5" t="n"/>
      <c r="J142" s="5" t="n"/>
    </row>
    <row r="143" ht="22" customHeight="1">
      <c r="B143" s="3" t="n"/>
      <c r="C143" s="3" t="n"/>
      <c r="D143" s="3" t="n"/>
      <c r="E143" s="4" t="n"/>
      <c r="F143" s="3" t="n"/>
      <c r="G143" s="3" t="n"/>
      <c r="H143" s="3">
        <f>IF(F143&lt;=G143,"LOW STOCK","In Stock")</f>
        <v/>
      </c>
      <c r="I143" s="3" t="n"/>
      <c r="J143" s="3" t="n"/>
    </row>
    <row r="144" ht="22" customHeight="1">
      <c r="B144" s="5" t="n"/>
      <c r="C144" s="5" t="n"/>
      <c r="D144" s="5" t="n"/>
      <c r="E144" s="6" t="n"/>
      <c r="F144" s="5" t="n"/>
      <c r="G144" s="5" t="n"/>
      <c r="H144" s="5">
        <f>IF(F144&lt;=G144,"LOW STOCK","In Stock")</f>
        <v/>
      </c>
      <c r="I144" s="5" t="n"/>
      <c r="J144" s="5" t="n"/>
    </row>
    <row r="145" ht="22" customHeight="1">
      <c r="B145" s="3" t="n"/>
      <c r="C145" s="3" t="n"/>
      <c r="D145" s="3" t="n"/>
      <c r="E145" s="4" t="n"/>
      <c r="F145" s="3" t="n"/>
      <c r="G145" s="3" t="n"/>
      <c r="H145" s="3">
        <f>IF(F145&lt;=G145,"LOW STOCK","In Stock")</f>
        <v/>
      </c>
      <c r="I145" s="3" t="n"/>
      <c r="J145" s="3" t="n"/>
    </row>
    <row r="146" ht="22" customHeight="1">
      <c r="B146" s="5" t="n"/>
      <c r="C146" s="5" t="n"/>
      <c r="D146" s="5" t="n"/>
      <c r="E146" s="6" t="n"/>
      <c r="F146" s="5" t="n"/>
      <c r="G146" s="5" t="n"/>
      <c r="H146" s="5">
        <f>IF(F146&lt;=G146,"LOW STOCK","In Stock")</f>
        <v/>
      </c>
      <c r="I146" s="5" t="n"/>
      <c r="J146" s="5" t="n"/>
    </row>
    <row r="147" ht="22" customHeight="1">
      <c r="B147" s="3" t="n"/>
      <c r="C147" s="3" t="n"/>
      <c r="D147" s="3" t="n"/>
      <c r="E147" s="4" t="n"/>
      <c r="F147" s="3" t="n"/>
      <c r="G147" s="3" t="n"/>
      <c r="H147" s="3">
        <f>IF(F147&lt;=G147,"LOW STOCK","In Stock")</f>
        <v/>
      </c>
      <c r="I147" s="3" t="n"/>
      <c r="J147" s="3" t="n"/>
    </row>
    <row r="148" ht="22" customHeight="1">
      <c r="B148" s="5" t="n"/>
      <c r="C148" s="5" t="n"/>
      <c r="D148" s="5" t="n"/>
      <c r="E148" s="6" t="n"/>
      <c r="F148" s="5" t="n"/>
      <c r="G148" s="5" t="n"/>
      <c r="H148" s="5">
        <f>IF(F148&lt;=G148,"LOW STOCK","In Stock")</f>
        <v/>
      </c>
      <c r="I148" s="5" t="n"/>
      <c r="J148" s="5" t="n"/>
    </row>
    <row r="149" ht="22" customHeight="1">
      <c r="B149" s="3" t="n"/>
      <c r="C149" s="3" t="n"/>
      <c r="D149" s="3" t="n"/>
      <c r="E149" s="4" t="n"/>
      <c r="F149" s="3" t="n"/>
      <c r="G149" s="3" t="n"/>
      <c r="H149" s="3">
        <f>IF(F149&lt;=G149,"LOW STOCK","In Stock")</f>
        <v/>
      </c>
      <c r="I149" s="3" t="n"/>
      <c r="J149" s="3" t="n"/>
    </row>
    <row r="150" ht="22" customHeight="1">
      <c r="B150" s="5" t="n"/>
      <c r="C150" s="5" t="n"/>
      <c r="D150" s="5" t="n"/>
      <c r="E150" s="6" t="n"/>
      <c r="F150" s="5" t="n"/>
      <c r="G150" s="5" t="n"/>
      <c r="H150" s="5">
        <f>IF(F150&lt;=G150,"LOW STOCK","In Stock")</f>
        <v/>
      </c>
      <c r="I150" s="5" t="n"/>
      <c r="J150" s="5" t="n"/>
    </row>
    <row r="151" ht="22" customHeight="1">
      <c r="B151" s="3" t="n"/>
      <c r="C151" s="3" t="n"/>
      <c r="D151" s="3" t="n"/>
      <c r="E151" s="4" t="n"/>
      <c r="F151" s="3" t="n"/>
      <c r="G151" s="3" t="n"/>
      <c r="H151" s="3">
        <f>IF(F151&lt;=G151,"LOW STOCK","In Stock")</f>
        <v/>
      </c>
      <c r="I151" s="3" t="n"/>
      <c r="J151" s="3" t="n"/>
    </row>
    <row r="152" ht="22" customHeight="1">
      <c r="B152" s="5" t="n"/>
      <c r="C152" s="5" t="n"/>
      <c r="D152" s="5" t="n"/>
      <c r="E152" s="6" t="n"/>
      <c r="F152" s="5" t="n"/>
      <c r="G152" s="5" t="n"/>
      <c r="H152" s="5">
        <f>IF(F152&lt;=G152,"LOW STOCK","In Stock")</f>
        <v/>
      </c>
      <c r="I152" s="5" t="n"/>
      <c r="J152" s="5" t="n"/>
    </row>
    <row r="153" ht="22" customHeight="1">
      <c r="B153" s="3" t="n"/>
      <c r="C153" s="3" t="n"/>
      <c r="D153" s="3" t="n"/>
      <c r="E153" s="4" t="n"/>
      <c r="F153" s="3" t="n"/>
      <c r="G153" s="3" t="n"/>
      <c r="H153" s="3">
        <f>IF(F153&lt;=G153,"LOW STOCK","In Stock")</f>
        <v/>
      </c>
      <c r="I153" s="3" t="n"/>
      <c r="J153" s="3" t="n"/>
    </row>
    <row r="154" ht="22" customHeight="1">
      <c r="B154" s="5" t="n"/>
      <c r="C154" s="5" t="n"/>
      <c r="D154" s="5" t="n"/>
      <c r="E154" s="6" t="n"/>
      <c r="F154" s="5" t="n"/>
      <c r="G154" s="5" t="n"/>
      <c r="H154" s="5">
        <f>IF(F154&lt;=G154,"LOW STOCK","In Stock")</f>
        <v/>
      </c>
      <c r="I154" s="5" t="n"/>
      <c r="J154" s="5" t="n"/>
    </row>
    <row r="155" ht="26" customHeight="1">
      <c r="B155" s="7" t="inlineStr">
        <is>
          <t>SUMMARY</t>
        </is>
      </c>
      <c r="C155" s="7" t="n"/>
      <c r="D155" s="7" t="n"/>
      <c r="E155" s="8">
        <f>SUM(E5:E154)</f>
        <v/>
      </c>
      <c r="F155" s="7" t="n"/>
      <c r="G155" s="11">
        <f>SUM(G5:G154)</f>
        <v/>
      </c>
      <c r="H155" s="7" t="n"/>
      <c r="I155" s="7" t="n"/>
      <c r="J155" s="7" t="n"/>
    </row>
  </sheetData>
  <mergeCells count="1">
    <mergeCell ref="B2:J2"/>
  </mergeCells>
  <conditionalFormatting sqref="H5:H154">
    <cfRule type="cellIs" priority="1" operator="equal" dxfId="0">
      <formula>"LOW STOCK"</formula>
    </cfRule>
    <cfRule type="cellIs" priority="2" operator="equal" dxfId="1">
      <formula>"In Stock"</formula>
    </cfRule>
  </conditionalFormatting>
  <dataValidations count="1">
    <dataValidation sqref="D5:D154" showDropDown="0" showInputMessage="0" showErrorMessage="0" allowBlank="1" error="Please select a valid category" type="list">
      <formula1>"Electronics,Clothing,Food &amp; Beverage,Stationery,Health &amp; Beauty,Home &amp; Garden,Sports,Toys,Other"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2A4A"/>
    <outlinePr summaryBelow="1" summaryRight="1"/>
    <pageSetUpPr/>
  </sheetPr>
  <dimension ref="B2:I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</cols>
  <sheetData>
    <row r="1" ht="15" customHeight="1"/>
    <row r="2" ht="32" customHeight="1">
      <c r="B2" s="1" t="inlineStr">
        <is>
          <t>Staff Performance</t>
        </is>
      </c>
    </row>
    <row r="3" ht="8" customHeight="1"/>
    <row r="4" ht="28" customHeight="1">
      <c r="B4" s="2" t="inlineStr">
        <is>
          <t>Staff Name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Top Category</t>
        </is>
      </c>
      <c r="G4" s="2" t="inlineStr">
        <is>
          <t>Shift</t>
        </is>
      </c>
      <c r="H4" s="2" t="inlineStr">
        <is>
          <t>Commission (5%)</t>
        </is>
      </c>
    </row>
    <row r="5" ht="22" customHeight="1">
      <c r="B5" s="3" t="n"/>
      <c r="C5" s="4">
        <f>SUMPRODUCT(('Sales Entry'!$J$5:$J$304=B5)*('Sales Entry'!$H$5:$H$304))</f>
        <v/>
      </c>
      <c r="D5" s="9">
        <f>SUMPRODUCT(('Sales Entry'!$J$5:$J$304=B5)*1)</f>
        <v/>
      </c>
      <c r="E5" s="4">
        <f>IFERROR(C5/D5,0)</f>
        <v/>
      </c>
      <c r="F5" s="3" t="inlineStr"/>
      <c r="G5" s="3" t="n"/>
      <c r="H5" s="4">
        <f>IFERROR(C5*0.05,0)</f>
        <v/>
      </c>
    </row>
    <row r="6" ht="22" customHeight="1">
      <c r="B6" s="5" t="n"/>
      <c r="C6" s="6">
        <f>SUMPRODUCT(('Sales Entry'!$J$5:$J$304=B6)*('Sales Entry'!$H$5:$H$304))</f>
        <v/>
      </c>
      <c r="D6" s="10">
        <f>SUMPRODUCT(('Sales Entry'!$J$5:$J$304=B6)*1)</f>
        <v/>
      </c>
      <c r="E6" s="6">
        <f>IFERROR(C6/D6,0)</f>
        <v/>
      </c>
      <c r="F6" s="5" t="inlineStr"/>
      <c r="G6" s="5" t="n"/>
      <c r="H6" s="6">
        <f>IFERROR(C6*0.05,0)</f>
        <v/>
      </c>
    </row>
    <row r="7" ht="22" customHeight="1">
      <c r="B7" s="3" t="n"/>
      <c r="C7" s="4">
        <f>SUMPRODUCT(('Sales Entry'!$J$5:$J$304=B7)*('Sales Entry'!$H$5:$H$304))</f>
        <v/>
      </c>
      <c r="D7" s="9">
        <f>SUMPRODUCT(('Sales Entry'!$J$5:$J$304=B7)*1)</f>
        <v/>
      </c>
      <c r="E7" s="4">
        <f>IFERROR(C7/D7,0)</f>
        <v/>
      </c>
      <c r="F7" s="3" t="inlineStr"/>
      <c r="G7" s="3" t="n"/>
      <c r="H7" s="4">
        <f>IFERROR(C7*0.05,0)</f>
        <v/>
      </c>
    </row>
    <row r="8" ht="22" customHeight="1">
      <c r="B8" s="5" t="n"/>
      <c r="C8" s="6">
        <f>SUMPRODUCT(('Sales Entry'!$J$5:$J$304=B8)*('Sales Entry'!$H$5:$H$304))</f>
        <v/>
      </c>
      <c r="D8" s="10">
        <f>SUMPRODUCT(('Sales Entry'!$J$5:$J$304=B8)*1)</f>
        <v/>
      </c>
      <c r="E8" s="6">
        <f>IFERROR(C8/D8,0)</f>
        <v/>
      </c>
      <c r="F8" s="5" t="inlineStr"/>
      <c r="G8" s="5" t="n"/>
      <c r="H8" s="6">
        <f>IFERROR(C8*0.05,0)</f>
        <v/>
      </c>
    </row>
    <row r="9" ht="22" customHeight="1">
      <c r="B9" s="3" t="n"/>
      <c r="C9" s="4">
        <f>SUMPRODUCT(('Sales Entry'!$J$5:$J$304=B9)*('Sales Entry'!$H$5:$H$304))</f>
        <v/>
      </c>
      <c r="D9" s="9">
        <f>SUMPRODUCT(('Sales Entry'!$J$5:$J$304=B9)*1)</f>
        <v/>
      </c>
      <c r="E9" s="4">
        <f>IFERROR(C9/D9,0)</f>
        <v/>
      </c>
      <c r="F9" s="3" t="inlineStr"/>
      <c r="G9" s="3" t="n"/>
      <c r="H9" s="4">
        <f>IFERROR(C9*0.05,0)</f>
        <v/>
      </c>
    </row>
    <row r="10" ht="22" customHeight="1">
      <c r="B10" s="5" t="n"/>
      <c r="C10" s="6">
        <f>SUMPRODUCT(('Sales Entry'!$J$5:$J$304=B10)*('Sales Entry'!$H$5:$H$304))</f>
        <v/>
      </c>
      <c r="D10" s="10">
        <f>SUMPRODUCT(('Sales Entry'!$J$5:$J$304=B10)*1)</f>
        <v/>
      </c>
      <c r="E10" s="6">
        <f>IFERROR(C10/D10,0)</f>
        <v/>
      </c>
      <c r="F10" s="5" t="inlineStr"/>
      <c r="G10" s="5" t="n"/>
      <c r="H10" s="6">
        <f>IFERROR(C10*0.05,0)</f>
        <v/>
      </c>
    </row>
    <row r="11" ht="22" customHeight="1">
      <c r="B11" s="3" t="n"/>
      <c r="C11" s="4">
        <f>SUMPRODUCT(('Sales Entry'!$J$5:$J$304=B11)*('Sales Entry'!$H$5:$H$304))</f>
        <v/>
      </c>
      <c r="D11" s="9">
        <f>SUMPRODUCT(('Sales Entry'!$J$5:$J$304=B11)*1)</f>
        <v/>
      </c>
      <c r="E11" s="4">
        <f>IFERROR(C11/D11,0)</f>
        <v/>
      </c>
      <c r="F11" s="3" t="inlineStr"/>
      <c r="G11" s="3" t="n"/>
      <c r="H11" s="4">
        <f>IFERROR(C11*0.05,0)</f>
        <v/>
      </c>
    </row>
    <row r="12" ht="22" customHeight="1">
      <c r="B12" s="5" t="n"/>
      <c r="C12" s="6">
        <f>SUMPRODUCT(('Sales Entry'!$J$5:$J$304=B12)*('Sales Entry'!$H$5:$H$304))</f>
        <v/>
      </c>
      <c r="D12" s="10">
        <f>SUMPRODUCT(('Sales Entry'!$J$5:$J$304=B12)*1)</f>
        <v/>
      </c>
      <c r="E12" s="6">
        <f>IFERROR(C12/D12,0)</f>
        <v/>
      </c>
      <c r="F12" s="5" t="inlineStr"/>
      <c r="G12" s="5" t="n"/>
      <c r="H12" s="6">
        <f>IFERROR(C12*0.05,0)</f>
        <v/>
      </c>
    </row>
    <row r="13" ht="22" customHeight="1">
      <c r="B13" s="3" t="n"/>
      <c r="C13" s="4">
        <f>SUMPRODUCT(('Sales Entry'!$J$5:$J$304=B13)*('Sales Entry'!$H$5:$H$304))</f>
        <v/>
      </c>
      <c r="D13" s="9">
        <f>SUMPRODUCT(('Sales Entry'!$J$5:$J$304=B13)*1)</f>
        <v/>
      </c>
      <c r="E13" s="4">
        <f>IFERROR(C13/D13,0)</f>
        <v/>
      </c>
      <c r="F13" s="3" t="inlineStr"/>
      <c r="G13" s="3" t="n"/>
      <c r="H13" s="4">
        <f>IFERROR(C13*0.05,0)</f>
        <v/>
      </c>
    </row>
    <row r="14" ht="22" customHeight="1">
      <c r="B14" s="5" t="n"/>
      <c r="C14" s="6">
        <f>SUMPRODUCT(('Sales Entry'!$J$5:$J$304=B14)*('Sales Entry'!$H$5:$H$304))</f>
        <v/>
      </c>
      <c r="D14" s="10">
        <f>SUMPRODUCT(('Sales Entry'!$J$5:$J$304=B14)*1)</f>
        <v/>
      </c>
      <c r="E14" s="6">
        <f>IFERROR(C14/D14,0)</f>
        <v/>
      </c>
      <c r="F14" s="5" t="inlineStr"/>
      <c r="G14" s="5" t="n"/>
      <c r="H14" s="6">
        <f>IFERROR(C14*0.05,0)</f>
        <v/>
      </c>
    </row>
    <row r="15" ht="22" customHeight="1">
      <c r="B15" s="3" t="n"/>
      <c r="C15" s="4">
        <f>SUMPRODUCT(('Sales Entry'!$J$5:$J$304=B15)*('Sales Entry'!$H$5:$H$304))</f>
        <v/>
      </c>
      <c r="D15" s="9">
        <f>SUMPRODUCT(('Sales Entry'!$J$5:$J$304=B15)*1)</f>
        <v/>
      </c>
      <c r="E15" s="4">
        <f>IFERROR(C15/D15,0)</f>
        <v/>
      </c>
      <c r="F15" s="3" t="inlineStr"/>
      <c r="G15" s="3" t="n"/>
      <c r="H15" s="4">
        <f>IFERROR(C15*0.05,0)</f>
        <v/>
      </c>
    </row>
    <row r="16" ht="22" customHeight="1">
      <c r="B16" s="5" t="n"/>
      <c r="C16" s="6">
        <f>SUMPRODUCT(('Sales Entry'!$J$5:$J$304=B16)*('Sales Entry'!$H$5:$H$304))</f>
        <v/>
      </c>
      <c r="D16" s="10">
        <f>SUMPRODUCT(('Sales Entry'!$J$5:$J$304=B16)*1)</f>
        <v/>
      </c>
      <c r="E16" s="6">
        <f>IFERROR(C16/D16,0)</f>
        <v/>
      </c>
      <c r="F16" s="5" t="inlineStr"/>
      <c r="G16" s="5" t="n"/>
      <c r="H16" s="6">
        <f>IFERROR(C16*0.05,0)</f>
        <v/>
      </c>
    </row>
    <row r="17" ht="22" customHeight="1">
      <c r="B17" s="3" t="n"/>
      <c r="C17" s="4">
        <f>SUMPRODUCT(('Sales Entry'!$J$5:$J$304=B17)*('Sales Entry'!$H$5:$H$304))</f>
        <v/>
      </c>
      <c r="D17" s="9">
        <f>SUMPRODUCT(('Sales Entry'!$J$5:$J$304=B17)*1)</f>
        <v/>
      </c>
      <c r="E17" s="4">
        <f>IFERROR(C17/D17,0)</f>
        <v/>
      </c>
      <c r="F17" s="3" t="inlineStr"/>
      <c r="G17" s="3" t="n"/>
      <c r="H17" s="4">
        <f>IFERROR(C17*0.05,0)</f>
        <v/>
      </c>
    </row>
    <row r="18" ht="22" customHeight="1">
      <c r="B18" s="5" t="n"/>
      <c r="C18" s="6">
        <f>SUMPRODUCT(('Sales Entry'!$J$5:$J$304=B18)*('Sales Entry'!$H$5:$H$304))</f>
        <v/>
      </c>
      <c r="D18" s="10">
        <f>SUMPRODUCT(('Sales Entry'!$J$5:$J$304=B18)*1)</f>
        <v/>
      </c>
      <c r="E18" s="6">
        <f>IFERROR(C18/D18,0)</f>
        <v/>
      </c>
      <c r="F18" s="5" t="inlineStr"/>
      <c r="G18" s="5" t="n"/>
      <c r="H18" s="6">
        <f>IFERROR(C18*0.05,0)</f>
        <v/>
      </c>
    </row>
    <row r="19" ht="22" customHeight="1">
      <c r="B19" s="3" t="n"/>
      <c r="C19" s="4">
        <f>SUMPRODUCT(('Sales Entry'!$J$5:$J$304=B19)*('Sales Entry'!$H$5:$H$304))</f>
        <v/>
      </c>
      <c r="D19" s="9">
        <f>SUMPRODUCT(('Sales Entry'!$J$5:$J$304=B19)*1)</f>
        <v/>
      </c>
      <c r="E19" s="4">
        <f>IFERROR(C19/D19,0)</f>
        <v/>
      </c>
      <c r="F19" s="3" t="inlineStr"/>
      <c r="G19" s="3" t="n"/>
      <c r="H19" s="4">
        <f>IFERROR(C19*0.05,0)</f>
        <v/>
      </c>
    </row>
    <row r="20" ht="22" customHeight="1">
      <c r="B20" s="5" t="n"/>
      <c r="C20" s="6">
        <f>SUMPRODUCT(('Sales Entry'!$J$5:$J$304=B20)*('Sales Entry'!$H$5:$H$304))</f>
        <v/>
      </c>
      <c r="D20" s="10">
        <f>SUMPRODUCT(('Sales Entry'!$J$5:$J$304=B20)*1)</f>
        <v/>
      </c>
      <c r="E20" s="6">
        <f>IFERROR(C20/D20,0)</f>
        <v/>
      </c>
      <c r="F20" s="5" t="inlineStr"/>
      <c r="G20" s="5" t="n"/>
      <c r="H20" s="6">
        <f>IFERROR(C20*0.05,0)</f>
        <v/>
      </c>
    </row>
    <row r="21" ht="22" customHeight="1">
      <c r="B21" s="3" t="n"/>
      <c r="C21" s="4">
        <f>SUMPRODUCT(('Sales Entry'!$J$5:$J$304=B21)*('Sales Entry'!$H$5:$H$304))</f>
        <v/>
      </c>
      <c r="D21" s="9">
        <f>SUMPRODUCT(('Sales Entry'!$J$5:$J$304=B21)*1)</f>
        <v/>
      </c>
      <c r="E21" s="4">
        <f>IFERROR(C21/D21,0)</f>
        <v/>
      </c>
      <c r="F21" s="3" t="inlineStr"/>
      <c r="G21" s="3" t="n"/>
      <c r="H21" s="4">
        <f>IFERROR(C21*0.05,0)</f>
        <v/>
      </c>
    </row>
    <row r="22" ht="22" customHeight="1">
      <c r="B22" s="5" t="n"/>
      <c r="C22" s="6">
        <f>SUMPRODUCT(('Sales Entry'!$J$5:$J$304=B22)*('Sales Entry'!$H$5:$H$304))</f>
        <v/>
      </c>
      <c r="D22" s="10">
        <f>SUMPRODUCT(('Sales Entry'!$J$5:$J$304=B22)*1)</f>
        <v/>
      </c>
      <c r="E22" s="6">
        <f>IFERROR(C22/D22,0)</f>
        <v/>
      </c>
      <c r="F22" s="5" t="inlineStr"/>
      <c r="G22" s="5" t="n"/>
      <c r="H22" s="6">
        <f>IFERROR(C22*0.05,0)</f>
        <v/>
      </c>
    </row>
    <row r="23" ht="22" customHeight="1">
      <c r="B23" s="3" t="n"/>
      <c r="C23" s="4">
        <f>SUMPRODUCT(('Sales Entry'!$J$5:$J$304=B23)*('Sales Entry'!$H$5:$H$304))</f>
        <v/>
      </c>
      <c r="D23" s="9">
        <f>SUMPRODUCT(('Sales Entry'!$J$5:$J$304=B23)*1)</f>
        <v/>
      </c>
      <c r="E23" s="4">
        <f>IFERROR(C23/D23,0)</f>
        <v/>
      </c>
      <c r="F23" s="3" t="inlineStr"/>
      <c r="G23" s="3" t="n"/>
      <c r="H23" s="4">
        <f>IFERROR(C23*0.05,0)</f>
        <v/>
      </c>
    </row>
    <row r="24" ht="22" customHeight="1">
      <c r="B24" s="5" t="n"/>
      <c r="C24" s="6">
        <f>SUMPRODUCT(('Sales Entry'!$J$5:$J$304=B24)*('Sales Entry'!$H$5:$H$304))</f>
        <v/>
      </c>
      <c r="D24" s="10">
        <f>SUMPRODUCT(('Sales Entry'!$J$5:$J$304=B24)*1)</f>
        <v/>
      </c>
      <c r="E24" s="6">
        <f>IFERROR(C24/D24,0)</f>
        <v/>
      </c>
      <c r="F24" s="5" t="inlineStr"/>
      <c r="G24" s="5" t="n"/>
      <c r="H24" s="6">
        <f>IFERROR(C24*0.05,0)</f>
        <v/>
      </c>
    </row>
    <row r="25" ht="26" customHeight="1">
      <c r="B25" s="7" t="inlineStr">
        <is>
          <t>TOTALS</t>
        </is>
      </c>
      <c r="C25" s="8">
        <f>SUM(C5:C24)</f>
        <v/>
      </c>
      <c r="D25" s="11">
        <f>SUM(D5:D24)</f>
        <v/>
      </c>
      <c r="E25" s="8">
        <f>IFERROR(C25/D25,0)</f>
        <v/>
      </c>
      <c r="F25" s="7" t="n"/>
      <c r="G25" s="7" t="n"/>
      <c r="H25" s="8">
        <f>SUM(H5:H24)</f>
        <v/>
      </c>
    </row>
  </sheetData>
  <mergeCells count="1">
    <mergeCell ref="B2:I2"/>
  </mergeCells>
  <conditionalFormatting sqref="C5:C24">
    <cfRule type="dataBar" priority="1">
      <dataBar showValue="1">
        <cfvo type="min"/>
        <cfvo type="max"/>
        <color rgb="001B2A4A"/>
      </dataBar>
    </cfRule>
  </conditionalFormatting>
  <dataValidations count="1">
    <dataValidation sqref="G5:G24" showDropDown="0" showInputMessage="0" showErrorMessage="0" allowBlank="1" type="list">
      <formula1>"Morning,Evening,Night"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2A4A"/>
    <outlinePr summaryBelow="1" summaryRight="1"/>
    <pageSetUpPr/>
  </sheetPr>
  <dimension ref="B2:I2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6" customWidth="1" min="4" max="4"/>
    <col width="14" customWidth="1" min="5" max="5"/>
    <col width="14" customWidth="1" min="6" max="6"/>
    <col width="12" customWidth="1" min="7" max="7"/>
    <col width="32" customWidth="1" min="8" max="8"/>
    <col width="18" customWidth="1" min="9" max="9"/>
  </cols>
  <sheetData>
    <row r="1" ht="15" customHeight="1"/>
    <row r="2" ht="32" customHeight="1">
      <c r="B2" s="1" t="inlineStr">
        <is>
          <t>Product List</t>
        </is>
      </c>
    </row>
    <row r="3" ht="8" customHeight="1"/>
    <row r="4" ht="28" customHeight="1">
      <c r="B4" s="2" t="inlineStr">
        <is>
          <t>Product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Unit Price</t>
        </is>
      </c>
      <c r="F4" s="2" t="inlineStr">
        <is>
          <t>Cost Price</t>
        </is>
      </c>
      <c r="G4" s="2" t="inlineStr">
        <is>
          <t>Margin %</t>
        </is>
      </c>
      <c r="H4" s="2" t="inlineStr">
        <is>
          <t>Description</t>
        </is>
      </c>
      <c r="I4" s="2" t="inlineStr">
        <is>
          <t>Supplier</t>
        </is>
      </c>
    </row>
    <row r="5" ht="22" customHeight="1">
      <c r="B5" s="3" t="n"/>
      <c r="C5" s="3" t="n"/>
      <c r="D5" s="3" t="n"/>
      <c r="E5" s="4" t="n"/>
      <c r="F5" s="4" t="n"/>
      <c r="G5" s="17">
        <f>IFERROR((E5-F5)/E5,0)</f>
        <v/>
      </c>
      <c r="H5" s="3" t="n"/>
      <c r="I5" s="3" t="n"/>
    </row>
    <row r="6" ht="22" customHeight="1">
      <c r="B6" s="5" t="n"/>
      <c r="C6" s="5" t="n"/>
      <c r="D6" s="5" t="n"/>
      <c r="E6" s="6" t="n"/>
      <c r="F6" s="6" t="n"/>
      <c r="G6" s="18">
        <f>IFERROR((E6-F6)/E6,0)</f>
        <v/>
      </c>
      <c r="H6" s="5" t="n"/>
      <c r="I6" s="5" t="n"/>
    </row>
    <row r="7" ht="22" customHeight="1">
      <c r="B7" s="3" t="n"/>
      <c r="C7" s="3" t="n"/>
      <c r="D7" s="3" t="n"/>
      <c r="E7" s="4" t="n"/>
      <c r="F7" s="4" t="n"/>
      <c r="G7" s="17">
        <f>IFERROR((E7-F7)/E7,0)</f>
        <v/>
      </c>
      <c r="H7" s="3" t="n"/>
      <c r="I7" s="3" t="n"/>
    </row>
    <row r="8" ht="22" customHeight="1">
      <c r="B8" s="5" t="n"/>
      <c r="C8" s="5" t="n"/>
      <c r="D8" s="5" t="n"/>
      <c r="E8" s="6" t="n"/>
      <c r="F8" s="6" t="n"/>
      <c r="G8" s="18">
        <f>IFERROR((E8-F8)/E8,0)</f>
        <v/>
      </c>
      <c r="H8" s="5" t="n"/>
      <c r="I8" s="5" t="n"/>
    </row>
    <row r="9" ht="22" customHeight="1">
      <c r="B9" s="3" t="n"/>
      <c r="C9" s="3" t="n"/>
      <c r="D9" s="3" t="n"/>
      <c r="E9" s="4" t="n"/>
      <c r="F9" s="4" t="n"/>
      <c r="G9" s="17">
        <f>IFERROR((E9-F9)/E9,0)</f>
        <v/>
      </c>
      <c r="H9" s="3" t="n"/>
      <c r="I9" s="3" t="n"/>
    </row>
    <row r="10" ht="22" customHeight="1">
      <c r="B10" s="5" t="n"/>
      <c r="C10" s="5" t="n"/>
      <c r="D10" s="5" t="n"/>
      <c r="E10" s="6" t="n"/>
      <c r="F10" s="6" t="n"/>
      <c r="G10" s="18">
        <f>IFERROR((E10-F10)/E10,0)</f>
        <v/>
      </c>
      <c r="H10" s="5" t="n"/>
      <c r="I10" s="5" t="n"/>
    </row>
    <row r="11" ht="22" customHeight="1">
      <c r="B11" s="3" t="n"/>
      <c r="C11" s="3" t="n"/>
      <c r="D11" s="3" t="n"/>
      <c r="E11" s="4" t="n"/>
      <c r="F11" s="4" t="n"/>
      <c r="G11" s="17">
        <f>IFERROR((E11-F11)/E11,0)</f>
        <v/>
      </c>
      <c r="H11" s="3" t="n"/>
      <c r="I11" s="3" t="n"/>
    </row>
    <row r="12" ht="22" customHeight="1">
      <c r="B12" s="5" t="n"/>
      <c r="C12" s="5" t="n"/>
      <c r="D12" s="5" t="n"/>
      <c r="E12" s="6" t="n"/>
      <c r="F12" s="6" t="n"/>
      <c r="G12" s="18">
        <f>IFERROR((E12-F12)/E12,0)</f>
        <v/>
      </c>
      <c r="H12" s="5" t="n"/>
      <c r="I12" s="5" t="n"/>
    </row>
    <row r="13" ht="22" customHeight="1">
      <c r="B13" s="3" t="n"/>
      <c r="C13" s="3" t="n"/>
      <c r="D13" s="3" t="n"/>
      <c r="E13" s="4" t="n"/>
      <c r="F13" s="4" t="n"/>
      <c r="G13" s="17">
        <f>IFERROR((E13-F13)/E13,0)</f>
        <v/>
      </c>
      <c r="H13" s="3" t="n"/>
      <c r="I13" s="3" t="n"/>
    </row>
    <row r="14" ht="22" customHeight="1">
      <c r="B14" s="5" t="n"/>
      <c r="C14" s="5" t="n"/>
      <c r="D14" s="5" t="n"/>
      <c r="E14" s="6" t="n"/>
      <c r="F14" s="6" t="n"/>
      <c r="G14" s="18">
        <f>IFERROR((E14-F14)/E14,0)</f>
        <v/>
      </c>
      <c r="H14" s="5" t="n"/>
      <c r="I14" s="5" t="n"/>
    </row>
    <row r="15" ht="22" customHeight="1">
      <c r="B15" s="3" t="n"/>
      <c r="C15" s="3" t="n"/>
      <c r="D15" s="3" t="n"/>
      <c r="E15" s="4" t="n"/>
      <c r="F15" s="4" t="n"/>
      <c r="G15" s="17">
        <f>IFERROR((E15-F15)/E15,0)</f>
        <v/>
      </c>
      <c r="H15" s="3" t="n"/>
      <c r="I15" s="3" t="n"/>
    </row>
    <row r="16" ht="22" customHeight="1">
      <c r="B16" s="5" t="n"/>
      <c r="C16" s="5" t="n"/>
      <c r="D16" s="5" t="n"/>
      <c r="E16" s="6" t="n"/>
      <c r="F16" s="6" t="n"/>
      <c r="G16" s="18">
        <f>IFERROR((E16-F16)/E16,0)</f>
        <v/>
      </c>
      <c r="H16" s="5" t="n"/>
      <c r="I16" s="5" t="n"/>
    </row>
    <row r="17" ht="22" customHeight="1">
      <c r="B17" s="3" t="n"/>
      <c r="C17" s="3" t="n"/>
      <c r="D17" s="3" t="n"/>
      <c r="E17" s="4" t="n"/>
      <c r="F17" s="4" t="n"/>
      <c r="G17" s="17">
        <f>IFERROR((E17-F17)/E17,0)</f>
        <v/>
      </c>
      <c r="H17" s="3" t="n"/>
      <c r="I17" s="3" t="n"/>
    </row>
    <row r="18" ht="22" customHeight="1">
      <c r="B18" s="5" t="n"/>
      <c r="C18" s="5" t="n"/>
      <c r="D18" s="5" t="n"/>
      <c r="E18" s="6" t="n"/>
      <c r="F18" s="6" t="n"/>
      <c r="G18" s="18">
        <f>IFERROR((E18-F18)/E18,0)</f>
        <v/>
      </c>
      <c r="H18" s="5" t="n"/>
      <c r="I18" s="5" t="n"/>
    </row>
    <row r="19" ht="22" customHeight="1">
      <c r="B19" s="3" t="n"/>
      <c r="C19" s="3" t="n"/>
      <c r="D19" s="3" t="n"/>
      <c r="E19" s="4" t="n"/>
      <c r="F19" s="4" t="n"/>
      <c r="G19" s="17">
        <f>IFERROR((E19-F19)/E19,0)</f>
        <v/>
      </c>
      <c r="H19" s="3" t="n"/>
      <c r="I19" s="3" t="n"/>
    </row>
    <row r="20" ht="22" customHeight="1">
      <c r="B20" s="5" t="n"/>
      <c r="C20" s="5" t="n"/>
      <c r="D20" s="5" t="n"/>
      <c r="E20" s="6" t="n"/>
      <c r="F20" s="6" t="n"/>
      <c r="G20" s="18">
        <f>IFERROR((E20-F20)/E20,0)</f>
        <v/>
      </c>
      <c r="H20" s="5" t="n"/>
      <c r="I20" s="5" t="n"/>
    </row>
    <row r="21" ht="22" customHeight="1">
      <c r="B21" s="3" t="n"/>
      <c r="C21" s="3" t="n"/>
      <c r="D21" s="3" t="n"/>
      <c r="E21" s="4" t="n"/>
      <c r="F21" s="4" t="n"/>
      <c r="G21" s="17">
        <f>IFERROR((E21-F21)/E21,0)</f>
        <v/>
      </c>
      <c r="H21" s="3" t="n"/>
      <c r="I21" s="3" t="n"/>
    </row>
    <row r="22" ht="22" customHeight="1">
      <c r="B22" s="5" t="n"/>
      <c r="C22" s="5" t="n"/>
      <c r="D22" s="5" t="n"/>
      <c r="E22" s="6" t="n"/>
      <c r="F22" s="6" t="n"/>
      <c r="G22" s="18">
        <f>IFERROR((E22-F22)/E22,0)</f>
        <v/>
      </c>
      <c r="H22" s="5" t="n"/>
      <c r="I22" s="5" t="n"/>
    </row>
    <row r="23" ht="22" customHeight="1">
      <c r="B23" s="3" t="n"/>
      <c r="C23" s="3" t="n"/>
      <c r="D23" s="3" t="n"/>
      <c r="E23" s="4" t="n"/>
      <c r="F23" s="4" t="n"/>
      <c r="G23" s="17">
        <f>IFERROR((E23-F23)/E23,0)</f>
        <v/>
      </c>
      <c r="H23" s="3" t="n"/>
      <c r="I23" s="3" t="n"/>
    </row>
    <row r="24" ht="22" customHeight="1">
      <c r="B24" s="5" t="n"/>
      <c r="C24" s="5" t="n"/>
      <c r="D24" s="5" t="n"/>
      <c r="E24" s="6" t="n"/>
      <c r="F24" s="6" t="n"/>
      <c r="G24" s="18">
        <f>IFERROR((E24-F24)/E24,0)</f>
        <v/>
      </c>
      <c r="H24" s="5" t="n"/>
      <c r="I24" s="5" t="n"/>
    </row>
    <row r="25" ht="22" customHeight="1">
      <c r="B25" s="3" t="n"/>
      <c r="C25" s="3" t="n"/>
      <c r="D25" s="3" t="n"/>
      <c r="E25" s="4" t="n"/>
      <c r="F25" s="4" t="n"/>
      <c r="G25" s="17">
        <f>IFERROR((E25-F25)/E25,0)</f>
        <v/>
      </c>
      <c r="H25" s="3" t="n"/>
      <c r="I25" s="3" t="n"/>
    </row>
    <row r="26" ht="22" customHeight="1">
      <c r="B26" s="5" t="n"/>
      <c r="C26" s="5" t="n"/>
      <c r="D26" s="5" t="n"/>
      <c r="E26" s="6" t="n"/>
      <c r="F26" s="6" t="n"/>
      <c r="G26" s="18">
        <f>IFERROR((E26-F26)/E26,0)</f>
        <v/>
      </c>
      <c r="H26" s="5" t="n"/>
      <c r="I26" s="5" t="n"/>
    </row>
    <row r="27" ht="22" customHeight="1">
      <c r="B27" s="3" t="n"/>
      <c r="C27" s="3" t="n"/>
      <c r="D27" s="3" t="n"/>
      <c r="E27" s="4" t="n"/>
      <c r="F27" s="4" t="n"/>
      <c r="G27" s="17">
        <f>IFERROR((E27-F27)/E27,0)</f>
        <v/>
      </c>
      <c r="H27" s="3" t="n"/>
      <c r="I27" s="3" t="n"/>
    </row>
    <row r="28" ht="22" customHeight="1">
      <c r="B28" s="5" t="n"/>
      <c r="C28" s="5" t="n"/>
      <c r="D28" s="5" t="n"/>
      <c r="E28" s="6" t="n"/>
      <c r="F28" s="6" t="n"/>
      <c r="G28" s="18">
        <f>IFERROR((E28-F28)/E28,0)</f>
        <v/>
      </c>
      <c r="H28" s="5" t="n"/>
      <c r="I28" s="5" t="n"/>
    </row>
    <row r="29" ht="22" customHeight="1">
      <c r="B29" s="3" t="n"/>
      <c r="C29" s="3" t="n"/>
      <c r="D29" s="3" t="n"/>
      <c r="E29" s="4" t="n"/>
      <c r="F29" s="4" t="n"/>
      <c r="G29" s="17">
        <f>IFERROR((E29-F29)/E29,0)</f>
        <v/>
      </c>
      <c r="H29" s="3" t="n"/>
      <c r="I29" s="3" t="n"/>
    </row>
    <row r="30" ht="22" customHeight="1">
      <c r="B30" s="5" t="n"/>
      <c r="C30" s="5" t="n"/>
      <c r="D30" s="5" t="n"/>
      <c r="E30" s="6" t="n"/>
      <c r="F30" s="6" t="n"/>
      <c r="G30" s="18">
        <f>IFERROR((E30-F30)/E30,0)</f>
        <v/>
      </c>
      <c r="H30" s="5" t="n"/>
      <c r="I30" s="5" t="n"/>
    </row>
    <row r="31" ht="22" customHeight="1">
      <c r="B31" s="3" t="n"/>
      <c r="C31" s="3" t="n"/>
      <c r="D31" s="3" t="n"/>
      <c r="E31" s="4" t="n"/>
      <c r="F31" s="4" t="n"/>
      <c r="G31" s="17">
        <f>IFERROR((E31-F31)/E31,0)</f>
        <v/>
      </c>
      <c r="H31" s="3" t="n"/>
      <c r="I31" s="3" t="n"/>
    </row>
    <row r="32" ht="22" customHeight="1">
      <c r="B32" s="5" t="n"/>
      <c r="C32" s="5" t="n"/>
      <c r="D32" s="5" t="n"/>
      <c r="E32" s="6" t="n"/>
      <c r="F32" s="6" t="n"/>
      <c r="G32" s="18">
        <f>IFERROR((E32-F32)/E32,0)</f>
        <v/>
      </c>
      <c r="H32" s="5" t="n"/>
      <c r="I32" s="5" t="n"/>
    </row>
    <row r="33" ht="22" customHeight="1">
      <c r="B33" s="3" t="n"/>
      <c r="C33" s="3" t="n"/>
      <c r="D33" s="3" t="n"/>
      <c r="E33" s="4" t="n"/>
      <c r="F33" s="4" t="n"/>
      <c r="G33" s="17">
        <f>IFERROR((E33-F33)/E33,0)</f>
        <v/>
      </c>
      <c r="H33" s="3" t="n"/>
      <c r="I33" s="3" t="n"/>
    </row>
    <row r="34" ht="22" customHeight="1">
      <c r="B34" s="5" t="n"/>
      <c r="C34" s="5" t="n"/>
      <c r="D34" s="5" t="n"/>
      <c r="E34" s="6" t="n"/>
      <c r="F34" s="6" t="n"/>
      <c r="G34" s="18">
        <f>IFERROR((E34-F34)/E34,0)</f>
        <v/>
      </c>
      <c r="H34" s="5" t="n"/>
      <c r="I34" s="5" t="n"/>
    </row>
    <row r="35" ht="22" customHeight="1">
      <c r="B35" s="3" t="n"/>
      <c r="C35" s="3" t="n"/>
      <c r="D35" s="3" t="n"/>
      <c r="E35" s="4" t="n"/>
      <c r="F35" s="4" t="n"/>
      <c r="G35" s="17">
        <f>IFERROR((E35-F35)/E35,0)</f>
        <v/>
      </c>
      <c r="H35" s="3" t="n"/>
      <c r="I35" s="3" t="n"/>
    </row>
    <row r="36" ht="22" customHeight="1">
      <c r="B36" s="5" t="n"/>
      <c r="C36" s="5" t="n"/>
      <c r="D36" s="5" t="n"/>
      <c r="E36" s="6" t="n"/>
      <c r="F36" s="6" t="n"/>
      <c r="G36" s="18">
        <f>IFERROR((E36-F36)/E36,0)</f>
        <v/>
      </c>
      <c r="H36" s="5" t="n"/>
      <c r="I36" s="5" t="n"/>
    </row>
    <row r="37" ht="22" customHeight="1">
      <c r="B37" s="3" t="n"/>
      <c r="C37" s="3" t="n"/>
      <c r="D37" s="3" t="n"/>
      <c r="E37" s="4" t="n"/>
      <c r="F37" s="4" t="n"/>
      <c r="G37" s="17">
        <f>IFERROR((E37-F37)/E37,0)</f>
        <v/>
      </c>
      <c r="H37" s="3" t="n"/>
      <c r="I37" s="3" t="n"/>
    </row>
    <row r="38" ht="22" customHeight="1">
      <c r="B38" s="5" t="n"/>
      <c r="C38" s="5" t="n"/>
      <c r="D38" s="5" t="n"/>
      <c r="E38" s="6" t="n"/>
      <c r="F38" s="6" t="n"/>
      <c r="G38" s="18">
        <f>IFERROR((E38-F38)/E38,0)</f>
        <v/>
      </c>
      <c r="H38" s="5" t="n"/>
      <c r="I38" s="5" t="n"/>
    </row>
    <row r="39" ht="22" customHeight="1">
      <c r="B39" s="3" t="n"/>
      <c r="C39" s="3" t="n"/>
      <c r="D39" s="3" t="n"/>
      <c r="E39" s="4" t="n"/>
      <c r="F39" s="4" t="n"/>
      <c r="G39" s="17">
        <f>IFERROR((E39-F39)/E39,0)</f>
        <v/>
      </c>
      <c r="H39" s="3" t="n"/>
      <c r="I39" s="3" t="n"/>
    </row>
    <row r="40" ht="22" customHeight="1">
      <c r="B40" s="5" t="n"/>
      <c r="C40" s="5" t="n"/>
      <c r="D40" s="5" t="n"/>
      <c r="E40" s="6" t="n"/>
      <c r="F40" s="6" t="n"/>
      <c r="G40" s="18">
        <f>IFERROR((E40-F40)/E40,0)</f>
        <v/>
      </c>
      <c r="H40" s="5" t="n"/>
      <c r="I40" s="5" t="n"/>
    </row>
    <row r="41" ht="22" customHeight="1">
      <c r="B41" s="3" t="n"/>
      <c r="C41" s="3" t="n"/>
      <c r="D41" s="3" t="n"/>
      <c r="E41" s="4" t="n"/>
      <c r="F41" s="4" t="n"/>
      <c r="G41" s="17">
        <f>IFERROR((E41-F41)/E41,0)</f>
        <v/>
      </c>
      <c r="H41" s="3" t="n"/>
      <c r="I41" s="3" t="n"/>
    </row>
    <row r="42" ht="22" customHeight="1">
      <c r="B42" s="5" t="n"/>
      <c r="C42" s="5" t="n"/>
      <c r="D42" s="5" t="n"/>
      <c r="E42" s="6" t="n"/>
      <c r="F42" s="6" t="n"/>
      <c r="G42" s="18">
        <f>IFERROR((E42-F42)/E42,0)</f>
        <v/>
      </c>
      <c r="H42" s="5" t="n"/>
      <c r="I42" s="5" t="n"/>
    </row>
    <row r="43" ht="22" customHeight="1">
      <c r="B43" s="3" t="n"/>
      <c r="C43" s="3" t="n"/>
      <c r="D43" s="3" t="n"/>
      <c r="E43" s="4" t="n"/>
      <c r="F43" s="4" t="n"/>
      <c r="G43" s="17">
        <f>IFERROR((E43-F43)/E43,0)</f>
        <v/>
      </c>
      <c r="H43" s="3" t="n"/>
      <c r="I43" s="3" t="n"/>
    </row>
    <row r="44" ht="22" customHeight="1">
      <c r="B44" s="5" t="n"/>
      <c r="C44" s="5" t="n"/>
      <c r="D44" s="5" t="n"/>
      <c r="E44" s="6" t="n"/>
      <c r="F44" s="6" t="n"/>
      <c r="G44" s="18">
        <f>IFERROR((E44-F44)/E44,0)</f>
        <v/>
      </c>
      <c r="H44" s="5" t="n"/>
      <c r="I44" s="5" t="n"/>
    </row>
    <row r="45" ht="22" customHeight="1">
      <c r="B45" s="3" t="n"/>
      <c r="C45" s="3" t="n"/>
      <c r="D45" s="3" t="n"/>
      <c r="E45" s="4" t="n"/>
      <c r="F45" s="4" t="n"/>
      <c r="G45" s="17">
        <f>IFERROR((E45-F45)/E45,0)</f>
        <v/>
      </c>
      <c r="H45" s="3" t="n"/>
      <c r="I45" s="3" t="n"/>
    </row>
    <row r="46" ht="22" customHeight="1">
      <c r="B46" s="5" t="n"/>
      <c r="C46" s="5" t="n"/>
      <c r="D46" s="5" t="n"/>
      <c r="E46" s="6" t="n"/>
      <c r="F46" s="6" t="n"/>
      <c r="G46" s="18">
        <f>IFERROR((E46-F46)/E46,0)</f>
        <v/>
      </c>
      <c r="H46" s="5" t="n"/>
      <c r="I46" s="5" t="n"/>
    </row>
    <row r="47" ht="22" customHeight="1">
      <c r="B47" s="3" t="n"/>
      <c r="C47" s="3" t="n"/>
      <c r="D47" s="3" t="n"/>
      <c r="E47" s="4" t="n"/>
      <c r="F47" s="4" t="n"/>
      <c r="G47" s="17">
        <f>IFERROR((E47-F47)/E47,0)</f>
        <v/>
      </c>
      <c r="H47" s="3" t="n"/>
      <c r="I47" s="3" t="n"/>
    </row>
    <row r="48" ht="22" customHeight="1">
      <c r="B48" s="5" t="n"/>
      <c r="C48" s="5" t="n"/>
      <c r="D48" s="5" t="n"/>
      <c r="E48" s="6" t="n"/>
      <c r="F48" s="6" t="n"/>
      <c r="G48" s="18">
        <f>IFERROR((E48-F48)/E48,0)</f>
        <v/>
      </c>
      <c r="H48" s="5" t="n"/>
      <c r="I48" s="5" t="n"/>
    </row>
    <row r="49" ht="22" customHeight="1">
      <c r="B49" s="3" t="n"/>
      <c r="C49" s="3" t="n"/>
      <c r="D49" s="3" t="n"/>
      <c r="E49" s="4" t="n"/>
      <c r="F49" s="4" t="n"/>
      <c r="G49" s="17">
        <f>IFERROR((E49-F49)/E49,0)</f>
        <v/>
      </c>
      <c r="H49" s="3" t="n"/>
      <c r="I49" s="3" t="n"/>
    </row>
    <row r="50" ht="22" customHeight="1">
      <c r="B50" s="5" t="n"/>
      <c r="C50" s="5" t="n"/>
      <c r="D50" s="5" t="n"/>
      <c r="E50" s="6" t="n"/>
      <c r="F50" s="6" t="n"/>
      <c r="G50" s="18">
        <f>IFERROR((E50-F50)/E50,0)</f>
        <v/>
      </c>
      <c r="H50" s="5" t="n"/>
      <c r="I50" s="5" t="n"/>
    </row>
    <row r="51" ht="22" customHeight="1">
      <c r="B51" s="3" t="n"/>
      <c r="C51" s="3" t="n"/>
      <c r="D51" s="3" t="n"/>
      <c r="E51" s="4" t="n"/>
      <c r="F51" s="4" t="n"/>
      <c r="G51" s="17">
        <f>IFERROR((E51-F51)/E51,0)</f>
        <v/>
      </c>
      <c r="H51" s="3" t="n"/>
      <c r="I51" s="3" t="n"/>
    </row>
    <row r="52" ht="22" customHeight="1">
      <c r="B52" s="5" t="n"/>
      <c r="C52" s="5" t="n"/>
      <c r="D52" s="5" t="n"/>
      <c r="E52" s="6" t="n"/>
      <c r="F52" s="6" t="n"/>
      <c r="G52" s="18">
        <f>IFERROR((E52-F52)/E52,0)</f>
        <v/>
      </c>
      <c r="H52" s="5" t="n"/>
      <c r="I52" s="5" t="n"/>
    </row>
    <row r="53" ht="22" customHeight="1">
      <c r="B53" s="3" t="n"/>
      <c r="C53" s="3" t="n"/>
      <c r="D53" s="3" t="n"/>
      <c r="E53" s="4" t="n"/>
      <c r="F53" s="4" t="n"/>
      <c r="G53" s="17">
        <f>IFERROR((E53-F53)/E53,0)</f>
        <v/>
      </c>
      <c r="H53" s="3" t="n"/>
      <c r="I53" s="3" t="n"/>
    </row>
    <row r="54" ht="22" customHeight="1">
      <c r="B54" s="5" t="n"/>
      <c r="C54" s="5" t="n"/>
      <c r="D54" s="5" t="n"/>
      <c r="E54" s="6" t="n"/>
      <c r="F54" s="6" t="n"/>
      <c r="G54" s="18">
        <f>IFERROR((E54-F54)/E54,0)</f>
        <v/>
      </c>
      <c r="H54" s="5" t="n"/>
      <c r="I54" s="5" t="n"/>
    </row>
    <row r="55" ht="22" customHeight="1">
      <c r="B55" s="3" t="n"/>
      <c r="C55" s="3" t="n"/>
      <c r="D55" s="3" t="n"/>
      <c r="E55" s="4" t="n"/>
      <c r="F55" s="4" t="n"/>
      <c r="G55" s="17">
        <f>IFERROR((E55-F55)/E55,0)</f>
        <v/>
      </c>
      <c r="H55" s="3" t="n"/>
      <c r="I55" s="3" t="n"/>
    </row>
    <row r="56" ht="22" customHeight="1">
      <c r="B56" s="5" t="n"/>
      <c r="C56" s="5" t="n"/>
      <c r="D56" s="5" t="n"/>
      <c r="E56" s="6" t="n"/>
      <c r="F56" s="6" t="n"/>
      <c r="G56" s="18">
        <f>IFERROR((E56-F56)/E56,0)</f>
        <v/>
      </c>
      <c r="H56" s="5" t="n"/>
      <c r="I56" s="5" t="n"/>
    </row>
    <row r="57" ht="22" customHeight="1">
      <c r="B57" s="3" t="n"/>
      <c r="C57" s="3" t="n"/>
      <c r="D57" s="3" t="n"/>
      <c r="E57" s="4" t="n"/>
      <c r="F57" s="4" t="n"/>
      <c r="G57" s="17">
        <f>IFERROR((E57-F57)/E57,0)</f>
        <v/>
      </c>
      <c r="H57" s="3" t="n"/>
      <c r="I57" s="3" t="n"/>
    </row>
    <row r="58" ht="22" customHeight="1">
      <c r="B58" s="5" t="n"/>
      <c r="C58" s="5" t="n"/>
      <c r="D58" s="5" t="n"/>
      <c r="E58" s="6" t="n"/>
      <c r="F58" s="6" t="n"/>
      <c r="G58" s="18">
        <f>IFERROR((E58-F58)/E58,0)</f>
        <v/>
      </c>
      <c r="H58" s="5" t="n"/>
      <c r="I58" s="5" t="n"/>
    </row>
    <row r="59" ht="22" customHeight="1">
      <c r="B59" s="3" t="n"/>
      <c r="C59" s="3" t="n"/>
      <c r="D59" s="3" t="n"/>
      <c r="E59" s="4" t="n"/>
      <c r="F59" s="4" t="n"/>
      <c r="G59" s="17">
        <f>IFERROR((E59-F59)/E59,0)</f>
        <v/>
      </c>
      <c r="H59" s="3" t="n"/>
      <c r="I59" s="3" t="n"/>
    </row>
    <row r="60" ht="22" customHeight="1">
      <c r="B60" s="5" t="n"/>
      <c r="C60" s="5" t="n"/>
      <c r="D60" s="5" t="n"/>
      <c r="E60" s="6" t="n"/>
      <c r="F60" s="6" t="n"/>
      <c r="G60" s="18">
        <f>IFERROR((E60-F60)/E60,0)</f>
        <v/>
      </c>
      <c r="H60" s="5" t="n"/>
      <c r="I60" s="5" t="n"/>
    </row>
    <row r="61" ht="22" customHeight="1">
      <c r="B61" s="3" t="n"/>
      <c r="C61" s="3" t="n"/>
      <c r="D61" s="3" t="n"/>
      <c r="E61" s="4" t="n"/>
      <c r="F61" s="4" t="n"/>
      <c r="G61" s="17">
        <f>IFERROR((E61-F61)/E61,0)</f>
        <v/>
      </c>
      <c r="H61" s="3" t="n"/>
      <c r="I61" s="3" t="n"/>
    </row>
    <row r="62" ht="22" customHeight="1">
      <c r="B62" s="5" t="n"/>
      <c r="C62" s="5" t="n"/>
      <c r="D62" s="5" t="n"/>
      <c r="E62" s="6" t="n"/>
      <c r="F62" s="6" t="n"/>
      <c r="G62" s="18">
        <f>IFERROR((E62-F62)/E62,0)</f>
        <v/>
      </c>
      <c r="H62" s="5" t="n"/>
      <c r="I62" s="5" t="n"/>
    </row>
    <row r="63" ht="22" customHeight="1">
      <c r="B63" s="3" t="n"/>
      <c r="C63" s="3" t="n"/>
      <c r="D63" s="3" t="n"/>
      <c r="E63" s="4" t="n"/>
      <c r="F63" s="4" t="n"/>
      <c r="G63" s="17">
        <f>IFERROR((E63-F63)/E63,0)</f>
        <v/>
      </c>
      <c r="H63" s="3" t="n"/>
      <c r="I63" s="3" t="n"/>
    </row>
    <row r="64" ht="22" customHeight="1">
      <c r="B64" s="5" t="n"/>
      <c r="C64" s="5" t="n"/>
      <c r="D64" s="5" t="n"/>
      <c r="E64" s="6" t="n"/>
      <c r="F64" s="6" t="n"/>
      <c r="G64" s="18">
        <f>IFERROR((E64-F64)/E64,0)</f>
        <v/>
      </c>
      <c r="H64" s="5" t="n"/>
      <c r="I64" s="5" t="n"/>
    </row>
    <row r="65" ht="22" customHeight="1">
      <c r="B65" s="3" t="n"/>
      <c r="C65" s="3" t="n"/>
      <c r="D65" s="3" t="n"/>
      <c r="E65" s="4" t="n"/>
      <c r="F65" s="4" t="n"/>
      <c r="G65" s="17">
        <f>IFERROR((E65-F65)/E65,0)</f>
        <v/>
      </c>
      <c r="H65" s="3" t="n"/>
      <c r="I65" s="3" t="n"/>
    </row>
    <row r="66" ht="22" customHeight="1">
      <c r="B66" s="5" t="n"/>
      <c r="C66" s="5" t="n"/>
      <c r="D66" s="5" t="n"/>
      <c r="E66" s="6" t="n"/>
      <c r="F66" s="6" t="n"/>
      <c r="G66" s="18">
        <f>IFERROR((E66-F66)/E66,0)</f>
        <v/>
      </c>
      <c r="H66" s="5" t="n"/>
      <c r="I66" s="5" t="n"/>
    </row>
    <row r="67" ht="22" customHeight="1">
      <c r="B67" s="3" t="n"/>
      <c r="C67" s="3" t="n"/>
      <c r="D67" s="3" t="n"/>
      <c r="E67" s="4" t="n"/>
      <c r="F67" s="4" t="n"/>
      <c r="G67" s="17">
        <f>IFERROR((E67-F67)/E67,0)</f>
        <v/>
      </c>
      <c r="H67" s="3" t="n"/>
      <c r="I67" s="3" t="n"/>
    </row>
    <row r="68" ht="22" customHeight="1">
      <c r="B68" s="5" t="n"/>
      <c r="C68" s="5" t="n"/>
      <c r="D68" s="5" t="n"/>
      <c r="E68" s="6" t="n"/>
      <c r="F68" s="6" t="n"/>
      <c r="G68" s="18">
        <f>IFERROR((E68-F68)/E68,0)</f>
        <v/>
      </c>
      <c r="H68" s="5" t="n"/>
      <c r="I68" s="5" t="n"/>
    </row>
    <row r="69" ht="22" customHeight="1">
      <c r="B69" s="3" t="n"/>
      <c r="C69" s="3" t="n"/>
      <c r="D69" s="3" t="n"/>
      <c r="E69" s="4" t="n"/>
      <c r="F69" s="4" t="n"/>
      <c r="G69" s="17">
        <f>IFERROR((E69-F69)/E69,0)</f>
        <v/>
      </c>
      <c r="H69" s="3" t="n"/>
      <c r="I69" s="3" t="n"/>
    </row>
    <row r="70" ht="22" customHeight="1">
      <c r="B70" s="5" t="n"/>
      <c r="C70" s="5" t="n"/>
      <c r="D70" s="5" t="n"/>
      <c r="E70" s="6" t="n"/>
      <c r="F70" s="6" t="n"/>
      <c r="G70" s="18">
        <f>IFERROR((E70-F70)/E70,0)</f>
        <v/>
      </c>
      <c r="H70" s="5" t="n"/>
      <c r="I70" s="5" t="n"/>
    </row>
    <row r="71" ht="22" customHeight="1">
      <c r="B71" s="3" t="n"/>
      <c r="C71" s="3" t="n"/>
      <c r="D71" s="3" t="n"/>
      <c r="E71" s="4" t="n"/>
      <c r="F71" s="4" t="n"/>
      <c r="G71" s="17">
        <f>IFERROR((E71-F71)/E71,0)</f>
        <v/>
      </c>
      <c r="H71" s="3" t="n"/>
      <c r="I71" s="3" t="n"/>
    </row>
    <row r="72" ht="22" customHeight="1">
      <c r="B72" s="5" t="n"/>
      <c r="C72" s="5" t="n"/>
      <c r="D72" s="5" t="n"/>
      <c r="E72" s="6" t="n"/>
      <c r="F72" s="6" t="n"/>
      <c r="G72" s="18">
        <f>IFERROR((E72-F72)/E72,0)</f>
        <v/>
      </c>
      <c r="H72" s="5" t="n"/>
      <c r="I72" s="5" t="n"/>
    </row>
    <row r="73" ht="22" customHeight="1">
      <c r="B73" s="3" t="n"/>
      <c r="C73" s="3" t="n"/>
      <c r="D73" s="3" t="n"/>
      <c r="E73" s="4" t="n"/>
      <c r="F73" s="4" t="n"/>
      <c r="G73" s="17">
        <f>IFERROR((E73-F73)/E73,0)</f>
        <v/>
      </c>
      <c r="H73" s="3" t="n"/>
      <c r="I73" s="3" t="n"/>
    </row>
    <row r="74" ht="22" customHeight="1">
      <c r="B74" s="5" t="n"/>
      <c r="C74" s="5" t="n"/>
      <c r="D74" s="5" t="n"/>
      <c r="E74" s="6" t="n"/>
      <c r="F74" s="6" t="n"/>
      <c r="G74" s="18">
        <f>IFERROR((E74-F74)/E74,0)</f>
        <v/>
      </c>
      <c r="H74" s="5" t="n"/>
      <c r="I74" s="5" t="n"/>
    </row>
    <row r="75" ht="22" customHeight="1">
      <c r="B75" s="3" t="n"/>
      <c r="C75" s="3" t="n"/>
      <c r="D75" s="3" t="n"/>
      <c r="E75" s="4" t="n"/>
      <c r="F75" s="4" t="n"/>
      <c r="G75" s="17">
        <f>IFERROR((E75-F75)/E75,0)</f>
        <v/>
      </c>
      <c r="H75" s="3" t="n"/>
      <c r="I75" s="3" t="n"/>
    </row>
    <row r="76" ht="22" customHeight="1">
      <c r="B76" s="5" t="n"/>
      <c r="C76" s="5" t="n"/>
      <c r="D76" s="5" t="n"/>
      <c r="E76" s="6" t="n"/>
      <c r="F76" s="6" t="n"/>
      <c r="G76" s="18">
        <f>IFERROR((E76-F76)/E76,0)</f>
        <v/>
      </c>
      <c r="H76" s="5" t="n"/>
      <c r="I76" s="5" t="n"/>
    </row>
    <row r="77" ht="22" customHeight="1">
      <c r="B77" s="3" t="n"/>
      <c r="C77" s="3" t="n"/>
      <c r="D77" s="3" t="n"/>
      <c r="E77" s="4" t="n"/>
      <c r="F77" s="4" t="n"/>
      <c r="G77" s="17">
        <f>IFERROR((E77-F77)/E77,0)</f>
        <v/>
      </c>
      <c r="H77" s="3" t="n"/>
      <c r="I77" s="3" t="n"/>
    </row>
    <row r="78" ht="22" customHeight="1">
      <c r="B78" s="5" t="n"/>
      <c r="C78" s="5" t="n"/>
      <c r="D78" s="5" t="n"/>
      <c r="E78" s="6" t="n"/>
      <c r="F78" s="6" t="n"/>
      <c r="G78" s="18">
        <f>IFERROR((E78-F78)/E78,0)</f>
        <v/>
      </c>
      <c r="H78" s="5" t="n"/>
      <c r="I78" s="5" t="n"/>
    </row>
    <row r="79" ht="22" customHeight="1">
      <c r="B79" s="3" t="n"/>
      <c r="C79" s="3" t="n"/>
      <c r="D79" s="3" t="n"/>
      <c r="E79" s="4" t="n"/>
      <c r="F79" s="4" t="n"/>
      <c r="G79" s="17">
        <f>IFERROR((E79-F79)/E79,0)</f>
        <v/>
      </c>
      <c r="H79" s="3" t="n"/>
      <c r="I79" s="3" t="n"/>
    </row>
    <row r="80" ht="22" customHeight="1">
      <c r="B80" s="5" t="n"/>
      <c r="C80" s="5" t="n"/>
      <c r="D80" s="5" t="n"/>
      <c r="E80" s="6" t="n"/>
      <c r="F80" s="6" t="n"/>
      <c r="G80" s="18">
        <f>IFERROR((E80-F80)/E80,0)</f>
        <v/>
      </c>
      <c r="H80" s="5" t="n"/>
      <c r="I80" s="5" t="n"/>
    </row>
    <row r="81" ht="22" customHeight="1">
      <c r="B81" s="3" t="n"/>
      <c r="C81" s="3" t="n"/>
      <c r="D81" s="3" t="n"/>
      <c r="E81" s="4" t="n"/>
      <c r="F81" s="4" t="n"/>
      <c r="G81" s="17">
        <f>IFERROR((E81-F81)/E81,0)</f>
        <v/>
      </c>
      <c r="H81" s="3" t="n"/>
      <c r="I81" s="3" t="n"/>
    </row>
    <row r="82" ht="22" customHeight="1">
      <c r="B82" s="5" t="n"/>
      <c r="C82" s="5" t="n"/>
      <c r="D82" s="5" t="n"/>
      <c r="E82" s="6" t="n"/>
      <c r="F82" s="6" t="n"/>
      <c r="G82" s="18">
        <f>IFERROR((E82-F82)/E82,0)</f>
        <v/>
      </c>
      <c r="H82" s="5" t="n"/>
      <c r="I82" s="5" t="n"/>
    </row>
    <row r="83" ht="22" customHeight="1">
      <c r="B83" s="3" t="n"/>
      <c r="C83" s="3" t="n"/>
      <c r="D83" s="3" t="n"/>
      <c r="E83" s="4" t="n"/>
      <c r="F83" s="4" t="n"/>
      <c r="G83" s="17">
        <f>IFERROR((E83-F83)/E83,0)</f>
        <v/>
      </c>
      <c r="H83" s="3" t="n"/>
      <c r="I83" s="3" t="n"/>
    </row>
    <row r="84" ht="22" customHeight="1">
      <c r="B84" s="5" t="n"/>
      <c r="C84" s="5" t="n"/>
      <c r="D84" s="5" t="n"/>
      <c r="E84" s="6" t="n"/>
      <c r="F84" s="6" t="n"/>
      <c r="G84" s="18">
        <f>IFERROR((E84-F84)/E84,0)</f>
        <v/>
      </c>
      <c r="H84" s="5" t="n"/>
      <c r="I84" s="5" t="n"/>
    </row>
    <row r="85" ht="22" customHeight="1">
      <c r="B85" s="3" t="n"/>
      <c r="C85" s="3" t="n"/>
      <c r="D85" s="3" t="n"/>
      <c r="E85" s="4" t="n"/>
      <c r="F85" s="4" t="n"/>
      <c r="G85" s="17">
        <f>IFERROR((E85-F85)/E85,0)</f>
        <v/>
      </c>
      <c r="H85" s="3" t="n"/>
      <c r="I85" s="3" t="n"/>
    </row>
    <row r="86" ht="22" customHeight="1">
      <c r="B86" s="5" t="n"/>
      <c r="C86" s="5" t="n"/>
      <c r="D86" s="5" t="n"/>
      <c r="E86" s="6" t="n"/>
      <c r="F86" s="6" t="n"/>
      <c r="G86" s="18">
        <f>IFERROR((E86-F86)/E86,0)</f>
        <v/>
      </c>
      <c r="H86" s="5" t="n"/>
      <c r="I86" s="5" t="n"/>
    </row>
    <row r="87" ht="22" customHeight="1">
      <c r="B87" s="3" t="n"/>
      <c r="C87" s="3" t="n"/>
      <c r="D87" s="3" t="n"/>
      <c r="E87" s="4" t="n"/>
      <c r="F87" s="4" t="n"/>
      <c r="G87" s="17">
        <f>IFERROR((E87-F87)/E87,0)</f>
        <v/>
      </c>
      <c r="H87" s="3" t="n"/>
      <c r="I87" s="3" t="n"/>
    </row>
    <row r="88" ht="22" customHeight="1">
      <c r="B88" s="5" t="n"/>
      <c r="C88" s="5" t="n"/>
      <c r="D88" s="5" t="n"/>
      <c r="E88" s="6" t="n"/>
      <c r="F88" s="6" t="n"/>
      <c r="G88" s="18">
        <f>IFERROR((E88-F88)/E88,0)</f>
        <v/>
      </c>
      <c r="H88" s="5" t="n"/>
      <c r="I88" s="5" t="n"/>
    </row>
    <row r="89" ht="22" customHeight="1">
      <c r="B89" s="3" t="n"/>
      <c r="C89" s="3" t="n"/>
      <c r="D89" s="3" t="n"/>
      <c r="E89" s="4" t="n"/>
      <c r="F89" s="4" t="n"/>
      <c r="G89" s="17">
        <f>IFERROR((E89-F89)/E89,0)</f>
        <v/>
      </c>
      <c r="H89" s="3" t="n"/>
      <c r="I89" s="3" t="n"/>
    </row>
    <row r="90" ht="22" customHeight="1">
      <c r="B90" s="5" t="n"/>
      <c r="C90" s="5" t="n"/>
      <c r="D90" s="5" t="n"/>
      <c r="E90" s="6" t="n"/>
      <c r="F90" s="6" t="n"/>
      <c r="G90" s="18">
        <f>IFERROR((E90-F90)/E90,0)</f>
        <v/>
      </c>
      <c r="H90" s="5" t="n"/>
      <c r="I90" s="5" t="n"/>
    </row>
    <row r="91" ht="22" customHeight="1">
      <c r="B91" s="3" t="n"/>
      <c r="C91" s="3" t="n"/>
      <c r="D91" s="3" t="n"/>
      <c r="E91" s="4" t="n"/>
      <c r="F91" s="4" t="n"/>
      <c r="G91" s="17">
        <f>IFERROR((E91-F91)/E91,0)</f>
        <v/>
      </c>
      <c r="H91" s="3" t="n"/>
      <c r="I91" s="3" t="n"/>
    </row>
    <row r="92" ht="22" customHeight="1">
      <c r="B92" s="5" t="n"/>
      <c r="C92" s="5" t="n"/>
      <c r="D92" s="5" t="n"/>
      <c r="E92" s="6" t="n"/>
      <c r="F92" s="6" t="n"/>
      <c r="G92" s="18">
        <f>IFERROR((E92-F92)/E92,0)</f>
        <v/>
      </c>
      <c r="H92" s="5" t="n"/>
      <c r="I92" s="5" t="n"/>
    </row>
    <row r="93" ht="22" customHeight="1">
      <c r="B93" s="3" t="n"/>
      <c r="C93" s="3" t="n"/>
      <c r="D93" s="3" t="n"/>
      <c r="E93" s="4" t="n"/>
      <c r="F93" s="4" t="n"/>
      <c r="G93" s="17">
        <f>IFERROR((E93-F93)/E93,0)</f>
        <v/>
      </c>
      <c r="H93" s="3" t="n"/>
      <c r="I93" s="3" t="n"/>
    </row>
    <row r="94" ht="22" customHeight="1">
      <c r="B94" s="5" t="n"/>
      <c r="C94" s="5" t="n"/>
      <c r="D94" s="5" t="n"/>
      <c r="E94" s="6" t="n"/>
      <c r="F94" s="6" t="n"/>
      <c r="G94" s="18">
        <f>IFERROR((E94-F94)/E94,0)</f>
        <v/>
      </c>
      <c r="H94" s="5" t="n"/>
      <c r="I94" s="5" t="n"/>
    </row>
    <row r="95" ht="22" customHeight="1">
      <c r="B95" s="3" t="n"/>
      <c r="C95" s="3" t="n"/>
      <c r="D95" s="3" t="n"/>
      <c r="E95" s="4" t="n"/>
      <c r="F95" s="4" t="n"/>
      <c r="G95" s="17">
        <f>IFERROR((E95-F95)/E95,0)</f>
        <v/>
      </c>
      <c r="H95" s="3" t="n"/>
      <c r="I95" s="3" t="n"/>
    </row>
    <row r="96" ht="22" customHeight="1">
      <c r="B96" s="5" t="n"/>
      <c r="C96" s="5" t="n"/>
      <c r="D96" s="5" t="n"/>
      <c r="E96" s="6" t="n"/>
      <c r="F96" s="6" t="n"/>
      <c r="G96" s="18">
        <f>IFERROR((E96-F96)/E96,0)</f>
        <v/>
      </c>
      <c r="H96" s="5" t="n"/>
      <c r="I96" s="5" t="n"/>
    </row>
    <row r="97" ht="22" customHeight="1">
      <c r="B97" s="3" t="n"/>
      <c r="C97" s="3" t="n"/>
      <c r="D97" s="3" t="n"/>
      <c r="E97" s="4" t="n"/>
      <c r="F97" s="4" t="n"/>
      <c r="G97" s="17">
        <f>IFERROR((E97-F97)/E97,0)</f>
        <v/>
      </c>
      <c r="H97" s="3" t="n"/>
      <c r="I97" s="3" t="n"/>
    </row>
    <row r="98" ht="22" customHeight="1">
      <c r="B98" s="5" t="n"/>
      <c r="C98" s="5" t="n"/>
      <c r="D98" s="5" t="n"/>
      <c r="E98" s="6" t="n"/>
      <c r="F98" s="6" t="n"/>
      <c r="G98" s="18">
        <f>IFERROR((E98-F98)/E98,0)</f>
        <v/>
      </c>
      <c r="H98" s="5" t="n"/>
      <c r="I98" s="5" t="n"/>
    </row>
    <row r="99" ht="22" customHeight="1">
      <c r="B99" s="3" t="n"/>
      <c r="C99" s="3" t="n"/>
      <c r="D99" s="3" t="n"/>
      <c r="E99" s="4" t="n"/>
      <c r="F99" s="4" t="n"/>
      <c r="G99" s="17">
        <f>IFERROR((E99-F99)/E99,0)</f>
        <v/>
      </c>
      <c r="H99" s="3" t="n"/>
      <c r="I99" s="3" t="n"/>
    </row>
    <row r="100" ht="22" customHeight="1">
      <c r="B100" s="5" t="n"/>
      <c r="C100" s="5" t="n"/>
      <c r="D100" s="5" t="n"/>
      <c r="E100" s="6" t="n"/>
      <c r="F100" s="6" t="n"/>
      <c r="G100" s="18">
        <f>IFERROR((E100-F100)/E100,0)</f>
        <v/>
      </c>
      <c r="H100" s="5" t="n"/>
      <c r="I100" s="5" t="n"/>
    </row>
    <row r="101" ht="22" customHeight="1">
      <c r="B101" s="3" t="n"/>
      <c r="C101" s="3" t="n"/>
      <c r="D101" s="3" t="n"/>
      <c r="E101" s="4" t="n"/>
      <c r="F101" s="4" t="n"/>
      <c r="G101" s="17">
        <f>IFERROR((E101-F101)/E101,0)</f>
        <v/>
      </c>
      <c r="H101" s="3" t="n"/>
      <c r="I101" s="3" t="n"/>
    </row>
    <row r="102" ht="22" customHeight="1">
      <c r="B102" s="5" t="n"/>
      <c r="C102" s="5" t="n"/>
      <c r="D102" s="5" t="n"/>
      <c r="E102" s="6" t="n"/>
      <c r="F102" s="6" t="n"/>
      <c r="G102" s="18">
        <f>IFERROR((E102-F102)/E102,0)</f>
        <v/>
      </c>
      <c r="H102" s="5" t="n"/>
      <c r="I102" s="5" t="n"/>
    </row>
    <row r="103" ht="22" customHeight="1">
      <c r="B103" s="3" t="n"/>
      <c r="C103" s="3" t="n"/>
      <c r="D103" s="3" t="n"/>
      <c r="E103" s="4" t="n"/>
      <c r="F103" s="4" t="n"/>
      <c r="G103" s="17">
        <f>IFERROR((E103-F103)/E103,0)</f>
        <v/>
      </c>
      <c r="H103" s="3" t="n"/>
      <c r="I103" s="3" t="n"/>
    </row>
    <row r="104" ht="22" customHeight="1">
      <c r="B104" s="5" t="n"/>
      <c r="C104" s="5" t="n"/>
      <c r="D104" s="5" t="n"/>
      <c r="E104" s="6" t="n"/>
      <c r="F104" s="6" t="n"/>
      <c r="G104" s="18">
        <f>IFERROR((E104-F104)/E104,0)</f>
        <v/>
      </c>
      <c r="H104" s="5" t="n"/>
      <c r="I104" s="5" t="n"/>
    </row>
    <row r="105" ht="22" customHeight="1">
      <c r="B105" s="3" t="n"/>
      <c r="C105" s="3" t="n"/>
      <c r="D105" s="3" t="n"/>
      <c r="E105" s="4" t="n"/>
      <c r="F105" s="4" t="n"/>
      <c r="G105" s="17">
        <f>IFERROR((E105-F105)/E105,0)</f>
        <v/>
      </c>
      <c r="H105" s="3" t="n"/>
      <c r="I105" s="3" t="n"/>
    </row>
    <row r="106" ht="22" customHeight="1">
      <c r="B106" s="5" t="n"/>
      <c r="C106" s="5" t="n"/>
      <c r="D106" s="5" t="n"/>
      <c r="E106" s="6" t="n"/>
      <c r="F106" s="6" t="n"/>
      <c r="G106" s="18">
        <f>IFERROR((E106-F106)/E106,0)</f>
        <v/>
      </c>
      <c r="H106" s="5" t="n"/>
      <c r="I106" s="5" t="n"/>
    </row>
    <row r="107" ht="22" customHeight="1">
      <c r="B107" s="3" t="n"/>
      <c r="C107" s="3" t="n"/>
      <c r="D107" s="3" t="n"/>
      <c r="E107" s="4" t="n"/>
      <c r="F107" s="4" t="n"/>
      <c r="G107" s="17">
        <f>IFERROR((E107-F107)/E107,0)</f>
        <v/>
      </c>
      <c r="H107" s="3" t="n"/>
      <c r="I107" s="3" t="n"/>
    </row>
    <row r="108" ht="22" customHeight="1">
      <c r="B108" s="5" t="n"/>
      <c r="C108" s="5" t="n"/>
      <c r="D108" s="5" t="n"/>
      <c r="E108" s="6" t="n"/>
      <c r="F108" s="6" t="n"/>
      <c r="G108" s="18">
        <f>IFERROR((E108-F108)/E108,0)</f>
        <v/>
      </c>
      <c r="H108" s="5" t="n"/>
      <c r="I108" s="5" t="n"/>
    </row>
    <row r="109" ht="22" customHeight="1">
      <c r="B109" s="3" t="n"/>
      <c r="C109" s="3" t="n"/>
      <c r="D109" s="3" t="n"/>
      <c r="E109" s="4" t="n"/>
      <c r="F109" s="4" t="n"/>
      <c r="G109" s="17">
        <f>IFERROR((E109-F109)/E109,0)</f>
        <v/>
      </c>
      <c r="H109" s="3" t="n"/>
      <c r="I109" s="3" t="n"/>
    </row>
    <row r="110" ht="22" customHeight="1">
      <c r="B110" s="5" t="n"/>
      <c r="C110" s="5" t="n"/>
      <c r="D110" s="5" t="n"/>
      <c r="E110" s="6" t="n"/>
      <c r="F110" s="6" t="n"/>
      <c r="G110" s="18">
        <f>IFERROR((E110-F110)/E110,0)</f>
        <v/>
      </c>
      <c r="H110" s="5" t="n"/>
      <c r="I110" s="5" t="n"/>
    </row>
    <row r="111" ht="22" customHeight="1">
      <c r="B111" s="3" t="n"/>
      <c r="C111" s="3" t="n"/>
      <c r="D111" s="3" t="n"/>
      <c r="E111" s="4" t="n"/>
      <c r="F111" s="4" t="n"/>
      <c r="G111" s="17">
        <f>IFERROR((E111-F111)/E111,0)</f>
        <v/>
      </c>
      <c r="H111" s="3" t="n"/>
      <c r="I111" s="3" t="n"/>
    </row>
    <row r="112" ht="22" customHeight="1">
      <c r="B112" s="5" t="n"/>
      <c r="C112" s="5" t="n"/>
      <c r="D112" s="5" t="n"/>
      <c r="E112" s="6" t="n"/>
      <c r="F112" s="6" t="n"/>
      <c r="G112" s="18">
        <f>IFERROR((E112-F112)/E112,0)</f>
        <v/>
      </c>
      <c r="H112" s="5" t="n"/>
      <c r="I112" s="5" t="n"/>
    </row>
    <row r="113" ht="22" customHeight="1">
      <c r="B113" s="3" t="n"/>
      <c r="C113" s="3" t="n"/>
      <c r="D113" s="3" t="n"/>
      <c r="E113" s="4" t="n"/>
      <c r="F113" s="4" t="n"/>
      <c r="G113" s="17">
        <f>IFERROR((E113-F113)/E113,0)</f>
        <v/>
      </c>
      <c r="H113" s="3" t="n"/>
      <c r="I113" s="3" t="n"/>
    </row>
    <row r="114" ht="22" customHeight="1">
      <c r="B114" s="5" t="n"/>
      <c r="C114" s="5" t="n"/>
      <c r="D114" s="5" t="n"/>
      <c r="E114" s="6" t="n"/>
      <c r="F114" s="6" t="n"/>
      <c r="G114" s="18">
        <f>IFERROR((E114-F114)/E114,0)</f>
        <v/>
      </c>
      <c r="H114" s="5" t="n"/>
      <c r="I114" s="5" t="n"/>
    </row>
    <row r="115" ht="22" customHeight="1">
      <c r="B115" s="3" t="n"/>
      <c r="C115" s="3" t="n"/>
      <c r="D115" s="3" t="n"/>
      <c r="E115" s="4" t="n"/>
      <c r="F115" s="4" t="n"/>
      <c r="G115" s="17">
        <f>IFERROR((E115-F115)/E115,0)</f>
        <v/>
      </c>
      <c r="H115" s="3" t="n"/>
      <c r="I115" s="3" t="n"/>
    </row>
    <row r="116" ht="22" customHeight="1">
      <c r="B116" s="5" t="n"/>
      <c r="C116" s="5" t="n"/>
      <c r="D116" s="5" t="n"/>
      <c r="E116" s="6" t="n"/>
      <c r="F116" s="6" t="n"/>
      <c r="G116" s="18">
        <f>IFERROR((E116-F116)/E116,0)</f>
        <v/>
      </c>
      <c r="H116" s="5" t="n"/>
      <c r="I116" s="5" t="n"/>
    </row>
    <row r="117" ht="22" customHeight="1">
      <c r="B117" s="3" t="n"/>
      <c r="C117" s="3" t="n"/>
      <c r="D117" s="3" t="n"/>
      <c r="E117" s="4" t="n"/>
      <c r="F117" s="4" t="n"/>
      <c r="G117" s="17">
        <f>IFERROR((E117-F117)/E117,0)</f>
        <v/>
      </c>
      <c r="H117" s="3" t="n"/>
      <c r="I117" s="3" t="n"/>
    </row>
    <row r="118" ht="22" customHeight="1">
      <c r="B118" s="5" t="n"/>
      <c r="C118" s="5" t="n"/>
      <c r="D118" s="5" t="n"/>
      <c r="E118" s="6" t="n"/>
      <c r="F118" s="6" t="n"/>
      <c r="G118" s="18">
        <f>IFERROR((E118-F118)/E118,0)</f>
        <v/>
      </c>
      <c r="H118" s="5" t="n"/>
      <c r="I118" s="5" t="n"/>
    </row>
    <row r="119" ht="22" customHeight="1">
      <c r="B119" s="3" t="n"/>
      <c r="C119" s="3" t="n"/>
      <c r="D119" s="3" t="n"/>
      <c r="E119" s="4" t="n"/>
      <c r="F119" s="4" t="n"/>
      <c r="G119" s="17">
        <f>IFERROR((E119-F119)/E119,0)</f>
        <v/>
      </c>
      <c r="H119" s="3" t="n"/>
      <c r="I119" s="3" t="n"/>
    </row>
    <row r="120" ht="22" customHeight="1">
      <c r="B120" s="5" t="n"/>
      <c r="C120" s="5" t="n"/>
      <c r="D120" s="5" t="n"/>
      <c r="E120" s="6" t="n"/>
      <c r="F120" s="6" t="n"/>
      <c r="G120" s="18">
        <f>IFERROR((E120-F120)/E120,0)</f>
        <v/>
      </c>
      <c r="H120" s="5" t="n"/>
      <c r="I120" s="5" t="n"/>
    </row>
    <row r="121" ht="22" customHeight="1">
      <c r="B121" s="3" t="n"/>
      <c r="C121" s="3" t="n"/>
      <c r="D121" s="3" t="n"/>
      <c r="E121" s="4" t="n"/>
      <c r="F121" s="4" t="n"/>
      <c r="G121" s="17">
        <f>IFERROR((E121-F121)/E121,0)</f>
        <v/>
      </c>
      <c r="H121" s="3" t="n"/>
      <c r="I121" s="3" t="n"/>
    </row>
    <row r="122" ht="22" customHeight="1">
      <c r="B122" s="5" t="n"/>
      <c r="C122" s="5" t="n"/>
      <c r="D122" s="5" t="n"/>
      <c r="E122" s="6" t="n"/>
      <c r="F122" s="6" t="n"/>
      <c r="G122" s="18">
        <f>IFERROR((E122-F122)/E122,0)</f>
        <v/>
      </c>
      <c r="H122" s="5" t="n"/>
      <c r="I122" s="5" t="n"/>
    </row>
    <row r="123" ht="22" customHeight="1">
      <c r="B123" s="3" t="n"/>
      <c r="C123" s="3" t="n"/>
      <c r="D123" s="3" t="n"/>
      <c r="E123" s="4" t="n"/>
      <c r="F123" s="4" t="n"/>
      <c r="G123" s="17">
        <f>IFERROR((E123-F123)/E123,0)</f>
        <v/>
      </c>
      <c r="H123" s="3" t="n"/>
      <c r="I123" s="3" t="n"/>
    </row>
    <row r="124" ht="22" customHeight="1">
      <c r="B124" s="5" t="n"/>
      <c r="C124" s="5" t="n"/>
      <c r="D124" s="5" t="n"/>
      <c r="E124" s="6" t="n"/>
      <c r="F124" s="6" t="n"/>
      <c r="G124" s="18">
        <f>IFERROR((E124-F124)/E124,0)</f>
        <v/>
      </c>
      <c r="H124" s="5" t="n"/>
      <c r="I124" s="5" t="n"/>
    </row>
    <row r="125" ht="22" customHeight="1">
      <c r="B125" s="3" t="n"/>
      <c r="C125" s="3" t="n"/>
      <c r="D125" s="3" t="n"/>
      <c r="E125" s="4" t="n"/>
      <c r="F125" s="4" t="n"/>
      <c r="G125" s="17">
        <f>IFERROR((E125-F125)/E125,0)</f>
        <v/>
      </c>
      <c r="H125" s="3" t="n"/>
      <c r="I125" s="3" t="n"/>
    </row>
    <row r="126" ht="22" customHeight="1">
      <c r="B126" s="5" t="n"/>
      <c r="C126" s="5" t="n"/>
      <c r="D126" s="5" t="n"/>
      <c r="E126" s="6" t="n"/>
      <c r="F126" s="6" t="n"/>
      <c r="G126" s="18">
        <f>IFERROR((E126-F126)/E126,0)</f>
        <v/>
      </c>
      <c r="H126" s="5" t="n"/>
      <c r="I126" s="5" t="n"/>
    </row>
    <row r="127" ht="22" customHeight="1">
      <c r="B127" s="3" t="n"/>
      <c r="C127" s="3" t="n"/>
      <c r="D127" s="3" t="n"/>
      <c r="E127" s="4" t="n"/>
      <c r="F127" s="4" t="n"/>
      <c r="G127" s="17">
        <f>IFERROR((E127-F127)/E127,0)</f>
        <v/>
      </c>
      <c r="H127" s="3" t="n"/>
      <c r="I127" s="3" t="n"/>
    </row>
    <row r="128" ht="22" customHeight="1">
      <c r="B128" s="5" t="n"/>
      <c r="C128" s="5" t="n"/>
      <c r="D128" s="5" t="n"/>
      <c r="E128" s="6" t="n"/>
      <c r="F128" s="6" t="n"/>
      <c r="G128" s="18">
        <f>IFERROR((E128-F128)/E128,0)</f>
        <v/>
      </c>
      <c r="H128" s="5" t="n"/>
      <c r="I128" s="5" t="n"/>
    </row>
    <row r="129" ht="22" customHeight="1">
      <c r="B129" s="3" t="n"/>
      <c r="C129" s="3" t="n"/>
      <c r="D129" s="3" t="n"/>
      <c r="E129" s="4" t="n"/>
      <c r="F129" s="4" t="n"/>
      <c r="G129" s="17">
        <f>IFERROR((E129-F129)/E129,0)</f>
        <v/>
      </c>
      <c r="H129" s="3" t="n"/>
      <c r="I129" s="3" t="n"/>
    </row>
    <row r="130" ht="22" customHeight="1">
      <c r="B130" s="5" t="n"/>
      <c r="C130" s="5" t="n"/>
      <c r="D130" s="5" t="n"/>
      <c r="E130" s="6" t="n"/>
      <c r="F130" s="6" t="n"/>
      <c r="G130" s="18">
        <f>IFERROR((E130-F130)/E130,0)</f>
        <v/>
      </c>
      <c r="H130" s="5" t="n"/>
      <c r="I130" s="5" t="n"/>
    </row>
    <row r="131" ht="22" customHeight="1">
      <c r="B131" s="3" t="n"/>
      <c r="C131" s="3" t="n"/>
      <c r="D131" s="3" t="n"/>
      <c r="E131" s="4" t="n"/>
      <c r="F131" s="4" t="n"/>
      <c r="G131" s="17">
        <f>IFERROR((E131-F131)/E131,0)</f>
        <v/>
      </c>
      <c r="H131" s="3" t="n"/>
      <c r="I131" s="3" t="n"/>
    </row>
    <row r="132" ht="22" customHeight="1">
      <c r="B132" s="5" t="n"/>
      <c r="C132" s="5" t="n"/>
      <c r="D132" s="5" t="n"/>
      <c r="E132" s="6" t="n"/>
      <c r="F132" s="6" t="n"/>
      <c r="G132" s="18">
        <f>IFERROR((E132-F132)/E132,0)</f>
        <v/>
      </c>
      <c r="H132" s="5" t="n"/>
      <c r="I132" s="5" t="n"/>
    </row>
    <row r="133" ht="22" customHeight="1">
      <c r="B133" s="3" t="n"/>
      <c r="C133" s="3" t="n"/>
      <c r="D133" s="3" t="n"/>
      <c r="E133" s="4" t="n"/>
      <c r="F133" s="4" t="n"/>
      <c r="G133" s="17">
        <f>IFERROR((E133-F133)/E133,0)</f>
        <v/>
      </c>
      <c r="H133" s="3" t="n"/>
      <c r="I133" s="3" t="n"/>
    </row>
    <row r="134" ht="22" customHeight="1">
      <c r="B134" s="5" t="n"/>
      <c r="C134" s="5" t="n"/>
      <c r="D134" s="5" t="n"/>
      <c r="E134" s="6" t="n"/>
      <c r="F134" s="6" t="n"/>
      <c r="G134" s="18">
        <f>IFERROR((E134-F134)/E134,0)</f>
        <v/>
      </c>
      <c r="H134" s="5" t="n"/>
      <c r="I134" s="5" t="n"/>
    </row>
    <row r="135" ht="22" customHeight="1">
      <c r="B135" s="3" t="n"/>
      <c r="C135" s="3" t="n"/>
      <c r="D135" s="3" t="n"/>
      <c r="E135" s="4" t="n"/>
      <c r="F135" s="4" t="n"/>
      <c r="G135" s="17">
        <f>IFERROR((E135-F135)/E135,0)</f>
        <v/>
      </c>
      <c r="H135" s="3" t="n"/>
      <c r="I135" s="3" t="n"/>
    </row>
    <row r="136" ht="22" customHeight="1">
      <c r="B136" s="5" t="n"/>
      <c r="C136" s="5" t="n"/>
      <c r="D136" s="5" t="n"/>
      <c r="E136" s="6" t="n"/>
      <c r="F136" s="6" t="n"/>
      <c r="G136" s="18">
        <f>IFERROR((E136-F136)/E136,0)</f>
        <v/>
      </c>
      <c r="H136" s="5" t="n"/>
      <c r="I136" s="5" t="n"/>
    </row>
    <row r="137" ht="22" customHeight="1">
      <c r="B137" s="3" t="n"/>
      <c r="C137" s="3" t="n"/>
      <c r="D137" s="3" t="n"/>
      <c r="E137" s="4" t="n"/>
      <c r="F137" s="4" t="n"/>
      <c r="G137" s="17">
        <f>IFERROR((E137-F137)/E137,0)</f>
        <v/>
      </c>
      <c r="H137" s="3" t="n"/>
      <c r="I137" s="3" t="n"/>
    </row>
    <row r="138" ht="22" customHeight="1">
      <c r="B138" s="5" t="n"/>
      <c r="C138" s="5" t="n"/>
      <c r="D138" s="5" t="n"/>
      <c r="E138" s="6" t="n"/>
      <c r="F138" s="6" t="n"/>
      <c r="G138" s="18">
        <f>IFERROR((E138-F138)/E138,0)</f>
        <v/>
      </c>
      <c r="H138" s="5" t="n"/>
      <c r="I138" s="5" t="n"/>
    </row>
    <row r="139" ht="22" customHeight="1">
      <c r="B139" s="3" t="n"/>
      <c r="C139" s="3" t="n"/>
      <c r="D139" s="3" t="n"/>
      <c r="E139" s="4" t="n"/>
      <c r="F139" s="4" t="n"/>
      <c r="G139" s="17">
        <f>IFERROR((E139-F139)/E139,0)</f>
        <v/>
      </c>
      <c r="H139" s="3" t="n"/>
      <c r="I139" s="3" t="n"/>
    </row>
    <row r="140" ht="22" customHeight="1">
      <c r="B140" s="5" t="n"/>
      <c r="C140" s="5" t="n"/>
      <c r="D140" s="5" t="n"/>
      <c r="E140" s="6" t="n"/>
      <c r="F140" s="6" t="n"/>
      <c r="G140" s="18">
        <f>IFERROR((E140-F140)/E140,0)</f>
        <v/>
      </c>
      <c r="H140" s="5" t="n"/>
      <c r="I140" s="5" t="n"/>
    </row>
    <row r="141" ht="22" customHeight="1">
      <c r="B141" s="3" t="n"/>
      <c r="C141" s="3" t="n"/>
      <c r="D141" s="3" t="n"/>
      <c r="E141" s="4" t="n"/>
      <c r="F141" s="4" t="n"/>
      <c r="G141" s="17">
        <f>IFERROR((E141-F141)/E141,0)</f>
        <v/>
      </c>
      <c r="H141" s="3" t="n"/>
      <c r="I141" s="3" t="n"/>
    </row>
    <row r="142" ht="22" customHeight="1">
      <c r="B142" s="5" t="n"/>
      <c r="C142" s="5" t="n"/>
      <c r="D142" s="5" t="n"/>
      <c r="E142" s="6" t="n"/>
      <c r="F142" s="6" t="n"/>
      <c r="G142" s="18">
        <f>IFERROR((E142-F142)/E142,0)</f>
        <v/>
      </c>
      <c r="H142" s="5" t="n"/>
      <c r="I142" s="5" t="n"/>
    </row>
    <row r="143" ht="22" customHeight="1">
      <c r="B143" s="3" t="n"/>
      <c r="C143" s="3" t="n"/>
      <c r="D143" s="3" t="n"/>
      <c r="E143" s="4" t="n"/>
      <c r="F143" s="4" t="n"/>
      <c r="G143" s="17">
        <f>IFERROR((E143-F143)/E143,0)</f>
        <v/>
      </c>
      <c r="H143" s="3" t="n"/>
      <c r="I143" s="3" t="n"/>
    </row>
    <row r="144" ht="22" customHeight="1">
      <c r="B144" s="5" t="n"/>
      <c r="C144" s="5" t="n"/>
      <c r="D144" s="5" t="n"/>
      <c r="E144" s="6" t="n"/>
      <c r="F144" s="6" t="n"/>
      <c r="G144" s="18">
        <f>IFERROR((E144-F144)/E144,0)</f>
        <v/>
      </c>
      <c r="H144" s="5" t="n"/>
      <c r="I144" s="5" t="n"/>
    </row>
    <row r="145" ht="22" customHeight="1">
      <c r="B145" s="3" t="n"/>
      <c r="C145" s="3" t="n"/>
      <c r="D145" s="3" t="n"/>
      <c r="E145" s="4" t="n"/>
      <c r="F145" s="4" t="n"/>
      <c r="G145" s="17">
        <f>IFERROR((E145-F145)/E145,0)</f>
        <v/>
      </c>
      <c r="H145" s="3" t="n"/>
      <c r="I145" s="3" t="n"/>
    </row>
    <row r="146" ht="22" customHeight="1">
      <c r="B146" s="5" t="n"/>
      <c r="C146" s="5" t="n"/>
      <c r="D146" s="5" t="n"/>
      <c r="E146" s="6" t="n"/>
      <c r="F146" s="6" t="n"/>
      <c r="G146" s="18">
        <f>IFERROR((E146-F146)/E146,0)</f>
        <v/>
      </c>
      <c r="H146" s="5" t="n"/>
      <c r="I146" s="5" t="n"/>
    </row>
    <row r="147" ht="22" customHeight="1">
      <c r="B147" s="3" t="n"/>
      <c r="C147" s="3" t="n"/>
      <c r="D147" s="3" t="n"/>
      <c r="E147" s="4" t="n"/>
      <c r="F147" s="4" t="n"/>
      <c r="G147" s="17">
        <f>IFERROR((E147-F147)/E147,0)</f>
        <v/>
      </c>
      <c r="H147" s="3" t="n"/>
      <c r="I147" s="3" t="n"/>
    </row>
    <row r="148" ht="22" customHeight="1">
      <c r="B148" s="5" t="n"/>
      <c r="C148" s="5" t="n"/>
      <c r="D148" s="5" t="n"/>
      <c r="E148" s="6" t="n"/>
      <c r="F148" s="6" t="n"/>
      <c r="G148" s="18">
        <f>IFERROR((E148-F148)/E148,0)</f>
        <v/>
      </c>
      <c r="H148" s="5" t="n"/>
      <c r="I148" s="5" t="n"/>
    </row>
    <row r="149" ht="22" customHeight="1">
      <c r="B149" s="3" t="n"/>
      <c r="C149" s="3" t="n"/>
      <c r="D149" s="3" t="n"/>
      <c r="E149" s="4" t="n"/>
      <c r="F149" s="4" t="n"/>
      <c r="G149" s="17">
        <f>IFERROR((E149-F149)/E149,0)</f>
        <v/>
      </c>
      <c r="H149" s="3" t="n"/>
      <c r="I149" s="3" t="n"/>
    </row>
    <row r="150" ht="22" customHeight="1">
      <c r="B150" s="5" t="n"/>
      <c r="C150" s="5" t="n"/>
      <c r="D150" s="5" t="n"/>
      <c r="E150" s="6" t="n"/>
      <c r="F150" s="6" t="n"/>
      <c r="G150" s="18">
        <f>IFERROR((E150-F150)/E150,0)</f>
        <v/>
      </c>
      <c r="H150" s="5" t="n"/>
      <c r="I150" s="5" t="n"/>
    </row>
    <row r="151" ht="22" customHeight="1">
      <c r="B151" s="3" t="n"/>
      <c r="C151" s="3" t="n"/>
      <c r="D151" s="3" t="n"/>
      <c r="E151" s="4" t="n"/>
      <c r="F151" s="4" t="n"/>
      <c r="G151" s="17">
        <f>IFERROR((E151-F151)/E151,0)</f>
        <v/>
      </c>
      <c r="H151" s="3" t="n"/>
      <c r="I151" s="3" t="n"/>
    </row>
    <row r="152" ht="22" customHeight="1">
      <c r="B152" s="5" t="n"/>
      <c r="C152" s="5" t="n"/>
      <c r="D152" s="5" t="n"/>
      <c r="E152" s="6" t="n"/>
      <c r="F152" s="6" t="n"/>
      <c r="G152" s="18">
        <f>IFERROR((E152-F152)/E152,0)</f>
        <v/>
      </c>
      <c r="H152" s="5" t="n"/>
      <c r="I152" s="5" t="n"/>
    </row>
    <row r="153" ht="22" customHeight="1">
      <c r="B153" s="3" t="n"/>
      <c r="C153" s="3" t="n"/>
      <c r="D153" s="3" t="n"/>
      <c r="E153" s="4" t="n"/>
      <c r="F153" s="4" t="n"/>
      <c r="G153" s="17">
        <f>IFERROR((E153-F153)/E153,0)</f>
        <v/>
      </c>
      <c r="H153" s="3" t="n"/>
      <c r="I153" s="3" t="n"/>
    </row>
    <row r="154" ht="22" customHeight="1">
      <c r="B154" s="5" t="n"/>
      <c r="C154" s="5" t="n"/>
      <c r="D154" s="5" t="n"/>
      <c r="E154" s="6" t="n"/>
      <c r="F154" s="6" t="n"/>
      <c r="G154" s="18">
        <f>IFERROR((E154-F154)/E154,0)</f>
        <v/>
      </c>
      <c r="H154" s="5" t="n"/>
      <c r="I154" s="5" t="n"/>
    </row>
    <row r="155" ht="22" customHeight="1">
      <c r="B155" s="3" t="n"/>
      <c r="C155" s="3" t="n"/>
      <c r="D155" s="3" t="n"/>
      <c r="E155" s="4" t="n"/>
      <c r="F155" s="4" t="n"/>
      <c r="G155" s="17">
        <f>IFERROR((E155-F155)/E155,0)</f>
        <v/>
      </c>
      <c r="H155" s="3" t="n"/>
      <c r="I155" s="3" t="n"/>
    </row>
    <row r="156" ht="22" customHeight="1">
      <c r="B156" s="5" t="n"/>
      <c r="C156" s="5" t="n"/>
      <c r="D156" s="5" t="n"/>
      <c r="E156" s="6" t="n"/>
      <c r="F156" s="6" t="n"/>
      <c r="G156" s="18">
        <f>IFERROR((E156-F156)/E156,0)</f>
        <v/>
      </c>
      <c r="H156" s="5" t="n"/>
      <c r="I156" s="5" t="n"/>
    </row>
    <row r="157" ht="22" customHeight="1">
      <c r="B157" s="3" t="n"/>
      <c r="C157" s="3" t="n"/>
      <c r="D157" s="3" t="n"/>
      <c r="E157" s="4" t="n"/>
      <c r="F157" s="4" t="n"/>
      <c r="G157" s="17">
        <f>IFERROR((E157-F157)/E157,0)</f>
        <v/>
      </c>
      <c r="H157" s="3" t="n"/>
      <c r="I157" s="3" t="n"/>
    </row>
    <row r="158" ht="22" customHeight="1">
      <c r="B158" s="5" t="n"/>
      <c r="C158" s="5" t="n"/>
      <c r="D158" s="5" t="n"/>
      <c r="E158" s="6" t="n"/>
      <c r="F158" s="6" t="n"/>
      <c r="G158" s="18">
        <f>IFERROR((E158-F158)/E158,0)</f>
        <v/>
      </c>
      <c r="H158" s="5" t="n"/>
      <c r="I158" s="5" t="n"/>
    </row>
    <row r="159" ht="22" customHeight="1">
      <c r="B159" s="3" t="n"/>
      <c r="C159" s="3" t="n"/>
      <c r="D159" s="3" t="n"/>
      <c r="E159" s="4" t="n"/>
      <c r="F159" s="4" t="n"/>
      <c r="G159" s="17">
        <f>IFERROR((E159-F159)/E159,0)</f>
        <v/>
      </c>
      <c r="H159" s="3" t="n"/>
      <c r="I159" s="3" t="n"/>
    </row>
    <row r="160" ht="22" customHeight="1">
      <c r="B160" s="5" t="n"/>
      <c r="C160" s="5" t="n"/>
      <c r="D160" s="5" t="n"/>
      <c r="E160" s="6" t="n"/>
      <c r="F160" s="6" t="n"/>
      <c r="G160" s="18">
        <f>IFERROR((E160-F160)/E160,0)</f>
        <v/>
      </c>
      <c r="H160" s="5" t="n"/>
      <c r="I160" s="5" t="n"/>
    </row>
    <row r="161" ht="22" customHeight="1">
      <c r="B161" s="3" t="n"/>
      <c r="C161" s="3" t="n"/>
      <c r="D161" s="3" t="n"/>
      <c r="E161" s="4" t="n"/>
      <c r="F161" s="4" t="n"/>
      <c r="G161" s="17">
        <f>IFERROR((E161-F161)/E161,0)</f>
        <v/>
      </c>
      <c r="H161" s="3" t="n"/>
      <c r="I161" s="3" t="n"/>
    </row>
    <row r="162" ht="22" customHeight="1">
      <c r="B162" s="5" t="n"/>
      <c r="C162" s="5" t="n"/>
      <c r="D162" s="5" t="n"/>
      <c r="E162" s="6" t="n"/>
      <c r="F162" s="6" t="n"/>
      <c r="G162" s="18">
        <f>IFERROR((E162-F162)/E162,0)</f>
        <v/>
      </c>
      <c r="H162" s="5" t="n"/>
      <c r="I162" s="5" t="n"/>
    </row>
    <row r="163" ht="22" customHeight="1">
      <c r="B163" s="3" t="n"/>
      <c r="C163" s="3" t="n"/>
      <c r="D163" s="3" t="n"/>
      <c r="E163" s="4" t="n"/>
      <c r="F163" s="4" t="n"/>
      <c r="G163" s="17">
        <f>IFERROR((E163-F163)/E163,0)</f>
        <v/>
      </c>
      <c r="H163" s="3" t="n"/>
      <c r="I163" s="3" t="n"/>
    </row>
    <row r="164" ht="22" customHeight="1">
      <c r="B164" s="5" t="n"/>
      <c r="C164" s="5" t="n"/>
      <c r="D164" s="5" t="n"/>
      <c r="E164" s="6" t="n"/>
      <c r="F164" s="6" t="n"/>
      <c r="G164" s="18">
        <f>IFERROR((E164-F164)/E164,0)</f>
        <v/>
      </c>
      <c r="H164" s="5" t="n"/>
      <c r="I164" s="5" t="n"/>
    </row>
    <row r="165" ht="22" customHeight="1">
      <c r="B165" s="3" t="n"/>
      <c r="C165" s="3" t="n"/>
      <c r="D165" s="3" t="n"/>
      <c r="E165" s="4" t="n"/>
      <c r="F165" s="4" t="n"/>
      <c r="G165" s="17">
        <f>IFERROR((E165-F165)/E165,0)</f>
        <v/>
      </c>
      <c r="H165" s="3" t="n"/>
      <c r="I165" s="3" t="n"/>
    </row>
    <row r="166" ht="22" customHeight="1">
      <c r="B166" s="5" t="n"/>
      <c r="C166" s="5" t="n"/>
      <c r="D166" s="5" t="n"/>
      <c r="E166" s="6" t="n"/>
      <c r="F166" s="6" t="n"/>
      <c r="G166" s="18">
        <f>IFERROR((E166-F166)/E166,0)</f>
        <v/>
      </c>
      <c r="H166" s="5" t="n"/>
      <c r="I166" s="5" t="n"/>
    </row>
    <row r="167" ht="22" customHeight="1">
      <c r="B167" s="3" t="n"/>
      <c r="C167" s="3" t="n"/>
      <c r="D167" s="3" t="n"/>
      <c r="E167" s="4" t="n"/>
      <c r="F167" s="4" t="n"/>
      <c r="G167" s="17">
        <f>IFERROR((E167-F167)/E167,0)</f>
        <v/>
      </c>
      <c r="H167" s="3" t="n"/>
      <c r="I167" s="3" t="n"/>
    </row>
    <row r="168" ht="22" customHeight="1">
      <c r="B168" s="5" t="n"/>
      <c r="C168" s="5" t="n"/>
      <c r="D168" s="5" t="n"/>
      <c r="E168" s="6" t="n"/>
      <c r="F168" s="6" t="n"/>
      <c r="G168" s="18">
        <f>IFERROR((E168-F168)/E168,0)</f>
        <v/>
      </c>
      <c r="H168" s="5" t="n"/>
      <c r="I168" s="5" t="n"/>
    </row>
    <row r="169" ht="22" customHeight="1">
      <c r="B169" s="3" t="n"/>
      <c r="C169" s="3" t="n"/>
      <c r="D169" s="3" t="n"/>
      <c r="E169" s="4" t="n"/>
      <c r="F169" s="4" t="n"/>
      <c r="G169" s="17">
        <f>IFERROR((E169-F169)/E169,0)</f>
        <v/>
      </c>
      <c r="H169" s="3" t="n"/>
      <c r="I169" s="3" t="n"/>
    </row>
    <row r="170" ht="22" customHeight="1">
      <c r="B170" s="5" t="n"/>
      <c r="C170" s="5" t="n"/>
      <c r="D170" s="5" t="n"/>
      <c r="E170" s="6" t="n"/>
      <c r="F170" s="6" t="n"/>
      <c r="G170" s="18">
        <f>IFERROR((E170-F170)/E170,0)</f>
        <v/>
      </c>
      <c r="H170" s="5" t="n"/>
      <c r="I170" s="5" t="n"/>
    </row>
    <row r="171" ht="22" customHeight="1">
      <c r="B171" s="3" t="n"/>
      <c r="C171" s="3" t="n"/>
      <c r="D171" s="3" t="n"/>
      <c r="E171" s="4" t="n"/>
      <c r="F171" s="4" t="n"/>
      <c r="G171" s="17">
        <f>IFERROR((E171-F171)/E171,0)</f>
        <v/>
      </c>
      <c r="H171" s="3" t="n"/>
      <c r="I171" s="3" t="n"/>
    </row>
    <row r="172" ht="22" customHeight="1">
      <c r="B172" s="5" t="n"/>
      <c r="C172" s="5" t="n"/>
      <c r="D172" s="5" t="n"/>
      <c r="E172" s="6" t="n"/>
      <c r="F172" s="6" t="n"/>
      <c r="G172" s="18">
        <f>IFERROR((E172-F172)/E172,0)</f>
        <v/>
      </c>
      <c r="H172" s="5" t="n"/>
      <c r="I172" s="5" t="n"/>
    </row>
    <row r="173" ht="22" customHeight="1">
      <c r="B173" s="3" t="n"/>
      <c r="C173" s="3" t="n"/>
      <c r="D173" s="3" t="n"/>
      <c r="E173" s="4" t="n"/>
      <c r="F173" s="4" t="n"/>
      <c r="G173" s="17">
        <f>IFERROR((E173-F173)/E173,0)</f>
        <v/>
      </c>
      <c r="H173" s="3" t="n"/>
      <c r="I173" s="3" t="n"/>
    </row>
    <row r="174" ht="22" customHeight="1">
      <c r="B174" s="5" t="n"/>
      <c r="C174" s="5" t="n"/>
      <c r="D174" s="5" t="n"/>
      <c r="E174" s="6" t="n"/>
      <c r="F174" s="6" t="n"/>
      <c r="G174" s="18">
        <f>IFERROR((E174-F174)/E174,0)</f>
        <v/>
      </c>
      <c r="H174" s="5" t="n"/>
      <c r="I174" s="5" t="n"/>
    </row>
    <row r="175" ht="22" customHeight="1">
      <c r="B175" s="3" t="n"/>
      <c r="C175" s="3" t="n"/>
      <c r="D175" s="3" t="n"/>
      <c r="E175" s="4" t="n"/>
      <c r="F175" s="4" t="n"/>
      <c r="G175" s="17">
        <f>IFERROR((E175-F175)/E175,0)</f>
        <v/>
      </c>
      <c r="H175" s="3" t="n"/>
      <c r="I175" s="3" t="n"/>
    </row>
    <row r="176" ht="22" customHeight="1">
      <c r="B176" s="5" t="n"/>
      <c r="C176" s="5" t="n"/>
      <c r="D176" s="5" t="n"/>
      <c r="E176" s="6" t="n"/>
      <c r="F176" s="6" t="n"/>
      <c r="G176" s="18">
        <f>IFERROR((E176-F176)/E176,0)</f>
        <v/>
      </c>
      <c r="H176" s="5" t="n"/>
      <c r="I176" s="5" t="n"/>
    </row>
    <row r="177" ht="22" customHeight="1">
      <c r="B177" s="3" t="n"/>
      <c r="C177" s="3" t="n"/>
      <c r="D177" s="3" t="n"/>
      <c r="E177" s="4" t="n"/>
      <c r="F177" s="4" t="n"/>
      <c r="G177" s="17">
        <f>IFERROR((E177-F177)/E177,0)</f>
        <v/>
      </c>
      <c r="H177" s="3" t="n"/>
      <c r="I177" s="3" t="n"/>
    </row>
    <row r="178" ht="22" customHeight="1">
      <c r="B178" s="5" t="n"/>
      <c r="C178" s="5" t="n"/>
      <c r="D178" s="5" t="n"/>
      <c r="E178" s="6" t="n"/>
      <c r="F178" s="6" t="n"/>
      <c r="G178" s="18">
        <f>IFERROR((E178-F178)/E178,0)</f>
        <v/>
      </c>
      <c r="H178" s="5" t="n"/>
      <c r="I178" s="5" t="n"/>
    </row>
    <row r="179" ht="22" customHeight="1">
      <c r="B179" s="3" t="n"/>
      <c r="C179" s="3" t="n"/>
      <c r="D179" s="3" t="n"/>
      <c r="E179" s="4" t="n"/>
      <c r="F179" s="4" t="n"/>
      <c r="G179" s="17">
        <f>IFERROR((E179-F179)/E179,0)</f>
        <v/>
      </c>
      <c r="H179" s="3" t="n"/>
      <c r="I179" s="3" t="n"/>
    </row>
    <row r="180" ht="22" customHeight="1">
      <c r="B180" s="5" t="n"/>
      <c r="C180" s="5" t="n"/>
      <c r="D180" s="5" t="n"/>
      <c r="E180" s="6" t="n"/>
      <c r="F180" s="6" t="n"/>
      <c r="G180" s="18">
        <f>IFERROR((E180-F180)/E180,0)</f>
        <v/>
      </c>
      <c r="H180" s="5" t="n"/>
      <c r="I180" s="5" t="n"/>
    </row>
    <row r="181" ht="22" customHeight="1">
      <c r="B181" s="3" t="n"/>
      <c r="C181" s="3" t="n"/>
      <c r="D181" s="3" t="n"/>
      <c r="E181" s="4" t="n"/>
      <c r="F181" s="4" t="n"/>
      <c r="G181" s="17">
        <f>IFERROR((E181-F181)/E181,0)</f>
        <v/>
      </c>
      <c r="H181" s="3" t="n"/>
      <c r="I181" s="3" t="n"/>
    </row>
    <row r="182" ht="22" customHeight="1">
      <c r="B182" s="5" t="n"/>
      <c r="C182" s="5" t="n"/>
      <c r="D182" s="5" t="n"/>
      <c r="E182" s="6" t="n"/>
      <c r="F182" s="6" t="n"/>
      <c r="G182" s="18">
        <f>IFERROR((E182-F182)/E182,0)</f>
        <v/>
      </c>
      <c r="H182" s="5" t="n"/>
      <c r="I182" s="5" t="n"/>
    </row>
    <row r="183" ht="22" customHeight="1">
      <c r="B183" s="3" t="n"/>
      <c r="C183" s="3" t="n"/>
      <c r="D183" s="3" t="n"/>
      <c r="E183" s="4" t="n"/>
      <c r="F183" s="4" t="n"/>
      <c r="G183" s="17">
        <f>IFERROR((E183-F183)/E183,0)</f>
        <v/>
      </c>
      <c r="H183" s="3" t="n"/>
      <c r="I183" s="3" t="n"/>
    </row>
    <row r="184" ht="22" customHeight="1">
      <c r="B184" s="5" t="n"/>
      <c r="C184" s="5" t="n"/>
      <c r="D184" s="5" t="n"/>
      <c r="E184" s="6" t="n"/>
      <c r="F184" s="6" t="n"/>
      <c r="G184" s="18">
        <f>IFERROR((E184-F184)/E184,0)</f>
        <v/>
      </c>
      <c r="H184" s="5" t="n"/>
      <c r="I184" s="5" t="n"/>
    </row>
    <row r="185" ht="22" customHeight="1">
      <c r="B185" s="3" t="n"/>
      <c r="C185" s="3" t="n"/>
      <c r="D185" s="3" t="n"/>
      <c r="E185" s="4" t="n"/>
      <c r="F185" s="4" t="n"/>
      <c r="G185" s="17">
        <f>IFERROR((E185-F185)/E185,0)</f>
        <v/>
      </c>
      <c r="H185" s="3" t="n"/>
      <c r="I185" s="3" t="n"/>
    </row>
    <row r="186" ht="22" customHeight="1">
      <c r="B186" s="5" t="n"/>
      <c r="C186" s="5" t="n"/>
      <c r="D186" s="5" t="n"/>
      <c r="E186" s="6" t="n"/>
      <c r="F186" s="6" t="n"/>
      <c r="G186" s="18">
        <f>IFERROR((E186-F186)/E186,0)</f>
        <v/>
      </c>
      <c r="H186" s="5" t="n"/>
      <c r="I186" s="5" t="n"/>
    </row>
    <row r="187" ht="22" customHeight="1">
      <c r="B187" s="3" t="n"/>
      <c r="C187" s="3" t="n"/>
      <c r="D187" s="3" t="n"/>
      <c r="E187" s="4" t="n"/>
      <c r="F187" s="4" t="n"/>
      <c r="G187" s="17">
        <f>IFERROR((E187-F187)/E187,0)</f>
        <v/>
      </c>
      <c r="H187" s="3" t="n"/>
      <c r="I187" s="3" t="n"/>
    </row>
    <row r="188" ht="22" customHeight="1">
      <c r="B188" s="5" t="n"/>
      <c r="C188" s="5" t="n"/>
      <c r="D188" s="5" t="n"/>
      <c r="E188" s="6" t="n"/>
      <c r="F188" s="6" t="n"/>
      <c r="G188" s="18">
        <f>IFERROR((E188-F188)/E188,0)</f>
        <v/>
      </c>
      <c r="H188" s="5" t="n"/>
      <c r="I188" s="5" t="n"/>
    </row>
    <row r="189" ht="22" customHeight="1">
      <c r="B189" s="3" t="n"/>
      <c r="C189" s="3" t="n"/>
      <c r="D189" s="3" t="n"/>
      <c r="E189" s="4" t="n"/>
      <c r="F189" s="4" t="n"/>
      <c r="G189" s="17">
        <f>IFERROR((E189-F189)/E189,0)</f>
        <v/>
      </c>
      <c r="H189" s="3" t="n"/>
      <c r="I189" s="3" t="n"/>
    </row>
    <row r="190" ht="22" customHeight="1">
      <c r="B190" s="5" t="n"/>
      <c r="C190" s="5" t="n"/>
      <c r="D190" s="5" t="n"/>
      <c r="E190" s="6" t="n"/>
      <c r="F190" s="6" t="n"/>
      <c r="G190" s="18">
        <f>IFERROR((E190-F190)/E190,0)</f>
        <v/>
      </c>
      <c r="H190" s="5" t="n"/>
      <c r="I190" s="5" t="n"/>
    </row>
    <row r="191" ht="22" customHeight="1">
      <c r="B191" s="3" t="n"/>
      <c r="C191" s="3" t="n"/>
      <c r="D191" s="3" t="n"/>
      <c r="E191" s="4" t="n"/>
      <c r="F191" s="4" t="n"/>
      <c r="G191" s="17">
        <f>IFERROR((E191-F191)/E191,0)</f>
        <v/>
      </c>
      <c r="H191" s="3" t="n"/>
      <c r="I191" s="3" t="n"/>
    </row>
    <row r="192" ht="22" customHeight="1">
      <c r="B192" s="5" t="n"/>
      <c r="C192" s="5" t="n"/>
      <c r="D192" s="5" t="n"/>
      <c r="E192" s="6" t="n"/>
      <c r="F192" s="6" t="n"/>
      <c r="G192" s="18">
        <f>IFERROR((E192-F192)/E192,0)</f>
        <v/>
      </c>
      <c r="H192" s="5" t="n"/>
      <c r="I192" s="5" t="n"/>
    </row>
    <row r="193" ht="22" customHeight="1">
      <c r="B193" s="3" t="n"/>
      <c r="C193" s="3" t="n"/>
      <c r="D193" s="3" t="n"/>
      <c r="E193" s="4" t="n"/>
      <c r="F193" s="4" t="n"/>
      <c r="G193" s="17">
        <f>IFERROR((E193-F193)/E193,0)</f>
        <v/>
      </c>
      <c r="H193" s="3" t="n"/>
      <c r="I193" s="3" t="n"/>
    </row>
    <row r="194" ht="22" customHeight="1">
      <c r="B194" s="5" t="n"/>
      <c r="C194" s="5" t="n"/>
      <c r="D194" s="5" t="n"/>
      <c r="E194" s="6" t="n"/>
      <c r="F194" s="6" t="n"/>
      <c r="G194" s="18">
        <f>IFERROR((E194-F194)/E194,0)</f>
        <v/>
      </c>
      <c r="H194" s="5" t="n"/>
      <c r="I194" s="5" t="n"/>
    </row>
    <row r="195" ht="22" customHeight="1">
      <c r="B195" s="3" t="n"/>
      <c r="C195" s="3" t="n"/>
      <c r="D195" s="3" t="n"/>
      <c r="E195" s="4" t="n"/>
      <c r="F195" s="4" t="n"/>
      <c r="G195" s="17">
        <f>IFERROR((E195-F195)/E195,0)</f>
        <v/>
      </c>
      <c r="H195" s="3" t="n"/>
      <c r="I195" s="3" t="n"/>
    </row>
    <row r="196" ht="22" customHeight="1">
      <c r="B196" s="5" t="n"/>
      <c r="C196" s="5" t="n"/>
      <c r="D196" s="5" t="n"/>
      <c r="E196" s="6" t="n"/>
      <c r="F196" s="6" t="n"/>
      <c r="G196" s="18">
        <f>IFERROR((E196-F196)/E196,0)</f>
        <v/>
      </c>
      <c r="H196" s="5" t="n"/>
      <c r="I196" s="5" t="n"/>
    </row>
    <row r="197" ht="22" customHeight="1">
      <c r="B197" s="3" t="n"/>
      <c r="C197" s="3" t="n"/>
      <c r="D197" s="3" t="n"/>
      <c r="E197" s="4" t="n"/>
      <c r="F197" s="4" t="n"/>
      <c r="G197" s="17">
        <f>IFERROR((E197-F197)/E197,0)</f>
        <v/>
      </c>
      <c r="H197" s="3" t="n"/>
      <c r="I197" s="3" t="n"/>
    </row>
    <row r="198" ht="22" customHeight="1">
      <c r="B198" s="5" t="n"/>
      <c r="C198" s="5" t="n"/>
      <c r="D198" s="5" t="n"/>
      <c r="E198" s="6" t="n"/>
      <c r="F198" s="6" t="n"/>
      <c r="G198" s="18">
        <f>IFERROR((E198-F198)/E198,0)</f>
        <v/>
      </c>
      <c r="H198" s="5" t="n"/>
      <c r="I198" s="5" t="n"/>
    </row>
    <row r="199" ht="22" customHeight="1">
      <c r="B199" s="3" t="n"/>
      <c r="C199" s="3" t="n"/>
      <c r="D199" s="3" t="n"/>
      <c r="E199" s="4" t="n"/>
      <c r="F199" s="4" t="n"/>
      <c r="G199" s="17">
        <f>IFERROR((E199-F199)/E199,0)</f>
        <v/>
      </c>
      <c r="H199" s="3" t="n"/>
      <c r="I199" s="3" t="n"/>
    </row>
    <row r="200" ht="22" customHeight="1">
      <c r="B200" s="5" t="n"/>
      <c r="C200" s="5" t="n"/>
      <c r="D200" s="5" t="n"/>
      <c r="E200" s="6" t="n"/>
      <c r="F200" s="6" t="n"/>
      <c r="G200" s="18">
        <f>IFERROR((E200-F200)/E200,0)</f>
        <v/>
      </c>
      <c r="H200" s="5" t="n"/>
      <c r="I200" s="5" t="n"/>
    </row>
    <row r="201" ht="22" customHeight="1">
      <c r="B201" s="3" t="n"/>
      <c r="C201" s="3" t="n"/>
      <c r="D201" s="3" t="n"/>
      <c r="E201" s="4" t="n"/>
      <c r="F201" s="4" t="n"/>
      <c r="G201" s="17">
        <f>IFERROR((E201-F201)/E201,0)</f>
        <v/>
      </c>
      <c r="H201" s="3" t="n"/>
      <c r="I201" s="3" t="n"/>
    </row>
    <row r="202" ht="22" customHeight="1">
      <c r="B202" s="5" t="n"/>
      <c r="C202" s="5" t="n"/>
      <c r="D202" s="5" t="n"/>
      <c r="E202" s="6" t="n"/>
      <c r="F202" s="6" t="n"/>
      <c r="G202" s="18">
        <f>IFERROR((E202-F202)/E202,0)</f>
        <v/>
      </c>
      <c r="H202" s="5" t="n"/>
      <c r="I202" s="5" t="n"/>
    </row>
    <row r="203" ht="22" customHeight="1">
      <c r="B203" s="3" t="n"/>
      <c r="C203" s="3" t="n"/>
      <c r="D203" s="3" t="n"/>
      <c r="E203" s="4" t="n"/>
      <c r="F203" s="4" t="n"/>
      <c r="G203" s="17">
        <f>IFERROR((E203-F203)/E203,0)</f>
        <v/>
      </c>
      <c r="H203" s="3" t="n"/>
      <c r="I203" s="3" t="n"/>
    </row>
    <row r="204" ht="22" customHeight="1">
      <c r="B204" s="5" t="n"/>
      <c r="C204" s="5" t="n"/>
      <c r="D204" s="5" t="n"/>
      <c r="E204" s="6" t="n"/>
      <c r="F204" s="6" t="n"/>
      <c r="G204" s="18">
        <f>IFERROR((E204-F204)/E204,0)</f>
        <v/>
      </c>
      <c r="H204" s="5" t="n"/>
      <c r="I204" s="5" t="n"/>
    </row>
    <row r="205" ht="26" customHeight="1">
      <c r="B205" s="7" t="inlineStr">
        <is>
          <t>SUMMARY</t>
        </is>
      </c>
      <c r="C205" s="7" t="n"/>
      <c r="D205" s="7" t="n"/>
      <c r="E205" s="8">
        <f>IFERROR(SUM(E5:E204),0)</f>
        <v/>
      </c>
      <c r="F205" s="8">
        <f>IFERROR(SUM(F5:F204),0)</f>
        <v/>
      </c>
      <c r="G205" s="19">
        <f>IFERROR((E205-F205)/E205,0)</f>
        <v/>
      </c>
      <c r="H205" s="7" t="n"/>
      <c r="I205" s="7" t="n"/>
    </row>
  </sheetData>
  <mergeCells count="1">
    <mergeCell ref="B2:I2"/>
  </mergeCells>
  <dataValidations count="1">
    <dataValidation sqref="D5:D204" showDropDown="0" showInputMessage="0" showErrorMessage="0" allowBlank="1" type="list">
      <formula1>"Electronics,Clothing,Food &amp; Beverage,Stationery,Health &amp; Beauty,Home &amp; Garden,Sports,Toys,Other"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2026-05-23T21:41:01Z</dcterms:created>
  <dcterms:modified xmlns:dcterms="http://purl.org/dc/terms/" xmlns:xsi="http://www.w3.org/2001/XMLSchema-instance" xsi:type="dcterms:W3CDTF">2026-05-23T21:41:01Z</dcterms:modified>
</cp:coreProperties>
</file>