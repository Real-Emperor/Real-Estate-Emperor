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Product List" sheetId="6" state="visible" r:id="rId6"/>
  </sheets>
  <definedNames>
    <definedName name="_xlnm.Print_Titles" localSheetId="0">'Sales Entry'!$1:$4</definedName>
    <definedName name="_xlnm.Print_Area" localSheetId="0">'Sales Entry'!$B$1:$K$61</definedName>
    <definedName name="_xlnm.Print_Titles" localSheetId="1">'Daily Summary'!$1:$4</definedName>
    <definedName name="_xlnm.Print_Area" localSheetId="1">'Daily Summary'!$B$1:$H$36</definedName>
    <definedName name="_xlnm.Print_Titles" localSheetId="2">'Weekly Summary'!$1:$4</definedName>
    <definedName name="_xlnm.Print_Area" localSheetId="2">'Weekly Summary'!$B$1:$G$10</definedName>
    <definedName name="_xlnm.Print_Titles" localSheetId="3">'Monthly Summary'!$1:$4</definedName>
    <definedName name="_xlnm.Print_Area" localSheetId="3">'Monthly Summary'!$B$1:$G$6</definedName>
    <definedName name="_xlnm.Print_Area" localSheetId="4">'Invoice'!$B$1:$H$24</definedName>
    <definedName name="_xlnm.Print_Titles" localSheetId="5">'Product List'!$1:$4</definedName>
    <definedName name="_xlnm.Print_Area" localSheetId="5">'Product List'!$B$1:$F$29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-MMM-YYYY"/>
  </numFmts>
  <fonts count="7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FFFFFF"/>
      <sz val="11"/>
    </font>
    <font>
      <name val="Noto Sans CJK SC"/>
      <color rgb="003E2F1F"/>
      <sz val="11"/>
    </font>
    <font>
      <name val="Noto Sans CJK SC"/>
      <color rgb="00B85C1E"/>
      <sz val="11"/>
    </font>
    <font>
      <name val="Noto Sans CJK SC"/>
      <color rgb="009C8B78"/>
      <sz val="9"/>
    </font>
    <font>
      <name val="Calibri"/>
      <b val="1"/>
      <color rgb="001B2A4A"/>
      <sz val="20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0" fontId="4" fillId="5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002E7D32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January 2025 — Daily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Summary'!C4</f>
            </strRef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'Daily Summary'!$B$5:$B$35</f>
            </numRef>
          </cat>
          <val>
            <numRef>
              <f>'Daily Summary'!$C$5:$C$35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K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22" customWidth="1" min="10" max="10"/>
    <col width="32" customWidth="1" min="11" max="11"/>
  </cols>
  <sheetData>
    <row r="1" ht="15" customHeight="1"/>
    <row r="2" ht="32" customHeight="1">
      <c r="B2" s="1" t="inlineStr">
        <is>
          <t>Sales Entry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Invoice #</t>
        </is>
      </c>
      <c r="D4" s="2" t="inlineStr">
        <is>
          <t>Item / Service</t>
        </is>
      </c>
      <c r="E4" s="2" t="inlineStr">
        <is>
          <t>Category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Total</t>
        </is>
      </c>
      <c r="I4" s="2" t="inlineStr">
        <is>
          <t>Payment Method</t>
        </is>
      </c>
      <c r="J4" s="2" t="inlineStr">
        <is>
          <t>Customer Name</t>
        </is>
      </c>
      <c r="K4" s="2" t="inlineStr">
        <is>
          <t>Notes</t>
        </is>
      </c>
    </row>
    <row r="5" ht="22" customHeight="1">
      <c r="B5" s="3" t="n">
        <v>45659</v>
      </c>
      <c r="C5" s="4" t="inlineStr">
        <is>
          <t>INV-0026</t>
        </is>
      </c>
      <c r="D5" s="4" t="inlineStr">
        <is>
          <t>Smoothie</t>
        </is>
      </c>
      <c r="E5" s="4" t="inlineStr">
        <is>
          <t>Beverages</t>
        </is>
      </c>
      <c r="F5" s="5" t="n">
        <v>1</v>
      </c>
      <c r="G5" s="6" t="n">
        <v>22</v>
      </c>
      <c r="H5" s="6">
        <f>IFERROR(F5*G5,"")</f>
        <v/>
      </c>
      <c r="I5" s="4" t="inlineStr">
        <is>
          <t>Cash</t>
        </is>
      </c>
      <c r="J5" s="4" t="inlineStr">
        <is>
          <t>Noor Abdullah</t>
        </is>
      </c>
      <c r="K5" s="4" t="inlineStr">
        <is>
          <t>Regular customer</t>
        </is>
      </c>
    </row>
    <row r="6" ht="22" customHeight="1">
      <c r="B6" s="7" t="n">
        <v>45660</v>
      </c>
      <c r="C6" s="8" t="inlineStr">
        <is>
          <t>INV-0009</t>
        </is>
      </c>
      <c r="D6" s="8" t="inlineStr">
        <is>
          <t>Salad</t>
        </is>
      </c>
      <c r="E6" s="8" t="inlineStr">
        <is>
          <t>Appetizers</t>
        </is>
      </c>
      <c r="F6" s="9" t="n">
        <v>1</v>
      </c>
      <c r="G6" s="10" t="n">
        <v>30</v>
      </c>
      <c r="H6" s="10">
        <f>IFERROR(F6*G6,"")</f>
        <v/>
      </c>
      <c r="I6" s="8" t="inlineStr">
        <is>
          <t>Online</t>
        </is>
      </c>
      <c r="J6" s="8" t="inlineStr">
        <is>
          <t>Khalid Ibrahim</t>
        </is>
      </c>
      <c r="K6" s="8" t="inlineStr">
        <is>
          <t>Online order</t>
        </is>
      </c>
    </row>
    <row r="7" ht="22" customHeight="1">
      <c r="B7" s="3" t="n">
        <v>45660</v>
      </c>
      <c r="C7" s="4" t="inlineStr">
        <is>
          <t>INV-0038</t>
        </is>
      </c>
      <c r="D7" s="4" t="inlineStr">
        <is>
          <t>Cheesecake</t>
        </is>
      </c>
      <c r="E7" s="4" t="inlineStr">
        <is>
          <t>Desserts</t>
        </is>
      </c>
      <c r="F7" s="5" t="n">
        <v>3</v>
      </c>
      <c r="G7" s="6" t="n">
        <v>28</v>
      </c>
      <c r="H7" s="6">
        <f>IFERROR(F7*G7,"")</f>
        <v/>
      </c>
      <c r="I7" s="4" t="inlineStr">
        <is>
          <t>Cash</t>
        </is>
      </c>
      <c r="J7" s="4" t="inlineStr">
        <is>
          <t>Aisha Al Sayed</t>
        </is>
      </c>
      <c r="K7" s="4" t="inlineStr">
        <is>
          <t>Bulk order</t>
        </is>
      </c>
    </row>
    <row r="8" ht="22" customHeight="1">
      <c r="B8" s="7" t="n">
        <v>45660</v>
      </c>
      <c r="C8" s="8" t="inlineStr">
        <is>
          <t>INV-0043</t>
        </is>
      </c>
      <c r="D8" s="8" t="inlineStr">
        <is>
          <t>Shawarma</t>
        </is>
      </c>
      <c r="E8" s="8" t="inlineStr">
        <is>
          <t>Main Course</t>
        </is>
      </c>
      <c r="F8" s="9" t="n">
        <v>1</v>
      </c>
      <c r="G8" s="10" t="n">
        <v>30</v>
      </c>
      <c r="H8" s="10">
        <f>IFERROR(F8*G8,"")</f>
        <v/>
      </c>
      <c r="I8" s="8" t="inlineStr">
        <is>
          <t>Card</t>
        </is>
      </c>
      <c r="J8" s="8" t="inlineStr">
        <is>
          <t>Khalid Ibrahim</t>
        </is>
      </c>
      <c r="K8" s="8" t="inlineStr">
        <is>
          <t>Regular customer</t>
        </is>
      </c>
    </row>
    <row r="9" ht="22" customHeight="1">
      <c r="B9" s="3" t="n">
        <v>45660</v>
      </c>
      <c r="C9" s="4" t="inlineStr">
        <is>
          <t>INV-0045</t>
        </is>
      </c>
      <c r="D9" s="4" t="inlineStr">
        <is>
          <t>Tea</t>
        </is>
      </c>
      <c r="E9" s="4" t="inlineStr">
        <is>
          <t>Beverages</t>
        </is>
      </c>
      <c r="F9" s="5" t="n">
        <v>4</v>
      </c>
      <c r="G9" s="6" t="n">
        <v>10</v>
      </c>
      <c r="H9" s="6">
        <f>IFERROR(F9*G9,"")</f>
        <v/>
      </c>
      <c r="I9" s="4" t="inlineStr">
        <is>
          <t>Cash</t>
        </is>
      </c>
      <c r="J9" s="4" t="inlineStr">
        <is>
          <t>Sarah Johnson</t>
        </is>
      </c>
      <c r="K9" s="4" t="inlineStr">
        <is>
          <t>Bulk order</t>
        </is>
      </c>
    </row>
    <row r="10" ht="22" customHeight="1">
      <c r="B10" s="7" t="n">
        <v>45661</v>
      </c>
      <c r="C10" s="8" t="inlineStr">
        <is>
          <t>INV-0049</t>
        </is>
      </c>
      <c r="D10" s="8" t="inlineStr">
        <is>
          <t>Mojito Mocktail</t>
        </is>
      </c>
      <c r="E10" s="8" t="inlineStr">
        <is>
          <t>Beverages</t>
        </is>
      </c>
      <c r="F10" s="9" t="n">
        <v>2</v>
      </c>
      <c r="G10" s="10" t="n">
        <v>24</v>
      </c>
      <c r="H10" s="10">
        <f>IFERROR(F10*G10,"")</f>
        <v/>
      </c>
      <c r="I10" s="8" t="inlineStr">
        <is>
          <t>Online</t>
        </is>
      </c>
      <c r="J10" s="8" t="inlineStr">
        <is>
          <t>Fatima Hassan</t>
        </is>
      </c>
      <c r="K10" s="8" t="inlineStr">
        <is>
          <t>Online order</t>
        </is>
      </c>
    </row>
    <row r="11" ht="22" customHeight="1">
      <c r="B11" s="3" t="n">
        <v>45662</v>
      </c>
      <c r="C11" s="4" t="inlineStr">
        <is>
          <t>INV-0008</t>
        </is>
      </c>
      <c r="D11" s="4" t="inlineStr">
        <is>
          <t>Sandwich</t>
        </is>
      </c>
      <c r="E11" s="4" t="inlineStr">
        <is>
          <t>Main Course</t>
        </is>
      </c>
      <c r="F11" s="5" t="n">
        <v>4</v>
      </c>
      <c r="G11" s="6" t="n">
        <v>25</v>
      </c>
      <c r="H11" s="6">
        <f>IFERROR(F11*G11,"")</f>
        <v/>
      </c>
      <c r="I11" s="4" t="inlineStr">
        <is>
          <t>Online</t>
        </is>
      </c>
      <c r="J11" s="4" t="inlineStr">
        <is>
          <t>Walk-in</t>
        </is>
      </c>
      <c r="K11" s="4" t="inlineStr">
        <is>
          <t>Bulk order</t>
        </is>
      </c>
    </row>
    <row r="12" ht="22" customHeight="1">
      <c r="B12" s="7" t="n">
        <v>45662</v>
      </c>
      <c r="C12" s="8" t="inlineStr">
        <is>
          <t>INV-0047</t>
        </is>
      </c>
      <c r="D12" s="8" t="inlineStr">
        <is>
          <t>Manakish</t>
        </is>
      </c>
      <c r="E12" s="8" t="inlineStr">
        <is>
          <t>Appetizers</t>
        </is>
      </c>
      <c r="F12" s="9" t="n">
        <v>4</v>
      </c>
      <c r="G12" s="10" t="n">
        <v>16</v>
      </c>
      <c r="H12" s="10">
        <f>IFERROR(F12*G12,"")</f>
        <v/>
      </c>
      <c r="I12" s="8" t="inlineStr">
        <is>
          <t>Cheque</t>
        </is>
      </c>
      <c r="J12" s="8" t="inlineStr">
        <is>
          <t>Walk-in</t>
        </is>
      </c>
      <c r="K12" s="8" t="inlineStr">
        <is>
          <t>Bulk order</t>
        </is>
      </c>
    </row>
    <row r="13" ht="22" customHeight="1">
      <c r="B13" s="3" t="n">
        <v>45663</v>
      </c>
      <c r="C13" s="4" t="inlineStr">
        <is>
          <t>INV-0053</t>
        </is>
      </c>
      <c r="D13" s="4" t="inlineStr">
        <is>
          <t>Pasta</t>
        </is>
      </c>
      <c r="E13" s="4" t="inlineStr">
        <is>
          <t>Main Course</t>
        </is>
      </c>
      <c r="F13" s="5" t="n">
        <v>2</v>
      </c>
      <c r="G13" s="6" t="n">
        <v>45</v>
      </c>
      <c r="H13" s="6">
        <f>IFERROR(F13*G13,"")</f>
        <v/>
      </c>
      <c r="I13" s="4" t="inlineStr">
        <is>
          <t>Cash</t>
        </is>
      </c>
      <c r="J13" s="4" t="inlineStr">
        <is>
          <t>Mohammed Al Rashid</t>
        </is>
      </c>
      <c r="K13" s="4" t="inlineStr">
        <is>
          <t>Regular customer</t>
        </is>
      </c>
    </row>
    <row r="14" ht="22" customHeight="1">
      <c r="B14" s="7" t="n">
        <v>45664</v>
      </c>
      <c r="C14" s="8" t="inlineStr">
        <is>
          <t>INV-0012</t>
        </is>
      </c>
      <c r="D14" s="8" t="inlineStr">
        <is>
          <t>Mandi</t>
        </is>
      </c>
      <c r="E14" s="8" t="inlineStr">
        <is>
          <t>Main Course</t>
        </is>
      </c>
      <c r="F14" s="9" t="n">
        <v>1</v>
      </c>
      <c r="G14" s="10" t="n">
        <v>50</v>
      </c>
      <c r="H14" s="10">
        <f>IFERROR(F14*G14,"")</f>
        <v/>
      </c>
      <c r="I14" s="8" t="inlineStr">
        <is>
          <t>Card</t>
        </is>
      </c>
      <c r="J14" s="8" t="inlineStr">
        <is>
          <t>Noor Abdullah</t>
        </is>
      </c>
      <c r="K14" s="8" t="inlineStr">
        <is>
          <t>Regular customer</t>
        </is>
      </c>
    </row>
    <row r="15" ht="22" customHeight="1">
      <c r="B15" s="3" t="n">
        <v>45664</v>
      </c>
      <c r="C15" s="4" t="inlineStr">
        <is>
          <t>INV-0052</t>
        </is>
      </c>
      <c r="D15" s="4" t="inlineStr">
        <is>
          <t>Sandwich</t>
        </is>
      </c>
      <c r="E15" s="4" t="inlineStr">
        <is>
          <t>Main Course</t>
        </is>
      </c>
      <c r="F15" s="5" t="n">
        <v>2</v>
      </c>
      <c r="G15" s="6" t="n">
        <v>25</v>
      </c>
      <c r="H15" s="6">
        <f>IFERROR(F15*G15,"")</f>
        <v/>
      </c>
      <c r="I15" s="4" t="inlineStr">
        <is>
          <t>Cash</t>
        </is>
      </c>
      <c r="J15" s="4" t="inlineStr">
        <is>
          <t>Fatima Hassan</t>
        </is>
      </c>
      <c r="K15" s="4" t="inlineStr">
        <is>
          <t>Regular customer</t>
        </is>
      </c>
    </row>
    <row r="16" ht="22" customHeight="1">
      <c r="B16" s="7" t="n">
        <v>45665</v>
      </c>
      <c r="C16" s="8" t="inlineStr">
        <is>
          <t>INV-0002</t>
        </is>
      </c>
      <c r="D16" s="8" t="inlineStr">
        <is>
          <t>Water</t>
        </is>
      </c>
      <c r="E16" s="8" t="inlineStr">
        <is>
          <t>Beverages</t>
        </is>
      </c>
      <c r="F16" s="9" t="n">
        <v>3</v>
      </c>
      <c r="G16" s="10" t="n">
        <v>5</v>
      </c>
      <c r="H16" s="10">
        <f>IFERROR(F16*G16,"")</f>
        <v/>
      </c>
      <c r="I16" s="8" t="inlineStr">
        <is>
          <t>Cash</t>
        </is>
      </c>
      <c r="J16" s="8" t="inlineStr">
        <is>
          <t>Khalid Ibrahim</t>
        </is>
      </c>
      <c r="K16" s="8" t="inlineStr">
        <is>
          <t>Bulk order</t>
        </is>
      </c>
    </row>
    <row r="17" ht="22" customHeight="1">
      <c r="B17" s="3" t="n">
        <v>45665</v>
      </c>
      <c r="C17" s="4" t="inlineStr">
        <is>
          <t>INV-0025</t>
        </is>
      </c>
      <c r="D17" s="4" t="inlineStr">
        <is>
          <t>Water</t>
        </is>
      </c>
      <c r="E17" s="4" t="inlineStr">
        <is>
          <t>Beverages</t>
        </is>
      </c>
      <c r="F17" s="5" t="n">
        <v>2</v>
      </c>
      <c r="G17" s="6" t="n">
        <v>5</v>
      </c>
      <c r="H17" s="6">
        <f>IFERROR(F17*G17,"")</f>
        <v/>
      </c>
      <c r="I17" s="4" t="inlineStr">
        <is>
          <t>Cash</t>
        </is>
      </c>
      <c r="J17" s="4" t="inlineStr">
        <is>
          <t>Noor Abdullah</t>
        </is>
      </c>
      <c r="K17" s="4" t="inlineStr">
        <is>
          <t>Regular customer</t>
        </is>
      </c>
    </row>
    <row r="18" ht="22" customHeight="1">
      <c r="B18" s="7" t="n">
        <v>45665</v>
      </c>
      <c r="C18" s="8" t="inlineStr">
        <is>
          <t>INV-0044</t>
        </is>
      </c>
      <c r="D18" s="8" t="inlineStr">
        <is>
          <t>Coffee</t>
        </is>
      </c>
      <c r="E18" s="8" t="inlineStr">
        <is>
          <t>Beverages</t>
        </is>
      </c>
      <c r="F18" s="9" t="n">
        <v>1</v>
      </c>
      <c r="G18" s="10" t="n">
        <v>15</v>
      </c>
      <c r="H18" s="10">
        <f>IFERROR(F18*G18,"")</f>
        <v/>
      </c>
      <c r="I18" s="8" t="inlineStr">
        <is>
          <t>Cash</t>
        </is>
      </c>
      <c r="J18" s="8" t="inlineStr">
        <is>
          <t>Walk-in</t>
        </is>
      </c>
      <c r="K18" s="8" t="inlineStr"/>
    </row>
    <row r="19" ht="22" customHeight="1">
      <c r="B19" s="3" t="n">
        <v>45665</v>
      </c>
      <c r="C19" s="4" t="inlineStr">
        <is>
          <t>INV-0046</t>
        </is>
      </c>
      <c r="D19" s="4" t="inlineStr">
        <is>
          <t>Pasta</t>
        </is>
      </c>
      <c r="E19" s="4" t="inlineStr">
        <is>
          <t>Main Course</t>
        </is>
      </c>
      <c r="F19" s="5" t="n">
        <v>2</v>
      </c>
      <c r="G19" s="6" t="n">
        <v>45</v>
      </c>
      <c r="H19" s="6">
        <f>IFERROR(F19*G19,"")</f>
        <v/>
      </c>
      <c r="I19" s="4" t="inlineStr">
        <is>
          <t>Card</t>
        </is>
      </c>
      <c r="J19" s="4" t="inlineStr">
        <is>
          <t>Sarah Johnson</t>
        </is>
      </c>
      <c r="K19" s="4" t="inlineStr">
        <is>
          <t>Regular customer</t>
        </is>
      </c>
    </row>
    <row r="20" ht="22" customHeight="1">
      <c r="B20" s="7" t="n">
        <v>45666</v>
      </c>
      <c r="C20" s="8" t="inlineStr">
        <is>
          <t>INV-0010</t>
        </is>
      </c>
      <c r="D20" s="8" t="inlineStr">
        <is>
          <t>Tea</t>
        </is>
      </c>
      <c r="E20" s="8" t="inlineStr">
        <is>
          <t>Beverages</t>
        </is>
      </c>
      <c r="F20" s="9" t="n">
        <v>3</v>
      </c>
      <c r="G20" s="10" t="n">
        <v>10</v>
      </c>
      <c r="H20" s="10">
        <f>IFERROR(F20*G20,"")</f>
        <v/>
      </c>
      <c r="I20" s="8" t="inlineStr">
        <is>
          <t>Cash</t>
        </is>
      </c>
      <c r="J20" s="8" t="inlineStr">
        <is>
          <t>Layla Khalil</t>
        </is>
      </c>
      <c r="K20" s="8" t="inlineStr">
        <is>
          <t>Bulk order</t>
        </is>
      </c>
    </row>
    <row r="21" ht="22" customHeight="1">
      <c r="B21" s="3" t="n">
        <v>45666</v>
      </c>
      <c r="C21" s="4" t="inlineStr">
        <is>
          <t>INV-0014</t>
        </is>
      </c>
      <c r="D21" s="4" t="inlineStr">
        <is>
          <t>Fries</t>
        </is>
      </c>
      <c r="E21" s="4" t="inlineStr">
        <is>
          <t>Appetizers</t>
        </is>
      </c>
      <c r="F21" s="5" t="n">
        <v>2</v>
      </c>
      <c r="G21" s="6" t="n">
        <v>15</v>
      </c>
      <c r="H21" s="6">
        <f>IFERROR(F21*G21,"")</f>
        <v/>
      </c>
      <c r="I21" s="4" t="inlineStr">
        <is>
          <t>Online</t>
        </is>
      </c>
      <c r="J21" s="4" t="inlineStr">
        <is>
          <t>Walk-in</t>
        </is>
      </c>
      <c r="K21" s="4" t="inlineStr">
        <is>
          <t>Online order</t>
        </is>
      </c>
    </row>
    <row r="22" ht="22" customHeight="1">
      <c r="B22" s="7" t="n">
        <v>45666</v>
      </c>
      <c r="C22" s="8" t="inlineStr">
        <is>
          <t>INV-0023</t>
        </is>
      </c>
      <c r="D22" s="8" t="inlineStr">
        <is>
          <t>Water</t>
        </is>
      </c>
      <c r="E22" s="8" t="inlineStr">
        <is>
          <t>Beverages</t>
        </is>
      </c>
      <c r="F22" s="9" t="n">
        <v>1</v>
      </c>
      <c r="G22" s="10" t="n">
        <v>5</v>
      </c>
      <c r="H22" s="10">
        <f>IFERROR(F22*G22,"")</f>
        <v/>
      </c>
      <c r="I22" s="8" t="inlineStr">
        <is>
          <t>Card</t>
        </is>
      </c>
      <c r="J22" s="8" t="inlineStr">
        <is>
          <t>Omar Farooq</t>
        </is>
      </c>
      <c r="K22" s="8" t="inlineStr">
        <is>
          <t>Regular customer</t>
        </is>
      </c>
    </row>
    <row r="23" ht="22" customHeight="1">
      <c r="B23" s="3" t="n">
        <v>45667</v>
      </c>
      <c r="C23" s="4" t="inlineStr">
        <is>
          <t>INV-0013</t>
        </is>
      </c>
      <c r="D23" s="4" t="inlineStr">
        <is>
          <t>Fresh Juice</t>
        </is>
      </c>
      <c r="E23" s="4" t="inlineStr">
        <is>
          <t>Beverages</t>
        </is>
      </c>
      <c r="F23" s="5" t="n">
        <v>3</v>
      </c>
      <c r="G23" s="6" t="n">
        <v>18</v>
      </c>
      <c r="H23" s="6">
        <f>IFERROR(F23*G23,"")</f>
        <v/>
      </c>
      <c r="I23" s="4" t="inlineStr">
        <is>
          <t>Cash</t>
        </is>
      </c>
      <c r="J23" s="4" t="inlineStr">
        <is>
          <t>Fatima Hassan</t>
        </is>
      </c>
      <c r="K23" s="4" t="inlineStr">
        <is>
          <t>Bulk order</t>
        </is>
      </c>
    </row>
    <row r="24" ht="22" customHeight="1">
      <c r="B24" s="7" t="n">
        <v>45667</v>
      </c>
      <c r="C24" s="8" t="inlineStr">
        <is>
          <t>INV-0041</t>
        </is>
      </c>
      <c r="D24" s="8" t="inlineStr">
        <is>
          <t>Salad</t>
        </is>
      </c>
      <c r="E24" s="8" t="inlineStr">
        <is>
          <t>Appetizers</t>
        </is>
      </c>
      <c r="F24" s="9" t="n">
        <v>4</v>
      </c>
      <c r="G24" s="10" t="n">
        <v>30</v>
      </c>
      <c r="H24" s="10">
        <f>IFERROR(F24*G24,"")</f>
        <v/>
      </c>
      <c r="I24" s="8" t="inlineStr">
        <is>
          <t>Online</t>
        </is>
      </c>
      <c r="J24" s="8" t="inlineStr">
        <is>
          <t>Mohammed Al Rashid</t>
        </is>
      </c>
      <c r="K24" s="8" t="inlineStr">
        <is>
          <t>Bulk order</t>
        </is>
      </c>
    </row>
    <row r="25" ht="22" customHeight="1">
      <c r="B25" s="3" t="n">
        <v>45668</v>
      </c>
      <c r="C25" s="4" t="inlineStr">
        <is>
          <t>INV-0019</t>
        </is>
      </c>
      <c r="D25" s="4" t="inlineStr">
        <is>
          <t>Tea</t>
        </is>
      </c>
      <c r="E25" s="4" t="inlineStr">
        <is>
          <t>Beverages</t>
        </is>
      </c>
      <c r="F25" s="5" t="n">
        <v>1</v>
      </c>
      <c r="G25" s="6" t="n">
        <v>10</v>
      </c>
      <c r="H25" s="6">
        <f>IFERROR(F25*G25,"")</f>
        <v/>
      </c>
      <c r="I25" s="4" t="inlineStr">
        <is>
          <t>Cash</t>
        </is>
      </c>
      <c r="J25" s="4" t="inlineStr">
        <is>
          <t>Noor Abdullah</t>
        </is>
      </c>
      <c r="K25" s="4" t="inlineStr">
        <is>
          <t>Regular customer</t>
        </is>
      </c>
    </row>
    <row r="26" ht="22" customHeight="1">
      <c r="B26" s="7" t="n">
        <v>45668</v>
      </c>
      <c r="C26" s="8" t="inlineStr">
        <is>
          <t>INV-0020</t>
        </is>
      </c>
      <c r="D26" s="8" t="inlineStr">
        <is>
          <t>Salad</t>
        </is>
      </c>
      <c r="E26" s="8" t="inlineStr">
        <is>
          <t>Appetizers</t>
        </is>
      </c>
      <c r="F26" s="9" t="n">
        <v>1</v>
      </c>
      <c r="G26" s="10" t="n">
        <v>30</v>
      </c>
      <c r="H26" s="10">
        <f>IFERROR(F26*G26,"")</f>
        <v/>
      </c>
      <c r="I26" s="8" t="inlineStr">
        <is>
          <t>Card</t>
        </is>
      </c>
      <c r="J26" s="8" t="inlineStr">
        <is>
          <t>Layla Khalil</t>
        </is>
      </c>
      <c r="K26" s="8" t="inlineStr">
        <is>
          <t>Regular customer</t>
        </is>
      </c>
    </row>
    <row r="27" ht="22" customHeight="1">
      <c r="B27" s="3" t="n">
        <v>45668</v>
      </c>
      <c r="C27" s="4" t="inlineStr">
        <is>
          <t>INV-0035</t>
        </is>
      </c>
      <c r="D27" s="4" t="inlineStr">
        <is>
          <t>Hummus</t>
        </is>
      </c>
      <c r="E27" s="4" t="inlineStr">
        <is>
          <t>Appetizers</t>
        </is>
      </c>
      <c r="F27" s="5" t="n">
        <v>1</v>
      </c>
      <c r="G27" s="6" t="n">
        <v>18</v>
      </c>
      <c r="H27" s="6">
        <f>IFERROR(F27*G27,"")</f>
        <v/>
      </c>
      <c r="I27" s="4" t="inlineStr">
        <is>
          <t>Online</t>
        </is>
      </c>
      <c r="J27" s="4" t="inlineStr">
        <is>
          <t>Layla Khalil</t>
        </is>
      </c>
      <c r="K27" s="4" t="inlineStr">
        <is>
          <t>Online order</t>
        </is>
      </c>
    </row>
    <row r="28" ht="22" customHeight="1">
      <c r="B28" s="7" t="n">
        <v>45669</v>
      </c>
      <c r="C28" s="8" t="inlineStr">
        <is>
          <t>INV-0015</t>
        </is>
      </c>
      <c r="D28" s="8" t="inlineStr">
        <is>
          <t>Biryani</t>
        </is>
      </c>
      <c r="E28" s="8" t="inlineStr">
        <is>
          <t>Main Course</t>
        </is>
      </c>
      <c r="F28" s="9" t="n">
        <v>1</v>
      </c>
      <c r="G28" s="10" t="n">
        <v>40</v>
      </c>
      <c r="H28" s="10">
        <f>IFERROR(F28*G28,"")</f>
        <v/>
      </c>
      <c r="I28" s="8" t="inlineStr">
        <is>
          <t>Card</t>
        </is>
      </c>
      <c r="J28" s="8" t="inlineStr">
        <is>
          <t>Omar Farooq</t>
        </is>
      </c>
      <c r="K28" s="8" t="inlineStr">
        <is>
          <t>Regular customer</t>
        </is>
      </c>
    </row>
    <row r="29" ht="22" customHeight="1">
      <c r="B29" s="3" t="n">
        <v>45669</v>
      </c>
      <c r="C29" s="4" t="inlineStr">
        <is>
          <t>INV-0034</t>
        </is>
      </c>
      <c r="D29" s="4" t="inlineStr">
        <is>
          <t>Soft Drink</t>
        </is>
      </c>
      <c r="E29" s="4" t="inlineStr">
        <is>
          <t>Beverages</t>
        </is>
      </c>
      <c r="F29" s="5" t="n">
        <v>2</v>
      </c>
      <c r="G29" s="6" t="n">
        <v>8</v>
      </c>
      <c r="H29" s="6">
        <f>IFERROR(F29*G29,"")</f>
        <v/>
      </c>
      <c r="I29" s="4" t="inlineStr">
        <is>
          <t>Cash</t>
        </is>
      </c>
      <c r="J29" s="4" t="inlineStr">
        <is>
          <t>Khalid Ibrahim</t>
        </is>
      </c>
      <c r="K29" s="4" t="inlineStr">
        <is>
          <t>Regular customer</t>
        </is>
      </c>
    </row>
    <row r="30" ht="22" customHeight="1">
      <c r="B30" s="7" t="n">
        <v>45670</v>
      </c>
      <c r="C30" s="8" t="inlineStr">
        <is>
          <t>INV-0011</t>
        </is>
      </c>
      <c r="D30" s="8" t="inlineStr">
        <is>
          <t>Fresh Juice</t>
        </is>
      </c>
      <c r="E30" s="8" t="inlineStr">
        <is>
          <t>Beverages</t>
        </is>
      </c>
      <c r="F30" s="9" t="n">
        <v>2</v>
      </c>
      <c r="G30" s="10" t="n">
        <v>18</v>
      </c>
      <c r="H30" s="10">
        <f>IFERROR(F30*G30,"")</f>
        <v/>
      </c>
      <c r="I30" s="8" t="inlineStr">
        <is>
          <t>Online</t>
        </is>
      </c>
      <c r="J30" s="8" t="inlineStr">
        <is>
          <t>Khalid Ibrahim</t>
        </is>
      </c>
      <c r="K30" s="8" t="inlineStr">
        <is>
          <t>Online order</t>
        </is>
      </c>
    </row>
    <row r="31" ht="22" customHeight="1">
      <c r="B31" s="3" t="n">
        <v>45670</v>
      </c>
      <c r="C31" s="4" t="inlineStr">
        <is>
          <t>INV-0051</t>
        </is>
      </c>
      <c r="D31" s="4" t="inlineStr">
        <is>
          <t>Manakish</t>
        </is>
      </c>
      <c r="E31" s="4" t="inlineStr">
        <is>
          <t>Appetizers</t>
        </is>
      </c>
      <c r="F31" s="5" t="n">
        <v>1</v>
      </c>
      <c r="G31" s="6" t="n">
        <v>16</v>
      </c>
      <c r="H31" s="6">
        <f>IFERROR(F31*G31,"")</f>
        <v/>
      </c>
      <c r="I31" s="4" t="inlineStr">
        <is>
          <t>Cash</t>
        </is>
      </c>
      <c r="J31" s="4" t="inlineStr">
        <is>
          <t>Walk-in</t>
        </is>
      </c>
      <c r="K31" s="4" t="inlineStr"/>
    </row>
    <row r="32" ht="22" customHeight="1">
      <c r="B32" s="7" t="n">
        <v>45671</v>
      </c>
      <c r="C32" s="8" t="inlineStr">
        <is>
          <t>INV-0003</t>
        </is>
      </c>
      <c r="D32" s="8" t="inlineStr">
        <is>
          <t>Tea</t>
        </is>
      </c>
      <c r="E32" s="8" t="inlineStr">
        <is>
          <t>Beverages</t>
        </is>
      </c>
      <c r="F32" s="9" t="n">
        <v>1</v>
      </c>
      <c r="G32" s="10" t="n">
        <v>10</v>
      </c>
      <c r="H32" s="10">
        <f>IFERROR(F32*G32,"")</f>
        <v/>
      </c>
      <c r="I32" s="8" t="inlineStr">
        <is>
          <t>Card</t>
        </is>
      </c>
      <c r="J32" s="8" t="inlineStr">
        <is>
          <t>Walk-in</t>
        </is>
      </c>
      <c r="K32" s="8" t="inlineStr"/>
    </row>
    <row r="33" ht="22" customHeight="1">
      <c r="B33" s="3" t="n">
        <v>45672</v>
      </c>
      <c r="C33" s="4" t="inlineStr">
        <is>
          <t>INV-0031</t>
        </is>
      </c>
      <c r="D33" s="4" t="inlineStr">
        <is>
          <t>Coffee</t>
        </is>
      </c>
      <c r="E33" s="4" t="inlineStr">
        <is>
          <t>Beverages</t>
        </is>
      </c>
      <c r="F33" s="5" t="n">
        <v>4</v>
      </c>
      <c r="G33" s="6" t="n">
        <v>15</v>
      </c>
      <c r="H33" s="6">
        <f>IFERROR(F33*G33,"")</f>
        <v/>
      </c>
      <c r="I33" s="4" t="inlineStr">
        <is>
          <t>Card</t>
        </is>
      </c>
      <c r="J33" s="4" t="inlineStr">
        <is>
          <t>Sarah Johnson</t>
        </is>
      </c>
      <c r="K33" s="4" t="inlineStr">
        <is>
          <t>Bulk order</t>
        </is>
      </c>
    </row>
    <row r="34" ht="22" customHeight="1">
      <c r="B34" s="7" t="n">
        <v>45672</v>
      </c>
      <c r="C34" s="8" t="inlineStr">
        <is>
          <t>INV-0050</t>
        </is>
      </c>
      <c r="D34" s="8" t="inlineStr">
        <is>
          <t>Manakish</t>
        </is>
      </c>
      <c r="E34" s="8" t="inlineStr">
        <is>
          <t>Appetizers</t>
        </is>
      </c>
      <c r="F34" s="9" t="n">
        <v>1</v>
      </c>
      <c r="G34" s="10" t="n">
        <v>16</v>
      </c>
      <c r="H34" s="10">
        <f>IFERROR(F34*G34,"")</f>
        <v/>
      </c>
      <c r="I34" s="8" t="inlineStr">
        <is>
          <t>Cash</t>
        </is>
      </c>
      <c r="J34" s="8" t="inlineStr">
        <is>
          <t>Walk-in</t>
        </is>
      </c>
      <c r="K34" s="8" t="inlineStr"/>
    </row>
    <row r="35" ht="22" customHeight="1">
      <c r="B35" s="3" t="n">
        <v>45673</v>
      </c>
      <c r="C35" s="4" t="inlineStr">
        <is>
          <t>INV-0039</t>
        </is>
      </c>
      <c r="D35" s="4" t="inlineStr">
        <is>
          <t>Cheesecake</t>
        </is>
      </c>
      <c r="E35" s="4" t="inlineStr">
        <is>
          <t>Desserts</t>
        </is>
      </c>
      <c r="F35" s="5" t="n">
        <v>1</v>
      </c>
      <c r="G35" s="6" t="n">
        <v>28</v>
      </c>
      <c r="H35" s="6">
        <f>IFERROR(F35*G35,"")</f>
        <v/>
      </c>
      <c r="I35" s="4" t="inlineStr">
        <is>
          <t>Online</t>
        </is>
      </c>
      <c r="J35" s="4" t="inlineStr">
        <is>
          <t>Walk-in</t>
        </is>
      </c>
      <c r="K35" s="4" t="inlineStr">
        <is>
          <t>Online order</t>
        </is>
      </c>
    </row>
    <row r="36" ht="22" customHeight="1">
      <c r="B36" s="7" t="n">
        <v>45674</v>
      </c>
      <c r="C36" s="8" t="inlineStr">
        <is>
          <t>INV-0004</t>
        </is>
      </c>
      <c r="D36" s="8" t="inlineStr">
        <is>
          <t>Kunafa</t>
        </is>
      </c>
      <c r="E36" s="8" t="inlineStr">
        <is>
          <t>Desserts</t>
        </is>
      </c>
      <c r="F36" s="9" t="n">
        <v>1</v>
      </c>
      <c r="G36" s="10" t="n">
        <v>25</v>
      </c>
      <c r="H36" s="10">
        <f>IFERROR(F36*G36,"")</f>
        <v/>
      </c>
      <c r="I36" s="8" t="inlineStr">
        <is>
          <t>Card</t>
        </is>
      </c>
      <c r="J36" s="8" t="inlineStr">
        <is>
          <t>Omar Farooq</t>
        </is>
      </c>
      <c r="K36" s="8" t="inlineStr">
        <is>
          <t>Regular customer</t>
        </is>
      </c>
    </row>
    <row r="37" ht="22" customHeight="1">
      <c r="B37" s="3" t="n">
        <v>45676</v>
      </c>
      <c r="C37" s="4" t="inlineStr">
        <is>
          <t>INV-0006</t>
        </is>
      </c>
      <c r="D37" s="4" t="inlineStr">
        <is>
          <t>Pasta</t>
        </is>
      </c>
      <c r="E37" s="4" t="inlineStr">
        <is>
          <t>Main Course</t>
        </is>
      </c>
      <c r="F37" s="5" t="n">
        <v>3</v>
      </c>
      <c r="G37" s="6" t="n">
        <v>45</v>
      </c>
      <c r="H37" s="6">
        <f>IFERROR(F37*G37,"")</f>
        <v/>
      </c>
      <c r="I37" s="4" t="inlineStr">
        <is>
          <t>Cash</t>
        </is>
      </c>
      <c r="J37" s="4" t="inlineStr">
        <is>
          <t>Noor Abdullah</t>
        </is>
      </c>
      <c r="K37" s="4" t="inlineStr">
        <is>
          <t>Bulk order</t>
        </is>
      </c>
    </row>
    <row r="38" ht="22" customHeight="1">
      <c r="B38" s="7" t="n">
        <v>45676</v>
      </c>
      <c r="C38" s="8" t="inlineStr">
        <is>
          <t>INV-0024</t>
        </is>
      </c>
      <c r="D38" s="8" t="inlineStr">
        <is>
          <t>Soup</t>
        </is>
      </c>
      <c r="E38" s="8" t="inlineStr">
        <is>
          <t>Appetizers</t>
        </is>
      </c>
      <c r="F38" s="9" t="n">
        <v>4</v>
      </c>
      <c r="G38" s="10" t="n">
        <v>20</v>
      </c>
      <c r="H38" s="10">
        <f>IFERROR(F38*G38,"")</f>
        <v/>
      </c>
      <c r="I38" s="8" t="inlineStr">
        <is>
          <t>Online</t>
        </is>
      </c>
      <c r="J38" s="8" t="inlineStr">
        <is>
          <t>Ahmed Al Maktoum</t>
        </is>
      </c>
      <c r="K38" s="8" t="inlineStr">
        <is>
          <t>Bulk order</t>
        </is>
      </c>
    </row>
    <row r="39" ht="22" customHeight="1">
      <c r="B39" s="3" t="n">
        <v>45676</v>
      </c>
      <c r="C39" s="4" t="inlineStr">
        <is>
          <t>INV-0037</t>
        </is>
      </c>
      <c r="D39" s="4" t="inlineStr">
        <is>
          <t>Fresh Juice</t>
        </is>
      </c>
      <c r="E39" s="4" t="inlineStr">
        <is>
          <t>Beverages</t>
        </is>
      </c>
      <c r="F39" s="5" t="n">
        <v>1</v>
      </c>
      <c r="G39" s="6" t="n">
        <v>18</v>
      </c>
      <c r="H39" s="6">
        <f>IFERROR(F39*G39,"")</f>
        <v/>
      </c>
      <c r="I39" s="4" t="inlineStr">
        <is>
          <t>Cheque</t>
        </is>
      </c>
      <c r="J39" s="4" t="inlineStr">
        <is>
          <t>Yusuf Ali</t>
        </is>
      </c>
      <c r="K39" s="4" t="inlineStr">
        <is>
          <t>Regular customer</t>
        </is>
      </c>
    </row>
    <row r="40" ht="22" customHeight="1">
      <c r="B40" s="7" t="n">
        <v>45677</v>
      </c>
      <c r="C40" s="8" t="inlineStr">
        <is>
          <t>INV-0028</t>
        </is>
      </c>
      <c r="D40" s="8" t="inlineStr">
        <is>
          <t>Fries</t>
        </is>
      </c>
      <c r="E40" s="8" t="inlineStr">
        <is>
          <t>Appetizers</t>
        </is>
      </c>
      <c r="F40" s="9" t="n">
        <v>2</v>
      </c>
      <c r="G40" s="10" t="n">
        <v>15</v>
      </c>
      <c r="H40" s="10">
        <f>IFERROR(F40*G40,"")</f>
        <v/>
      </c>
      <c r="I40" s="8" t="inlineStr">
        <is>
          <t>Cash</t>
        </is>
      </c>
      <c r="J40" s="8" t="inlineStr">
        <is>
          <t>Aisha Al Sayed</t>
        </is>
      </c>
      <c r="K40" s="8" t="inlineStr">
        <is>
          <t>Regular customer</t>
        </is>
      </c>
    </row>
    <row r="41" ht="22" customHeight="1">
      <c r="B41" s="3" t="n">
        <v>45678</v>
      </c>
      <c r="C41" s="4" t="inlineStr">
        <is>
          <t>INV-0001</t>
        </is>
      </c>
      <c r="D41" s="4" t="inlineStr">
        <is>
          <t>Smoothie</t>
        </is>
      </c>
      <c r="E41" s="4" t="inlineStr">
        <is>
          <t>Beverages</t>
        </is>
      </c>
      <c r="F41" s="5" t="n">
        <v>1</v>
      </c>
      <c r="G41" s="6" t="n">
        <v>22</v>
      </c>
      <c r="H41" s="6">
        <f>IFERROR(F41*G41,"")</f>
        <v/>
      </c>
      <c r="I41" s="4" t="inlineStr">
        <is>
          <t>Card</t>
        </is>
      </c>
      <c r="J41" s="4" t="inlineStr">
        <is>
          <t>Walk-in</t>
        </is>
      </c>
      <c r="K41" s="4" t="inlineStr"/>
    </row>
    <row r="42" ht="22" customHeight="1">
      <c r="B42" s="7" t="n">
        <v>45678</v>
      </c>
      <c r="C42" s="8" t="inlineStr">
        <is>
          <t>INV-0005</t>
        </is>
      </c>
      <c r="D42" s="8" t="inlineStr">
        <is>
          <t>Mandi</t>
        </is>
      </c>
      <c r="E42" s="8" t="inlineStr">
        <is>
          <t>Main Course</t>
        </is>
      </c>
      <c r="F42" s="9" t="n">
        <v>2</v>
      </c>
      <c r="G42" s="10" t="n">
        <v>50</v>
      </c>
      <c r="H42" s="10">
        <f>IFERROR(F42*G42,"")</f>
        <v/>
      </c>
      <c r="I42" s="8" t="inlineStr">
        <is>
          <t>Card</t>
        </is>
      </c>
      <c r="J42" s="8" t="inlineStr">
        <is>
          <t>Mohammed Al Rashid</t>
        </is>
      </c>
      <c r="K42" s="8" t="inlineStr">
        <is>
          <t>Regular customer</t>
        </is>
      </c>
    </row>
    <row r="43" ht="22" customHeight="1">
      <c r="B43" s="3" t="n">
        <v>45678</v>
      </c>
      <c r="C43" s="4" t="inlineStr">
        <is>
          <t>INV-0022</t>
        </is>
      </c>
      <c r="D43" s="4" t="inlineStr">
        <is>
          <t>Hummus</t>
        </is>
      </c>
      <c r="E43" s="4" t="inlineStr">
        <is>
          <t>Appetizers</t>
        </is>
      </c>
      <c r="F43" s="5" t="n">
        <v>1</v>
      </c>
      <c r="G43" s="6" t="n">
        <v>18</v>
      </c>
      <c r="H43" s="6">
        <f>IFERROR(F43*G43,"")</f>
        <v/>
      </c>
      <c r="I43" s="4" t="inlineStr">
        <is>
          <t>Cheque</t>
        </is>
      </c>
      <c r="J43" s="4" t="inlineStr">
        <is>
          <t>Walk-in</t>
        </is>
      </c>
      <c r="K43" s="4" t="inlineStr"/>
    </row>
    <row r="44" ht="22" customHeight="1">
      <c r="B44" s="7" t="n">
        <v>45678</v>
      </c>
      <c r="C44" s="8" t="inlineStr">
        <is>
          <t>INV-0030</t>
        </is>
      </c>
      <c r="D44" s="8" t="inlineStr">
        <is>
          <t>Shawarma</t>
        </is>
      </c>
      <c r="E44" s="8" t="inlineStr">
        <is>
          <t>Main Course</t>
        </is>
      </c>
      <c r="F44" s="9" t="n">
        <v>1</v>
      </c>
      <c r="G44" s="10" t="n">
        <v>30</v>
      </c>
      <c r="H44" s="10">
        <f>IFERROR(F44*G44,"")</f>
        <v/>
      </c>
      <c r="I44" s="8" t="inlineStr">
        <is>
          <t>Online</t>
        </is>
      </c>
      <c r="J44" s="8" t="inlineStr">
        <is>
          <t>Walk-in</t>
        </is>
      </c>
      <c r="K44" s="8" t="inlineStr">
        <is>
          <t>Online order</t>
        </is>
      </c>
    </row>
    <row r="45" ht="22" customHeight="1">
      <c r="B45" s="3" t="n">
        <v>45678</v>
      </c>
      <c r="C45" s="4" t="inlineStr">
        <is>
          <t>INV-0033</t>
        </is>
      </c>
      <c r="D45" s="4" t="inlineStr">
        <is>
          <t>Grilled Chicken</t>
        </is>
      </c>
      <c r="E45" s="4" t="inlineStr">
        <is>
          <t>Main Course</t>
        </is>
      </c>
      <c r="F45" s="5" t="n">
        <v>3</v>
      </c>
      <c r="G45" s="6" t="n">
        <v>55</v>
      </c>
      <c r="H45" s="6">
        <f>IFERROR(F45*G45,"")</f>
        <v/>
      </c>
      <c r="I45" s="4" t="inlineStr">
        <is>
          <t>Card</t>
        </is>
      </c>
      <c r="J45" s="4" t="inlineStr">
        <is>
          <t>Walk-in</t>
        </is>
      </c>
      <c r="K45" s="4" t="inlineStr">
        <is>
          <t>Bulk order</t>
        </is>
      </c>
    </row>
    <row r="46" ht="22" customHeight="1">
      <c r="B46" s="7" t="n">
        <v>45679</v>
      </c>
      <c r="C46" s="8" t="inlineStr">
        <is>
          <t>INV-0027</t>
        </is>
      </c>
      <c r="D46" s="8" t="inlineStr">
        <is>
          <t>Soup</t>
        </is>
      </c>
      <c r="E46" s="8" t="inlineStr">
        <is>
          <t>Appetizers</t>
        </is>
      </c>
      <c r="F46" s="9" t="n">
        <v>2</v>
      </c>
      <c r="G46" s="10" t="n">
        <v>20</v>
      </c>
      <c r="H46" s="10">
        <f>IFERROR(F46*G46,"")</f>
        <v/>
      </c>
      <c r="I46" s="8" t="inlineStr">
        <is>
          <t>Online</t>
        </is>
      </c>
      <c r="J46" s="8" t="inlineStr">
        <is>
          <t>Fatima Hassan</t>
        </is>
      </c>
      <c r="K46" s="8" t="inlineStr">
        <is>
          <t>Online order</t>
        </is>
      </c>
    </row>
    <row r="47" ht="22" customHeight="1">
      <c r="B47" s="3" t="n">
        <v>45681</v>
      </c>
      <c r="C47" s="4" t="inlineStr">
        <is>
          <t>INV-0017</t>
        </is>
      </c>
      <c r="D47" s="4" t="inlineStr">
        <is>
          <t>Burger</t>
        </is>
      </c>
      <c r="E47" s="4" t="inlineStr">
        <is>
          <t>Main Course</t>
        </is>
      </c>
      <c r="F47" s="5" t="n">
        <v>1</v>
      </c>
      <c r="G47" s="6" t="n">
        <v>35</v>
      </c>
      <c r="H47" s="6">
        <f>IFERROR(F47*G47,"")</f>
        <v/>
      </c>
      <c r="I47" s="4" t="inlineStr">
        <is>
          <t>Online</t>
        </is>
      </c>
      <c r="J47" s="4" t="inlineStr">
        <is>
          <t>Walk-in</t>
        </is>
      </c>
      <c r="K47" s="4" t="inlineStr">
        <is>
          <t>Online order</t>
        </is>
      </c>
    </row>
    <row r="48" ht="22" customHeight="1">
      <c r="B48" s="7" t="n">
        <v>45681</v>
      </c>
      <c r="C48" s="8" t="inlineStr">
        <is>
          <t>INV-0029</t>
        </is>
      </c>
      <c r="D48" s="8" t="inlineStr">
        <is>
          <t>Smoothie</t>
        </is>
      </c>
      <c r="E48" s="8" t="inlineStr">
        <is>
          <t>Beverages</t>
        </is>
      </c>
      <c r="F48" s="9" t="n">
        <v>2</v>
      </c>
      <c r="G48" s="10" t="n">
        <v>22</v>
      </c>
      <c r="H48" s="10">
        <f>IFERROR(F48*G48,"")</f>
        <v/>
      </c>
      <c r="I48" s="8" t="inlineStr">
        <is>
          <t>Card</t>
        </is>
      </c>
      <c r="J48" s="8" t="inlineStr">
        <is>
          <t>Noor Abdullah</t>
        </is>
      </c>
      <c r="K48" s="8" t="inlineStr">
        <is>
          <t>Regular customer</t>
        </is>
      </c>
    </row>
    <row r="49" ht="22" customHeight="1">
      <c r="B49" s="3" t="n">
        <v>45682</v>
      </c>
      <c r="C49" s="4" t="inlineStr">
        <is>
          <t>INV-0032</t>
        </is>
      </c>
      <c r="D49" s="4" t="inlineStr">
        <is>
          <t>Soft Drink</t>
        </is>
      </c>
      <c r="E49" s="4" t="inlineStr">
        <is>
          <t>Beverages</t>
        </is>
      </c>
      <c r="F49" s="5" t="n">
        <v>2</v>
      </c>
      <c r="G49" s="6" t="n">
        <v>8</v>
      </c>
      <c r="H49" s="6">
        <f>IFERROR(F49*G49,"")</f>
        <v/>
      </c>
      <c r="I49" s="4" t="inlineStr">
        <is>
          <t>Cash</t>
        </is>
      </c>
      <c r="J49" s="4" t="inlineStr">
        <is>
          <t>Yusuf Ali</t>
        </is>
      </c>
      <c r="K49" s="4" t="inlineStr">
        <is>
          <t>Regular customer</t>
        </is>
      </c>
    </row>
    <row r="50" ht="22" customHeight="1">
      <c r="B50" s="7" t="n">
        <v>45683</v>
      </c>
      <c r="C50" s="8" t="inlineStr">
        <is>
          <t>INV-0007</t>
        </is>
      </c>
      <c r="D50" s="8" t="inlineStr">
        <is>
          <t>Soft Drink</t>
        </is>
      </c>
      <c r="E50" s="8" t="inlineStr">
        <is>
          <t>Beverages</t>
        </is>
      </c>
      <c r="F50" s="9" t="n">
        <v>2</v>
      </c>
      <c r="G50" s="10" t="n">
        <v>8</v>
      </c>
      <c r="H50" s="10">
        <f>IFERROR(F50*G50,"")</f>
        <v/>
      </c>
      <c r="I50" s="8" t="inlineStr">
        <is>
          <t>Online</t>
        </is>
      </c>
      <c r="J50" s="8" t="inlineStr">
        <is>
          <t>Walk-in</t>
        </is>
      </c>
      <c r="K50" s="8" t="inlineStr">
        <is>
          <t>Online order</t>
        </is>
      </c>
    </row>
    <row r="51" ht="22" customHeight="1">
      <c r="B51" s="3" t="n">
        <v>45683</v>
      </c>
      <c r="C51" s="4" t="inlineStr">
        <is>
          <t>INV-0048</t>
        </is>
      </c>
      <c r="D51" s="4" t="inlineStr">
        <is>
          <t>Hummus</t>
        </is>
      </c>
      <c r="E51" s="4" t="inlineStr">
        <is>
          <t>Appetizers</t>
        </is>
      </c>
      <c r="F51" s="5" t="n">
        <v>3</v>
      </c>
      <c r="G51" s="6" t="n">
        <v>18</v>
      </c>
      <c r="H51" s="6">
        <f>IFERROR(F51*G51,"")</f>
        <v/>
      </c>
      <c r="I51" s="4" t="inlineStr">
        <is>
          <t>Card</t>
        </is>
      </c>
      <c r="J51" s="4" t="inlineStr">
        <is>
          <t>Walk-in</t>
        </is>
      </c>
      <c r="K51" s="4" t="inlineStr">
        <is>
          <t>Bulk order</t>
        </is>
      </c>
    </row>
    <row r="52" ht="22" customHeight="1">
      <c r="B52" s="7" t="n">
        <v>45683</v>
      </c>
      <c r="C52" s="8" t="inlineStr">
        <is>
          <t>INV-0054</t>
        </is>
      </c>
      <c r="D52" s="8" t="inlineStr">
        <is>
          <t>Cheesecake</t>
        </is>
      </c>
      <c r="E52" s="8" t="inlineStr">
        <is>
          <t>Desserts</t>
        </is>
      </c>
      <c r="F52" s="9" t="n">
        <v>1</v>
      </c>
      <c r="G52" s="10" t="n">
        <v>28</v>
      </c>
      <c r="H52" s="10">
        <f>IFERROR(F52*G52,"")</f>
        <v/>
      </c>
      <c r="I52" s="8" t="inlineStr">
        <is>
          <t>Cash</t>
        </is>
      </c>
      <c r="J52" s="8" t="inlineStr">
        <is>
          <t>Walk-in</t>
        </is>
      </c>
      <c r="K52" s="8" t="inlineStr"/>
    </row>
    <row r="53" ht="22" customHeight="1">
      <c r="B53" s="3" t="n">
        <v>45684</v>
      </c>
      <c r="C53" s="4" t="inlineStr">
        <is>
          <t>INV-0036</t>
        </is>
      </c>
      <c r="D53" s="4" t="inlineStr">
        <is>
          <t>Grilled Chicken</t>
        </is>
      </c>
      <c r="E53" s="4" t="inlineStr">
        <is>
          <t>Main Course</t>
        </is>
      </c>
      <c r="F53" s="5" t="n">
        <v>1</v>
      </c>
      <c r="G53" s="6" t="n">
        <v>55</v>
      </c>
      <c r="H53" s="6">
        <f>IFERROR(F53*G53,"")</f>
        <v/>
      </c>
      <c r="I53" s="4" t="inlineStr">
        <is>
          <t>Card</t>
        </is>
      </c>
      <c r="J53" s="4" t="inlineStr">
        <is>
          <t>Layla Khalil</t>
        </is>
      </c>
      <c r="K53" s="4" t="inlineStr">
        <is>
          <t>Regular customer</t>
        </is>
      </c>
    </row>
    <row r="54" ht="22" customHeight="1">
      <c r="B54" s="7" t="n">
        <v>45686</v>
      </c>
      <c r="C54" s="8" t="inlineStr">
        <is>
          <t>INV-0042</t>
        </is>
      </c>
      <c r="D54" s="8" t="inlineStr">
        <is>
          <t>Cake</t>
        </is>
      </c>
      <c r="E54" s="8" t="inlineStr">
        <is>
          <t>Desserts</t>
        </is>
      </c>
      <c r="F54" s="9" t="n">
        <v>2</v>
      </c>
      <c r="G54" s="10" t="n">
        <v>22</v>
      </c>
      <c r="H54" s="10">
        <f>IFERROR(F54*G54,"")</f>
        <v/>
      </c>
      <c r="I54" s="8" t="inlineStr">
        <is>
          <t>Card</t>
        </is>
      </c>
      <c r="J54" s="8" t="inlineStr">
        <is>
          <t>Walk-in</t>
        </is>
      </c>
      <c r="K54" s="8" t="inlineStr"/>
    </row>
    <row r="55" ht="22" customHeight="1">
      <c r="B55" s="3" t="n">
        <v>45687</v>
      </c>
      <c r="C55" s="4" t="inlineStr">
        <is>
          <t>INV-0016</t>
        </is>
      </c>
      <c r="D55" s="4" t="inlineStr">
        <is>
          <t>Mojito Mocktail</t>
        </is>
      </c>
      <c r="E55" s="4" t="inlineStr">
        <is>
          <t>Beverages</t>
        </is>
      </c>
      <c r="F55" s="5" t="n">
        <v>2</v>
      </c>
      <c r="G55" s="6" t="n">
        <v>24</v>
      </c>
      <c r="H55" s="6">
        <f>IFERROR(F55*G55,"")</f>
        <v/>
      </c>
      <c r="I55" s="4" t="inlineStr">
        <is>
          <t>Cash</t>
        </is>
      </c>
      <c r="J55" s="4" t="inlineStr">
        <is>
          <t>Sarah Johnson</t>
        </is>
      </c>
      <c r="K55" s="4" t="inlineStr">
        <is>
          <t>Regular customer</t>
        </is>
      </c>
    </row>
    <row r="56" ht="22" customHeight="1">
      <c r="B56" s="7" t="n">
        <v>45687</v>
      </c>
      <c r="C56" s="8" t="inlineStr">
        <is>
          <t>INV-0018</t>
        </is>
      </c>
      <c r="D56" s="8" t="inlineStr">
        <is>
          <t>Latte</t>
        </is>
      </c>
      <c r="E56" s="8" t="inlineStr">
        <is>
          <t>Beverages</t>
        </is>
      </c>
      <c r="F56" s="9" t="n">
        <v>2</v>
      </c>
      <c r="G56" s="10" t="n">
        <v>20</v>
      </c>
      <c r="H56" s="10">
        <f>IFERROR(F56*G56,"")</f>
        <v/>
      </c>
      <c r="I56" s="8" t="inlineStr">
        <is>
          <t>Card</t>
        </is>
      </c>
      <c r="J56" s="8" t="inlineStr">
        <is>
          <t>Aisha Al Sayed</t>
        </is>
      </c>
      <c r="K56" s="8" t="inlineStr">
        <is>
          <t>Regular customer</t>
        </is>
      </c>
    </row>
    <row r="57" ht="22" customHeight="1">
      <c r="B57" s="3" t="n">
        <v>45687</v>
      </c>
      <c r="C57" s="4" t="inlineStr">
        <is>
          <t>INV-0040</t>
        </is>
      </c>
      <c r="D57" s="4" t="inlineStr">
        <is>
          <t>Cheesecake</t>
        </is>
      </c>
      <c r="E57" s="4" t="inlineStr">
        <is>
          <t>Desserts</t>
        </is>
      </c>
      <c r="F57" s="5" t="n">
        <v>3</v>
      </c>
      <c r="G57" s="6" t="n">
        <v>28</v>
      </c>
      <c r="H57" s="6">
        <f>IFERROR(F57*G57,"")</f>
        <v/>
      </c>
      <c r="I57" s="4" t="inlineStr">
        <is>
          <t>Card</t>
        </is>
      </c>
      <c r="J57" s="4" t="inlineStr">
        <is>
          <t>Omar Farooq</t>
        </is>
      </c>
      <c r="K57" s="4" t="inlineStr">
        <is>
          <t>Bulk order</t>
        </is>
      </c>
    </row>
    <row r="58" ht="22" customHeight="1">
      <c r="B58" s="7" t="n">
        <v>45687</v>
      </c>
      <c r="C58" s="8" t="inlineStr">
        <is>
          <t>INV-0055</t>
        </is>
      </c>
      <c r="D58" s="8" t="inlineStr">
        <is>
          <t>Burger</t>
        </is>
      </c>
      <c r="E58" s="8" t="inlineStr">
        <is>
          <t>Main Course</t>
        </is>
      </c>
      <c r="F58" s="9" t="n">
        <v>1</v>
      </c>
      <c r="G58" s="10" t="n">
        <v>35</v>
      </c>
      <c r="H58" s="10">
        <f>IFERROR(F58*G58,"")</f>
        <v/>
      </c>
      <c r="I58" s="8" t="inlineStr">
        <is>
          <t>Cheque</t>
        </is>
      </c>
      <c r="J58" s="8" t="inlineStr">
        <is>
          <t>Mohammed Al Rashid</t>
        </is>
      </c>
      <c r="K58" s="8" t="inlineStr">
        <is>
          <t>Regular customer</t>
        </is>
      </c>
    </row>
    <row r="59" ht="22" customHeight="1">
      <c r="B59" s="3" t="n">
        <v>45688</v>
      </c>
      <c r="C59" s="4" t="inlineStr">
        <is>
          <t>INV-0021</t>
        </is>
      </c>
      <c r="D59" s="4" t="inlineStr">
        <is>
          <t>Ice Cream</t>
        </is>
      </c>
      <c r="E59" s="4" t="inlineStr">
        <is>
          <t>Desserts</t>
        </is>
      </c>
      <c r="F59" s="5" t="n">
        <v>4</v>
      </c>
      <c r="G59" s="6" t="n">
        <v>16</v>
      </c>
      <c r="H59" s="6">
        <f>IFERROR(F59*G59,"")</f>
        <v/>
      </c>
      <c r="I59" s="4" t="inlineStr">
        <is>
          <t>Online</t>
        </is>
      </c>
      <c r="J59" s="4" t="inlineStr">
        <is>
          <t>Walk-in</t>
        </is>
      </c>
      <c r="K59" s="4" t="inlineStr">
        <is>
          <t>Bulk order</t>
        </is>
      </c>
    </row>
    <row r="61" ht="26" customHeight="1">
      <c r="B61" s="11" t="inlineStr">
        <is>
          <t>TOTALS</t>
        </is>
      </c>
      <c r="C61" s="12" t="n"/>
      <c r="D61" s="12" t="n"/>
      <c r="E61" s="12" t="n"/>
      <c r="F61" s="13">
        <f>SUMPRODUCT((F5:F59&lt;&gt;"")*1)</f>
        <v/>
      </c>
      <c r="G61" s="12" t="inlineStr"/>
      <c r="H61" s="14">
        <f>IFERROR(SUM(H5:H59),"")</f>
        <v/>
      </c>
      <c r="I61" s="12" t="n"/>
      <c r="J61" s="12" t="n"/>
      <c r="K61" s="12" t="n"/>
    </row>
  </sheetData>
  <mergeCells count="1">
    <mergeCell ref="B2:K2"/>
  </mergeCells>
  <conditionalFormatting sqref="H5:H59">
    <cfRule type="cellIs" priority="1" operator="greaterThan" dxfId="0">
      <formula>100</formula>
    </cfRule>
  </conditionalFormatting>
  <dataValidations count="1">
    <dataValidation sqref="I5:I109" showDropDown="0" showInputMessage="0" showErrorMessage="0" allowBlank="1" errorTitle="Invalid Payment Method" error="Please select a valid payment method" promptTitle="Payment Method" prompt="Select payment method" type="list">
      <formula1>"Cash,Card,Online,Cheque"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Daily Summary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Cash Total</t>
        </is>
      </c>
      <c r="G4" s="2" t="inlineStr">
        <is>
          <t>Card Total</t>
        </is>
      </c>
      <c r="H4" s="2" t="inlineStr">
        <is>
          <t>Online Total</t>
        </is>
      </c>
    </row>
    <row r="5" ht="22" customHeight="1">
      <c r="B5" s="3" t="n">
        <v>45658</v>
      </c>
      <c r="C5" s="6">
        <f>IFERROR(SUMPRODUCT(('Sales Entry'!B$5:B$59=B5)*('Sales Entry'!H$5:H$59)),"")</f>
        <v/>
      </c>
      <c r="D5" s="5">
        <f>IFERROR(SUMPRODUCT(('Sales Entry'!B$5:B$59=B5)*1),"")</f>
        <v/>
      </c>
      <c r="E5" s="6">
        <f>IFERROR(C5/D5,"")</f>
        <v/>
      </c>
      <c r="F5" s="6">
        <f>IFERROR(SUMPRODUCT(('Sales Entry'!B$5:B$59=B5)*('Sales Entry'!I$5:I$59="Cash")*('Sales Entry'!H$5:H$59)),"")</f>
        <v/>
      </c>
      <c r="G5" s="6">
        <f>IFERROR(SUMPRODUCT(('Sales Entry'!B$5:B$59=B5)*('Sales Entry'!I$5:I$59="Card")*('Sales Entry'!H$5:H$59)),"")</f>
        <v/>
      </c>
      <c r="H5" s="6">
        <f>IFERROR(SUMPRODUCT(('Sales Entry'!B$5:B$59=B5)*('Sales Entry'!I$5:I$59="Online")*('Sales Entry'!H$5:H$59)),"")</f>
        <v/>
      </c>
    </row>
    <row r="6" ht="22" customHeight="1">
      <c r="B6" s="7" t="n">
        <v>45659</v>
      </c>
      <c r="C6" s="10">
        <f>IFERROR(SUMPRODUCT(('Sales Entry'!B$5:B$59=B6)*('Sales Entry'!H$5:H$59)),"")</f>
        <v/>
      </c>
      <c r="D6" s="9">
        <f>IFERROR(SUMPRODUCT(('Sales Entry'!B$5:B$59=B6)*1),"")</f>
        <v/>
      </c>
      <c r="E6" s="10">
        <f>IFERROR(C6/D6,"")</f>
        <v/>
      </c>
      <c r="F6" s="10">
        <f>IFERROR(SUMPRODUCT(('Sales Entry'!B$5:B$59=B6)*('Sales Entry'!I$5:I$59="Cash")*('Sales Entry'!H$5:H$59)),"")</f>
        <v/>
      </c>
      <c r="G6" s="10">
        <f>IFERROR(SUMPRODUCT(('Sales Entry'!B$5:B$59=B6)*('Sales Entry'!I$5:I$59="Card")*('Sales Entry'!H$5:H$59)),"")</f>
        <v/>
      </c>
      <c r="H6" s="10">
        <f>IFERROR(SUMPRODUCT(('Sales Entry'!B$5:B$59=B6)*('Sales Entry'!I$5:I$59="Online")*('Sales Entry'!H$5:H$59)),"")</f>
        <v/>
      </c>
    </row>
    <row r="7" ht="22" customHeight="1">
      <c r="B7" s="3" t="n">
        <v>45660</v>
      </c>
      <c r="C7" s="6">
        <f>IFERROR(SUMPRODUCT(('Sales Entry'!B$5:B$59=B7)*('Sales Entry'!H$5:H$59)),"")</f>
        <v/>
      </c>
      <c r="D7" s="5">
        <f>IFERROR(SUMPRODUCT(('Sales Entry'!B$5:B$59=B7)*1),"")</f>
        <v/>
      </c>
      <c r="E7" s="6">
        <f>IFERROR(C7/D7,"")</f>
        <v/>
      </c>
      <c r="F7" s="6">
        <f>IFERROR(SUMPRODUCT(('Sales Entry'!B$5:B$59=B7)*('Sales Entry'!I$5:I$59="Cash")*('Sales Entry'!H$5:H$59)),"")</f>
        <v/>
      </c>
      <c r="G7" s="6">
        <f>IFERROR(SUMPRODUCT(('Sales Entry'!B$5:B$59=B7)*('Sales Entry'!I$5:I$59="Card")*('Sales Entry'!H$5:H$59)),"")</f>
        <v/>
      </c>
      <c r="H7" s="6">
        <f>IFERROR(SUMPRODUCT(('Sales Entry'!B$5:B$59=B7)*('Sales Entry'!I$5:I$59="Online")*('Sales Entry'!H$5:H$59)),"")</f>
        <v/>
      </c>
    </row>
    <row r="8" ht="22" customHeight="1">
      <c r="B8" s="7" t="n">
        <v>45661</v>
      </c>
      <c r="C8" s="10">
        <f>IFERROR(SUMPRODUCT(('Sales Entry'!B$5:B$59=B8)*('Sales Entry'!H$5:H$59)),"")</f>
        <v/>
      </c>
      <c r="D8" s="9">
        <f>IFERROR(SUMPRODUCT(('Sales Entry'!B$5:B$59=B8)*1),"")</f>
        <v/>
      </c>
      <c r="E8" s="10">
        <f>IFERROR(C8/D8,"")</f>
        <v/>
      </c>
      <c r="F8" s="10">
        <f>IFERROR(SUMPRODUCT(('Sales Entry'!B$5:B$59=B8)*('Sales Entry'!I$5:I$59="Cash")*('Sales Entry'!H$5:H$59)),"")</f>
        <v/>
      </c>
      <c r="G8" s="10">
        <f>IFERROR(SUMPRODUCT(('Sales Entry'!B$5:B$59=B8)*('Sales Entry'!I$5:I$59="Card")*('Sales Entry'!H$5:H$59)),"")</f>
        <v/>
      </c>
      <c r="H8" s="10">
        <f>IFERROR(SUMPRODUCT(('Sales Entry'!B$5:B$59=B8)*('Sales Entry'!I$5:I$59="Online")*('Sales Entry'!H$5:H$59)),"")</f>
        <v/>
      </c>
    </row>
    <row r="9" ht="22" customHeight="1">
      <c r="B9" s="3" t="n">
        <v>45662</v>
      </c>
      <c r="C9" s="6">
        <f>IFERROR(SUMPRODUCT(('Sales Entry'!B$5:B$59=B9)*('Sales Entry'!H$5:H$59)),"")</f>
        <v/>
      </c>
      <c r="D9" s="5">
        <f>IFERROR(SUMPRODUCT(('Sales Entry'!B$5:B$59=B9)*1),"")</f>
        <v/>
      </c>
      <c r="E9" s="6">
        <f>IFERROR(C9/D9,"")</f>
        <v/>
      </c>
      <c r="F9" s="6">
        <f>IFERROR(SUMPRODUCT(('Sales Entry'!B$5:B$59=B9)*('Sales Entry'!I$5:I$59="Cash")*('Sales Entry'!H$5:H$59)),"")</f>
        <v/>
      </c>
      <c r="G9" s="6">
        <f>IFERROR(SUMPRODUCT(('Sales Entry'!B$5:B$59=B9)*('Sales Entry'!I$5:I$59="Card")*('Sales Entry'!H$5:H$59)),"")</f>
        <v/>
      </c>
      <c r="H9" s="6">
        <f>IFERROR(SUMPRODUCT(('Sales Entry'!B$5:B$59=B9)*('Sales Entry'!I$5:I$59="Online")*('Sales Entry'!H$5:H$59)),"")</f>
        <v/>
      </c>
    </row>
    <row r="10" ht="22" customHeight="1">
      <c r="B10" s="7" t="n">
        <v>45663</v>
      </c>
      <c r="C10" s="10">
        <f>IFERROR(SUMPRODUCT(('Sales Entry'!B$5:B$59=B10)*('Sales Entry'!H$5:H$59)),"")</f>
        <v/>
      </c>
      <c r="D10" s="9">
        <f>IFERROR(SUMPRODUCT(('Sales Entry'!B$5:B$59=B10)*1),"")</f>
        <v/>
      </c>
      <c r="E10" s="10">
        <f>IFERROR(C10/D10,"")</f>
        <v/>
      </c>
      <c r="F10" s="10">
        <f>IFERROR(SUMPRODUCT(('Sales Entry'!B$5:B$59=B10)*('Sales Entry'!I$5:I$59="Cash")*('Sales Entry'!H$5:H$59)),"")</f>
        <v/>
      </c>
      <c r="G10" s="10">
        <f>IFERROR(SUMPRODUCT(('Sales Entry'!B$5:B$59=B10)*('Sales Entry'!I$5:I$59="Card")*('Sales Entry'!H$5:H$59)),"")</f>
        <v/>
      </c>
      <c r="H10" s="10">
        <f>IFERROR(SUMPRODUCT(('Sales Entry'!B$5:B$59=B10)*('Sales Entry'!I$5:I$59="Online")*('Sales Entry'!H$5:H$59)),"")</f>
        <v/>
      </c>
    </row>
    <row r="11" ht="22" customHeight="1">
      <c r="B11" s="3" t="n">
        <v>45664</v>
      </c>
      <c r="C11" s="6">
        <f>IFERROR(SUMPRODUCT(('Sales Entry'!B$5:B$59=B11)*('Sales Entry'!H$5:H$59)),"")</f>
        <v/>
      </c>
      <c r="D11" s="5">
        <f>IFERROR(SUMPRODUCT(('Sales Entry'!B$5:B$59=B11)*1),"")</f>
        <v/>
      </c>
      <c r="E11" s="6">
        <f>IFERROR(C11/D11,"")</f>
        <v/>
      </c>
      <c r="F11" s="6">
        <f>IFERROR(SUMPRODUCT(('Sales Entry'!B$5:B$59=B11)*('Sales Entry'!I$5:I$59="Cash")*('Sales Entry'!H$5:H$59)),"")</f>
        <v/>
      </c>
      <c r="G11" s="6">
        <f>IFERROR(SUMPRODUCT(('Sales Entry'!B$5:B$59=B11)*('Sales Entry'!I$5:I$59="Card")*('Sales Entry'!H$5:H$59)),"")</f>
        <v/>
      </c>
      <c r="H11" s="6">
        <f>IFERROR(SUMPRODUCT(('Sales Entry'!B$5:B$59=B11)*('Sales Entry'!I$5:I$59="Online")*('Sales Entry'!H$5:H$59)),"")</f>
        <v/>
      </c>
    </row>
    <row r="12" ht="22" customHeight="1">
      <c r="B12" s="7" t="n">
        <v>45665</v>
      </c>
      <c r="C12" s="10">
        <f>IFERROR(SUMPRODUCT(('Sales Entry'!B$5:B$59=B12)*('Sales Entry'!H$5:H$59)),"")</f>
        <v/>
      </c>
      <c r="D12" s="9">
        <f>IFERROR(SUMPRODUCT(('Sales Entry'!B$5:B$59=B12)*1),"")</f>
        <v/>
      </c>
      <c r="E12" s="10">
        <f>IFERROR(C12/D12,"")</f>
        <v/>
      </c>
      <c r="F12" s="10">
        <f>IFERROR(SUMPRODUCT(('Sales Entry'!B$5:B$59=B12)*('Sales Entry'!I$5:I$59="Cash")*('Sales Entry'!H$5:H$59)),"")</f>
        <v/>
      </c>
      <c r="G12" s="10">
        <f>IFERROR(SUMPRODUCT(('Sales Entry'!B$5:B$59=B12)*('Sales Entry'!I$5:I$59="Card")*('Sales Entry'!H$5:H$59)),"")</f>
        <v/>
      </c>
      <c r="H12" s="10">
        <f>IFERROR(SUMPRODUCT(('Sales Entry'!B$5:B$59=B12)*('Sales Entry'!I$5:I$59="Online")*('Sales Entry'!H$5:H$59)),"")</f>
        <v/>
      </c>
    </row>
    <row r="13" ht="22" customHeight="1">
      <c r="B13" s="3" t="n">
        <v>45666</v>
      </c>
      <c r="C13" s="6">
        <f>IFERROR(SUMPRODUCT(('Sales Entry'!B$5:B$59=B13)*('Sales Entry'!H$5:H$59)),"")</f>
        <v/>
      </c>
      <c r="D13" s="5">
        <f>IFERROR(SUMPRODUCT(('Sales Entry'!B$5:B$59=B13)*1),"")</f>
        <v/>
      </c>
      <c r="E13" s="6">
        <f>IFERROR(C13/D13,"")</f>
        <v/>
      </c>
      <c r="F13" s="6">
        <f>IFERROR(SUMPRODUCT(('Sales Entry'!B$5:B$59=B13)*('Sales Entry'!I$5:I$59="Cash")*('Sales Entry'!H$5:H$59)),"")</f>
        <v/>
      </c>
      <c r="G13" s="6">
        <f>IFERROR(SUMPRODUCT(('Sales Entry'!B$5:B$59=B13)*('Sales Entry'!I$5:I$59="Card")*('Sales Entry'!H$5:H$59)),"")</f>
        <v/>
      </c>
      <c r="H13" s="6">
        <f>IFERROR(SUMPRODUCT(('Sales Entry'!B$5:B$59=B13)*('Sales Entry'!I$5:I$59="Online")*('Sales Entry'!H$5:H$59)),"")</f>
        <v/>
      </c>
    </row>
    <row r="14" ht="22" customHeight="1">
      <c r="B14" s="7" t="n">
        <v>45667</v>
      </c>
      <c r="C14" s="10">
        <f>IFERROR(SUMPRODUCT(('Sales Entry'!B$5:B$59=B14)*('Sales Entry'!H$5:H$59)),"")</f>
        <v/>
      </c>
      <c r="D14" s="9">
        <f>IFERROR(SUMPRODUCT(('Sales Entry'!B$5:B$59=B14)*1),"")</f>
        <v/>
      </c>
      <c r="E14" s="10">
        <f>IFERROR(C14/D14,"")</f>
        <v/>
      </c>
      <c r="F14" s="10">
        <f>IFERROR(SUMPRODUCT(('Sales Entry'!B$5:B$59=B14)*('Sales Entry'!I$5:I$59="Cash")*('Sales Entry'!H$5:H$59)),"")</f>
        <v/>
      </c>
      <c r="G14" s="10">
        <f>IFERROR(SUMPRODUCT(('Sales Entry'!B$5:B$59=B14)*('Sales Entry'!I$5:I$59="Card")*('Sales Entry'!H$5:H$59)),"")</f>
        <v/>
      </c>
      <c r="H14" s="10">
        <f>IFERROR(SUMPRODUCT(('Sales Entry'!B$5:B$59=B14)*('Sales Entry'!I$5:I$59="Online")*('Sales Entry'!H$5:H$59)),"")</f>
        <v/>
      </c>
    </row>
    <row r="15" ht="22" customHeight="1">
      <c r="B15" s="3" t="n">
        <v>45668</v>
      </c>
      <c r="C15" s="6">
        <f>IFERROR(SUMPRODUCT(('Sales Entry'!B$5:B$59=B15)*('Sales Entry'!H$5:H$59)),"")</f>
        <v/>
      </c>
      <c r="D15" s="5">
        <f>IFERROR(SUMPRODUCT(('Sales Entry'!B$5:B$59=B15)*1),"")</f>
        <v/>
      </c>
      <c r="E15" s="6">
        <f>IFERROR(C15/D15,"")</f>
        <v/>
      </c>
      <c r="F15" s="6">
        <f>IFERROR(SUMPRODUCT(('Sales Entry'!B$5:B$59=B15)*('Sales Entry'!I$5:I$59="Cash")*('Sales Entry'!H$5:H$59)),"")</f>
        <v/>
      </c>
      <c r="G15" s="6">
        <f>IFERROR(SUMPRODUCT(('Sales Entry'!B$5:B$59=B15)*('Sales Entry'!I$5:I$59="Card")*('Sales Entry'!H$5:H$59)),"")</f>
        <v/>
      </c>
      <c r="H15" s="6">
        <f>IFERROR(SUMPRODUCT(('Sales Entry'!B$5:B$59=B15)*('Sales Entry'!I$5:I$59="Online")*('Sales Entry'!H$5:H$59)),"")</f>
        <v/>
      </c>
    </row>
    <row r="16" ht="22" customHeight="1">
      <c r="B16" s="7" t="n">
        <v>45669</v>
      </c>
      <c r="C16" s="10">
        <f>IFERROR(SUMPRODUCT(('Sales Entry'!B$5:B$59=B16)*('Sales Entry'!H$5:H$59)),"")</f>
        <v/>
      </c>
      <c r="D16" s="9">
        <f>IFERROR(SUMPRODUCT(('Sales Entry'!B$5:B$59=B16)*1),"")</f>
        <v/>
      </c>
      <c r="E16" s="10">
        <f>IFERROR(C16/D16,"")</f>
        <v/>
      </c>
      <c r="F16" s="10">
        <f>IFERROR(SUMPRODUCT(('Sales Entry'!B$5:B$59=B16)*('Sales Entry'!I$5:I$59="Cash")*('Sales Entry'!H$5:H$59)),"")</f>
        <v/>
      </c>
      <c r="G16" s="10">
        <f>IFERROR(SUMPRODUCT(('Sales Entry'!B$5:B$59=B16)*('Sales Entry'!I$5:I$59="Card")*('Sales Entry'!H$5:H$59)),"")</f>
        <v/>
      </c>
      <c r="H16" s="10">
        <f>IFERROR(SUMPRODUCT(('Sales Entry'!B$5:B$59=B16)*('Sales Entry'!I$5:I$59="Online")*('Sales Entry'!H$5:H$59)),"")</f>
        <v/>
      </c>
    </row>
    <row r="17" ht="22" customHeight="1">
      <c r="B17" s="3" t="n">
        <v>45670</v>
      </c>
      <c r="C17" s="6">
        <f>IFERROR(SUMPRODUCT(('Sales Entry'!B$5:B$59=B17)*('Sales Entry'!H$5:H$59)),"")</f>
        <v/>
      </c>
      <c r="D17" s="5">
        <f>IFERROR(SUMPRODUCT(('Sales Entry'!B$5:B$59=B17)*1),"")</f>
        <v/>
      </c>
      <c r="E17" s="6">
        <f>IFERROR(C17/D17,"")</f>
        <v/>
      </c>
      <c r="F17" s="6">
        <f>IFERROR(SUMPRODUCT(('Sales Entry'!B$5:B$59=B17)*('Sales Entry'!I$5:I$59="Cash")*('Sales Entry'!H$5:H$59)),"")</f>
        <v/>
      </c>
      <c r="G17" s="6">
        <f>IFERROR(SUMPRODUCT(('Sales Entry'!B$5:B$59=B17)*('Sales Entry'!I$5:I$59="Card")*('Sales Entry'!H$5:H$59)),"")</f>
        <v/>
      </c>
      <c r="H17" s="6">
        <f>IFERROR(SUMPRODUCT(('Sales Entry'!B$5:B$59=B17)*('Sales Entry'!I$5:I$59="Online")*('Sales Entry'!H$5:H$59)),"")</f>
        <v/>
      </c>
    </row>
    <row r="18" ht="22" customHeight="1">
      <c r="B18" s="7" t="n">
        <v>45671</v>
      </c>
      <c r="C18" s="10">
        <f>IFERROR(SUMPRODUCT(('Sales Entry'!B$5:B$59=B18)*('Sales Entry'!H$5:H$59)),"")</f>
        <v/>
      </c>
      <c r="D18" s="9">
        <f>IFERROR(SUMPRODUCT(('Sales Entry'!B$5:B$59=B18)*1),"")</f>
        <v/>
      </c>
      <c r="E18" s="10">
        <f>IFERROR(C18/D18,"")</f>
        <v/>
      </c>
      <c r="F18" s="10">
        <f>IFERROR(SUMPRODUCT(('Sales Entry'!B$5:B$59=B18)*('Sales Entry'!I$5:I$59="Cash")*('Sales Entry'!H$5:H$59)),"")</f>
        <v/>
      </c>
      <c r="G18" s="10">
        <f>IFERROR(SUMPRODUCT(('Sales Entry'!B$5:B$59=B18)*('Sales Entry'!I$5:I$59="Card")*('Sales Entry'!H$5:H$59)),"")</f>
        <v/>
      </c>
      <c r="H18" s="10">
        <f>IFERROR(SUMPRODUCT(('Sales Entry'!B$5:B$59=B18)*('Sales Entry'!I$5:I$59="Online")*('Sales Entry'!H$5:H$59)),"")</f>
        <v/>
      </c>
    </row>
    <row r="19" ht="22" customHeight="1">
      <c r="B19" s="3" t="n">
        <v>45672</v>
      </c>
      <c r="C19" s="6">
        <f>IFERROR(SUMPRODUCT(('Sales Entry'!B$5:B$59=B19)*('Sales Entry'!H$5:H$59)),"")</f>
        <v/>
      </c>
      <c r="D19" s="5">
        <f>IFERROR(SUMPRODUCT(('Sales Entry'!B$5:B$59=B19)*1),"")</f>
        <v/>
      </c>
      <c r="E19" s="6">
        <f>IFERROR(C19/D19,"")</f>
        <v/>
      </c>
      <c r="F19" s="6">
        <f>IFERROR(SUMPRODUCT(('Sales Entry'!B$5:B$59=B19)*('Sales Entry'!I$5:I$59="Cash")*('Sales Entry'!H$5:H$59)),"")</f>
        <v/>
      </c>
      <c r="G19" s="6">
        <f>IFERROR(SUMPRODUCT(('Sales Entry'!B$5:B$59=B19)*('Sales Entry'!I$5:I$59="Card")*('Sales Entry'!H$5:H$59)),"")</f>
        <v/>
      </c>
      <c r="H19" s="6">
        <f>IFERROR(SUMPRODUCT(('Sales Entry'!B$5:B$59=B19)*('Sales Entry'!I$5:I$59="Online")*('Sales Entry'!H$5:H$59)),"")</f>
        <v/>
      </c>
    </row>
    <row r="20" ht="22" customHeight="1">
      <c r="B20" s="7" t="n">
        <v>45673</v>
      </c>
      <c r="C20" s="10">
        <f>IFERROR(SUMPRODUCT(('Sales Entry'!B$5:B$59=B20)*('Sales Entry'!H$5:H$59)),"")</f>
        <v/>
      </c>
      <c r="D20" s="9">
        <f>IFERROR(SUMPRODUCT(('Sales Entry'!B$5:B$59=B20)*1),"")</f>
        <v/>
      </c>
      <c r="E20" s="10">
        <f>IFERROR(C20/D20,"")</f>
        <v/>
      </c>
      <c r="F20" s="10">
        <f>IFERROR(SUMPRODUCT(('Sales Entry'!B$5:B$59=B20)*('Sales Entry'!I$5:I$59="Cash")*('Sales Entry'!H$5:H$59)),"")</f>
        <v/>
      </c>
      <c r="G20" s="10">
        <f>IFERROR(SUMPRODUCT(('Sales Entry'!B$5:B$59=B20)*('Sales Entry'!I$5:I$59="Card")*('Sales Entry'!H$5:H$59)),"")</f>
        <v/>
      </c>
      <c r="H20" s="10">
        <f>IFERROR(SUMPRODUCT(('Sales Entry'!B$5:B$59=B20)*('Sales Entry'!I$5:I$59="Online")*('Sales Entry'!H$5:H$59)),"")</f>
        <v/>
      </c>
    </row>
    <row r="21" ht="22" customHeight="1">
      <c r="B21" s="3" t="n">
        <v>45674</v>
      </c>
      <c r="C21" s="6">
        <f>IFERROR(SUMPRODUCT(('Sales Entry'!B$5:B$59=B21)*('Sales Entry'!H$5:H$59)),"")</f>
        <v/>
      </c>
      <c r="D21" s="5">
        <f>IFERROR(SUMPRODUCT(('Sales Entry'!B$5:B$59=B21)*1),"")</f>
        <v/>
      </c>
      <c r="E21" s="6">
        <f>IFERROR(C21/D21,"")</f>
        <v/>
      </c>
      <c r="F21" s="6">
        <f>IFERROR(SUMPRODUCT(('Sales Entry'!B$5:B$59=B21)*('Sales Entry'!I$5:I$59="Cash")*('Sales Entry'!H$5:H$59)),"")</f>
        <v/>
      </c>
      <c r="G21" s="6">
        <f>IFERROR(SUMPRODUCT(('Sales Entry'!B$5:B$59=B21)*('Sales Entry'!I$5:I$59="Card")*('Sales Entry'!H$5:H$59)),"")</f>
        <v/>
      </c>
      <c r="H21" s="6">
        <f>IFERROR(SUMPRODUCT(('Sales Entry'!B$5:B$59=B21)*('Sales Entry'!I$5:I$59="Online")*('Sales Entry'!H$5:H$59)),"")</f>
        <v/>
      </c>
    </row>
    <row r="22" ht="22" customHeight="1">
      <c r="B22" s="7" t="n">
        <v>45675</v>
      </c>
      <c r="C22" s="10">
        <f>IFERROR(SUMPRODUCT(('Sales Entry'!B$5:B$59=B22)*('Sales Entry'!H$5:H$59)),"")</f>
        <v/>
      </c>
      <c r="D22" s="9">
        <f>IFERROR(SUMPRODUCT(('Sales Entry'!B$5:B$59=B22)*1),"")</f>
        <v/>
      </c>
      <c r="E22" s="10">
        <f>IFERROR(C22/D22,"")</f>
        <v/>
      </c>
      <c r="F22" s="10">
        <f>IFERROR(SUMPRODUCT(('Sales Entry'!B$5:B$59=B22)*('Sales Entry'!I$5:I$59="Cash")*('Sales Entry'!H$5:H$59)),"")</f>
        <v/>
      </c>
      <c r="G22" s="10">
        <f>IFERROR(SUMPRODUCT(('Sales Entry'!B$5:B$59=B22)*('Sales Entry'!I$5:I$59="Card")*('Sales Entry'!H$5:H$59)),"")</f>
        <v/>
      </c>
      <c r="H22" s="10">
        <f>IFERROR(SUMPRODUCT(('Sales Entry'!B$5:B$59=B22)*('Sales Entry'!I$5:I$59="Online")*('Sales Entry'!H$5:H$59)),"")</f>
        <v/>
      </c>
    </row>
    <row r="23" ht="22" customHeight="1">
      <c r="B23" s="3" t="n">
        <v>45676</v>
      </c>
      <c r="C23" s="6">
        <f>IFERROR(SUMPRODUCT(('Sales Entry'!B$5:B$59=B23)*('Sales Entry'!H$5:H$59)),"")</f>
        <v/>
      </c>
      <c r="D23" s="5">
        <f>IFERROR(SUMPRODUCT(('Sales Entry'!B$5:B$59=B23)*1),"")</f>
        <v/>
      </c>
      <c r="E23" s="6">
        <f>IFERROR(C23/D23,"")</f>
        <v/>
      </c>
      <c r="F23" s="6">
        <f>IFERROR(SUMPRODUCT(('Sales Entry'!B$5:B$59=B23)*('Sales Entry'!I$5:I$59="Cash")*('Sales Entry'!H$5:H$59)),"")</f>
        <v/>
      </c>
      <c r="G23" s="6">
        <f>IFERROR(SUMPRODUCT(('Sales Entry'!B$5:B$59=B23)*('Sales Entry'!I$5:I$59="Card")*('Sales Entry'!H$5:H$59)),"")</f>
        <v/>
      </c>
      <c r="H23" s="6">
        <f>IFERROR(SUMPRODUCT(('Sales Entry'!B$5:B$59=B23)*('Sales Entry'!I$5:I$59="Online")*('Sales Entry'!H$5:H$59)),"")</f>
        <v/>
      </c>
    </row>
    <row r="24" ht="22" customHeight="1">
      <c r="B24" s="7" t="n">
        <v>45677</v>
      </c>
      <c r="C24" s="10">
        <f>IFERROR(SUMPRODUCT(('Sales Entry'!B$5:B$59=B24)*('Sales Entry'!H$5:H$59)),"")</f>
        <v/>
      </c>
      <c r="D24" s="9">
        <f>IFERROR(SUMPRODUCT(('Sales Entry'!B$5:B$59=B24)*1),"")</f>
        <v/>
      </c>
      <c r="E24" s="10">
        <f>IFERROR(C24/D24,"")</f>
        <v/>
      </c>
      <c r="F24" s="10">
        <f>IFERROR(SUMPRODUCT(('Sales Entry'!B$5:B$59=B24)*('Sales Entry'!I$5:I$59="Cash")*('Sales Entry'!H$5:H$59)),"")</f>
        <v/>
      </c>
      <c r="G24" s="10">
        <f>IFERROR(SUMPRODUCT(('Sales Entry'!B$5:B$59=B24)*('Sales Entry'!I$5:I$59="Card")*('Sales Entry'!H$5:H$59)),"")</f>
        <v/>
      </c>
      <c r="H24" s="10">
        <f>IFERROR(SUMPRODUCT(('Sales Entry'!B$5:B$59=B24)*('Sales Entry'!I$5:I$59="Online")*('Sales Entry'!H$5:H$59)),"")</f>
        <v/>
      </c>
    </row>
    <row r="25" ht="22" customHeight="1">
      <c r="B25" s="3" t="n">
        <v>45678</v>
      </c>
      <c r="C25" s="6">
        <f>IFERROR(SUMPRODUCT(('Sales Entry'!B$5:B$59=B25)*('Sales Entry'!H$5:H$59)),"")</f>
        <v/>
      </c>
      <c r="D25" s="5">
        <f>IFERROR(SUMPRODUCT(('Sales Entry'!B$5:B$59=B25)*1),"")</f>
        <v/>
      </c>
      <c r="E25" s="6">
        <f>IFERROR(C25/D25,"")</f>
        <v/>
      </c>
      <c r="F25" s="6">
        <f>IFERROR(SUMPRODUCT(('Sales Entry'!B$5:B$59=B25)*('Sales Entry'!I$5:I$59="Cash")*('Sales Entry'!H$5:H$59)),"")</f>
        <v/>
      </c>
      <c r="G25" s="6">
        <f>IFERROR(SUMPRODUCT(('Sales Entry'!B$5:B$59=B25)*('Sales Entry'!I$5:I$59="Card")*('Sales Entry'!H$5:H$59)),"")</f>
        <v/>
      </c>
      <c r="H25" s="6">
        <f>IFERROR(SUMPRODUCT(('Sales Entry'!B$5:B$59=B25)*('Sales Entry'!I$5:I$59="Online")*('Sales Entry'!H$5:H$59)),"")</f>
        <v/>
      </c>
    </row>
    <row r="26" ht="22" customHeight="1">
      <c r="B26" s="7" t="n">
        <v>45679</v>
      </c>
      <c r="C26" s="10">
        <f>IFERROR(SUMPRODUCT(('Sales Entry'!B$5:B$59=B26)*('Sales Entry'!H$5:H$59)),"")</f>
        <v/>
      </c>
      <c r="D26" s="9">
        <f>IFERROR(SUMPRODUCT(('Sales Entry'!B$5:B$59=B26)*1),"")</f>
        <v/>
      </c>
      <c r="E26" s="10">
        <f>IFERROR(C26/D26,"")</f>
        <v/>
      </c>
      <c r="F26" s="10">
        <f>IFERROR(SUMPRODUCT(('Sales Entry'!B$5:B$59=B26)*('Sales Entry'!I$5:I$59="Cash")*('Sales Entry'!H$5:H$59)),"")</f>
        <v/>
      </c>
      <c r="G26" s="10">
        <f>IFERROR(SUMPRODUCT(('Sales Entry'!B$5:B$59=B26)*('Sales Entry'!I$5:I$59="Card")*('Sales Entry'!H$5:H$59)),"")</f>
        <v/>
      </c>
      <c r="H26" s="10">
        <f>IFERROR(SUMPRODUCT(('Sales Entry'!B$5:B$59=B26)*('Sales Entry'!I$5:I$59="Online")*('Sales Entry'!H$5:H$59)),"")</f>
        <v/>
      </c>
    </row>
    <row r="27" ht="22" customHeight="1">
      <c r="B27" s="3" t="n">
        <v>45680</v>
      </c>
      <c r="C27" s="6">
        <f>IFERROR(SUMPRODUCT(('Sales Entry'!B$5:B$59=B27)*('Sales Entry'!H$5:H$59)),"")</f>
        <v/>
      </c>
      <c r="D27" s="5">
        <f>IFERROR(SUMPRODUCT(('Sales Entry'!B$5:B$59=B27)*1),"")</f>
        <v/>
      </c>
      <c r="E27" s="6">
        <f>IFERROR(C27/D27,"")</f>
        <v/>
      </c>
      <c r="F27" s="6">
        <f>IFERROR(SUMPRODUCT(('Sales Entry'!B$5:B$59=B27)*('Sales Entry'!I$5:I$59="Cash")*('Sales Entry'!H$5:H$59)),"")</f>
        <v/>
      </c>
      <c r="G27" s="6">
        <f>IFERROR(SUMPRODUCT(('Sales Entry'!B$5:B$59=B27)*('Sales Entry'!I$5:I$59="Card")*('Sales Entry'!H$5:H$59)),"")</f>
        <v/>
      </c>
      <c r="H27" s="6">
        <f>IFERROR(SUMPRODUCT(('Sales Entry'!B$5:B$59=B27)*('Sales Entry'!I$5:I$59="Online")*('Sales Entry'!H$5:H$59)),"")</f>
        <v/>
      </c>
    </row>
    <row r="28" ht="22" customHeight="1">
      <c r="B28" s="7" t="n">
        <v>45681</v>
      </c>
      <c r="C28" s="10">
        <f>IFERROR(SUMPRODUCT(('Sales Entry'!B$5:B$59=B28)*('Sales Entry'!H$5:H$59)),"")</f>
        <v/>
      </c>
      <c r="D28" s="9">
        <f>IFERROR(SUMPRODUCT(('Sales Entry'!B$5:B$59=B28)*1),"")</f>
        <v/>
      </c>
      <c r="E28" s="10">
        <f>IFERROR(C28/D28,"")</f>
        <v/>
      </c>
      <c r="F28" s="10">
        <f>IFERROR(SUMPRODUCT(('Sales Entry'!B$5:B$59=B28)*('Sales Entry'!I$5:I$59="Cash")*('Sales Entry'!H$5:H$59)),"")</f>
        <v/>
      </c>
      <c r="G28" s="10">
        <f>IFERROR(SUMPRODUCT(('Sales Entry'!B$5:B$59=B28)*('Sales Entry'!I$5:I$59="Card")*('Sales Entry'!H$5:H$59)),"")</f>
        <v/>
      </c>
      <c r="H28" s="10">
        <f>IFERROR(SUMPRODUCT(('Sales Entry'!B$5:B$59=B28)*('Sales Entry'!I$5:I$59="Online")*('Sales Entry'!H$5:H$59)),"")</f>
        <v/>
      </c>
    </row>
    <row r="29" ht="22" customHeight="1">
      <c r="B29" s="3" t="n">
        <v>45682</v>
      </c>
      <c r="C29" s="6">
        <f>IFERROR(SUMPRODUCT(('Sales Entry'!B$5:B$59=B29)*('Sales Entry'!H$5:H$59)),"")</f>
        <v/>
      </c>
      <c r="D29" s="5">
        <f>IFERROR(SUMPRODUCT(('Sales Entry'!B$5:B$59=B29)*1),"")</f>
        <v/>
      </c>
      <c r="E29" s="6">
        <f>IFERROR(C29/D29,"")</f>
        <v/>
      </c>
      <c r="F29" s="6">
        <f>IFERROR(SUMPRODUCT(('Sales Entry'!B$5:B$59=B29)*('Sales Entry'!I$5:I$59="Cash")*('Sales Entry'!H$5:H$59)),"")</f>
        <v/>
      </c>
      <c r="G29" s="6">
        <f>IFERROR(SUMPRODUCT(('Sales Entry'!B$5:B$59=B29)*('Sales Entry'!I$5:I$59="Card")*('Sales Entry'!H$5:H$59)),"")</f>
        <v/>
      </c>
      <c r="H29" s="6">
        <f>IFERROR(SUMPRODUCT(('Sales Entry'!B$5:B$59=B29)*('Sales Entry'!I$5:I$59="Online")*('Sales Entry'!H$5:H$59)),"")</f>
        <v/>
      </c>
    </row>
    <row r="30" ht="22" customHeight="1">
      <c r="B30" s="7" t="n">
        <v>45683</v>
      </c>
      <c r="C30" s="10">
        <f>IFERROR(SUMPRODUCT(('Sales Entry'!B$5:B$59=B30)*('Sales Entry'!H$5:H$59)),"")</f>
        <v/>
      </c>
      <c r="D30" s="9">
        <f>IFERROR(SUMPRODUCT(('Sales Entry'!B$5:B$59=B30)*1),"")</f>
        <v/>
      </c>
      <c r="E30" s="10">
        <f>IFERROR(C30/D30,"")</f>
        <v/>
      </c>
      <c r="F30" s="10">
        <f>IFERROR(SUMPRODUCT(('Sales Entry'!B$5:B$59=B30)*('Sales Entry'!I$5:I$59="Cash")*('Sales Entry'!H$5:H$59)),"")</f>
        <v/>
      </c>
      <c r="G30" s="10">
        <f>IFERROR(SUMPRODUCT(('Sales Entry'!B$5:B$59=B30)*('Sales Entry'!I$5:I$59="Card")*('Sales Entry'!H$5:H$59)),"")</f>
        <v/>
      </c>
      <c r="H30" s="10">
        <f>IFERROR(SUMPRODUCT(('Sales Entry'!B$5:B$59=B30)*('Sales Entry'!I$5:I$59="Online")*('Sales Entry'!H$5:H$59)),"")</f>
        <v/>
      </c>
    </row>
    <row r="31" ht="22" customHeight="1">
      <c r="B31" s="3" t="n">
        <v>45684</v>
      </c>
      <c r="C31" s="6">
        <f>IFERROR(SUMPRODUCT(('Sales Entry'!B$5:B$59=B31)*('Sales Entry'!H$5:H$59)),"")</f>
        <v/>
      </c>
      <c r="D31" s="5">
        <f>IFERROR(SUMPRODUCT(('Sales Entry'!B$5:B$59=B31)*1),"")</f>
        <v/>
      </c>
      <c r="E31" s="6">
        <f>IFERROR(C31/D31,"")</f>
        <v/>
      </c>
      <c r="F31" s="6">
        <f>IFERROR(SUMPRODUCT(('Sales Entry'!B$5:B$59=B31)*('Sales Entry'!I$5:I$59="Cash")*('Sales Entry'!H$5:H$59)),"")</f>
        <v/>
      </c>
      <c r="G31" s="6">
        <f>IFERROR(SUMPRODUCT(('Sales Entry'!B$5:B$59=B31)*('Sales Entry'!I$5:I$59="Card")*('Sales Entry'!H$5:H$59)),"")</f>
        <v/>
      </c>
      <c r="H31" s="6">
        <f>IFERROR(SUMPRODUCT(('Sales Entry'!B$5:B$59=B31)*('Sales Entry'!I$5:I$59="Online")*('Sales Entry'!H$5:H$59)),"")</f>
        <v/>
      </c>
    </row>
    <row r="32" ht="22" customHeight="1">
      <c r="B32" s="7" t="n">
        <v>45685</v>
      </c>
      <c r="C32" s="10">
        <f>IFERROR(SUMPRODUCT(('Sales Entry'!B$5:B$59=B32)*('Sales Entry'!H$5:H$59)),"")</f>
        <v/>
      </c>
      <c r="D32" s="9">
        <f>IFERROR(SUMPRODUCT(('Sales Entry'!B$5:B$59=B32)*1),"")</f>
        <v/>
      </c>
      <c r="E32" s="10">
        <f>IFERROR(C32/D32,"")</f>
        <v/>
      </c>
      <c r="F32" s="10">
        <f>IFERROR(SUMPRODUCT(('Sales Entry'!B$5:B$59=B32)*('Sales Entry'!I$5:I$59="Cash")*('Sales Entry'!H$5:H$59)),"")</f>
        <v/>
      </c>
      <c r="G32" s="10">
        <f>IFERROR(SUMPRODUCT(('Sales Entry'!B$5:B$59=B32)*('Sales Entry'!I$5:I$59="Card")*('Sales Entry'!H$5:H$59)),"")</f>
        <v/>
      </c>
      <c r="H32" s="10">
        <f>IFERROR(SUMPRODUCT(('Sales Entry'!B$5:B$59=B32)*('Sales Entry'!I$5:I$59="Online")*('Sales Entry'!H$5:H$59)),"")</f>
        <v/>
      </c>
    </row>
    <row r="33" ht="22" customHeight="1">
      <c r="B33" s="3" t="n">
        <v>45686</v>
      </c>
      <c r="C33" s="6">
        <f>IFERROR(SUMPRODUCT(('Sales Entry'!B$5:B$59=B33)*('Sales Entry'!H$5:H$59)),"")</f>
        <v/>
      </c>
      <c r="D33" s="5">
        <f>IFERROR(SUMPRODUCT(('Sales Entry'!B$5:B$59=B33)*1),"")</f>
        <v/>
      </c>
      <c r="E33" s="6">
        <f>IFERROR(C33/D33,"")</f>
        <v/>
      </c>
      <c r="F33" s="6">
        <f>IFERROR(SUMPRODUCT(('Sales Entry'!B$5:B$59=B33)*('Sales Entry'!I$5:I$59="Cash")*('Sales Entry'!H$5:H$59)),"")</f>
        <v/>
      </c>
      <c r="G33" s="6">
        <f>IFERROR(SUMPRODUCT(('Sales Entry'!B$5:B$59=B33)*('Sales Entry'!I$5:I$59="Card")*('Sales Entry'!H$5:H$59)),"")</f>
        <v/>
      </c>
      <c r="H33" s="6">
        <f>IFERROR(SUMPRODUCT(('Sales Entry'!B$5:B$59=B33)*('Sales Entry'!I$5:I$59="Online")*('Sales Entry'!H$5:H$59)),"")</f>
        <v/>
      </c>
    </row>
    <row r="34" ht="22" customHeight="1">
      <c r="B34" s="7" t="n">
        <v>45687</v>
      </c>
      <c r="C34" s="10">
        <f>IFERROR(SUMPRODUCT(('Sales Entry'!B$5:B$59=B34)*('Sales Entry'!H$5:H$59)),"")</f>
        <v/>
      </c>
      <c r="D34" s="9">
        <f>IFERROR(SUMPRODUCT(('Sales Entry'!B$5:B$59=B34)*1),"")</f>
        <v/>
      </c>
      <c r="E34" s="10">
        <f>IFERROR(C34/D34,"")</f>
        <v/>
      </c>
      <c r="F34" s="10">
        <f>IFERROR(SUMPRODUCT(('Sales Entry'!B$5:B$59=B34)*('Sales Entry'!I$5:I$59="Cash")*('Sales Entry'!H$5:H$59)),"")</f>
        <v/>
      </c>
      <c r="G34" s="10">
        <f>IFERROR(SUMPRODUCT(('Sales Entry'!B$5:B$59=B34)*('Sales Entry'!I$5:I$59="Card")*('Sales Entry'!H$5:H$59)),"")</f>
        <v/>
      </c>
      <c r="H34" s="10">
        <f>IFERROR(SUMPRODUCT(('Sales Entry'!B$5:B$59=B34)*('Sales Entry'!I$5:I$59="Online")*('Sales Entry'!H$5:H$59)),"")</f>
        <v/>
      </c>
    </row>
    <row r="35" ht="22" customHeight="1">
      <c r="B35" s="3" t="n">
        <v>45688</v>
      </c>
      <c r="C35" s="6">
        <f>IFERROR(SUMPRODUCT(('Sales Entry'!B$5:B$59=B35)*('Sales Entry'!H$5:H$59)),"")</f>
        <v/>
      </c>
      <c r="D35" s="5">
        <f>IFERROR(SUMPRODUCT(('Sales Entry'!B$5:B$59=B35)*1),"")</f>
        <v/>
      </c>
      <c r="E35" s="6">
        <f>IFERROR(C35/D35,"")</f>
        <v/>
      </c>
      <c r="F35" s="6">
        <f>IFERROR(SUMPRODUCT(('Sales Entry'!B$5:B$59=B35)*('Sales Entry'!I$5:I$59="Cash")*('Sales Entry'!H$5:H$59)),"")</f>
        <v/>
      </c>
      <c r="G35" s="6">
        <f>IFERROR(SUMPRODUCT(('Sales Entry'!B$5:B$59=B35)*('Sales Entry'!I$5:I$59="Card")*('Sales Entry'!H$5:H$59)),"")</f>
        <v/>
      </c>
      <c r="H35" s="6">
        <f>IFERROR(SUMPRODUCT(('Sales Entry'!B$5:B$59=B35)*('Sales Entry'!I$5:I$59="Online")*('Sales Entry'!H$5:H$59)),"")</f>
        <v/>
      </c>
    </row>
    <row r="36" ht="26" customHeight="1">
      <c r="B36" s="11" t="inlineStr">
        <is>
          <t>TOTALS</t>
        </is>
      </c>
      <c r="C36" s="14">
        <f>IFERROR(SUM(C5:C35),"")</f>
        <v/>
      </c>
      <c r="D36" s="13">
        <f>IFERROR(SUM(D5:D35),"")</f>
        <v/>
      </c>
      <c r="E36" s="14">
        <f>IFERROR(C36/D36,"")</f>
        <v/>
      </c>
      <c r="F36" s="14">
        <f>IFERROR(SUM(F5:F35),"")</f>
        <v/>
      </c>
      <c r="G36" s="14">
        <f>IFERROR(SUM(G5:G35),"")</f>
        <v/>
      </c>
      <c r="H36" s="14">
        <f>IFERROR(SUM(H5:H35),"")</f>
        <v/>
      </c>
    </row>
  </sheetData>
  <mergeCells count="1">
    <mergeCell ref="B2:H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14" customWidth="1" min="7" max="7"/>
  </cols>
  <sheetData>
    <row r="1" ht="15" customHeight="1"/>
    <row r="2" ht="32" customHeight="1">
      <c r="B2" s="1" t="inlineStr">
        <is>
          <t>Weekly Summary</t>
        </is>
      </c>
    </row>
    <row r="3" ht="8" customHeight="1"/>
    <row r="4" ht="28" customHeight="1">
      <c r="B4" s="2" t="inlineStr">
        <is>
          <t>Week #</t>
        </is>
      </c>
      <c r="C4" s="2" t="inlineStr">
        <is>
          <t>Week Start Date</t>
        </is>
      </c>
      <c r="D4" s="2" t="inlineStr">
        <is>
          <t>Week End Date</t>
        </is>
      </c>
      <c r="E4" s="2" t="inlineStr">
        <is>
          <t>Total Sales</t>
        </is>
      </c>
      <c r="F4" s="2" t="inlineStr">
        <is>
          <t># Transactions</t>
        </is>
      </c>
      <c r="G4" s="2" t="inlineStr">
        <is>
          <t>Avg Transaction</t>
        </is>
      </c>
    </row>
    <row r="5" ht="22" customHeight="1">
      <c r="B5" s="5" t="n">
        <v>1</v>
      </c>
      <c r="C5" s="3" t="n">
        <v>45658</v>
      </c>
      <c r="D5" s="3" t="n">
        <v>45662</v>
      </c>
      <c r="E5" s="6">
        <f>IFERROR(SUMPRODUCT(('Daily Summary'!B$5:B$35&gt;=C5)*('Daily Summary'!B$5:B$35&lt;=D5)*('Daily Summary'!C$5:C$35)),"")</f>
        <v/>
      </c>
      <c r="F5" s="5">
        <f>IFERROR(SUMPRODUCT(('Daily Summary'!B$5:B$35&gt;=C5)*('Daily Summary'!B$5:B$35&lt;=D5)*('Daily Summary'!D$5:D$35)),"")</f>
        <v/>
      </c>
      <c r="G5" s="6">
        <f>IFERROR(E5/F5,"")</f>
        <v/>
      </c>
    </row>
    <row r="6" ht="22" customHeight="1">
      <c r="B6" s="9" t="n">
        <v>2</v>
      </c>
      <c r="C6" s="7" t="n">
        <v>45663</v>
      </c>
      <c r="D6" s="7" t="n">
        <v>45669</v>
      </c>
      <c r="E6" s="10">
        <f>IFERROR(SUMPRODUCT(('Daily Summary'!B$5:B$35&gt;=C6)*('Daily Summary'!B$5:B$35&lt;=D6)*('Daily Summary'!C$5:C$35)),"")</f>
        <v/>
      </c>
      <c r="F6" s="9">
        <f>IFERROR(SUMPRODUCT(('Daily Summary'!B$5:B$35&gt;=C6)*('Daily Summary'!B$5:B$35&lt;=D6)*('Daily Summary'!D$5:D$35)),"")</f>
        <v/>
      </c>
      <c r="G6" s="10">
        <f>IFERROR(E6/F6,"")</f>
        <v/>
      </c>
    </row>
    <row r="7" ht="22" customHeight="1">
      <c r="B7" s="5" t="n">
        <v>3</v>
      </c>
      <c r="C7" s="3" t="n">
        <v>45670</v>
      </c>
      <c r="D7" s="3" t="n">
        <v>45676</v>
      </c>
      <c r="E7" s="6">
        <f>IFERROR(SUMPRODUCT(('Daily Summary'!B$5:B$35&gt;=C7)*('Daily Summary'!B$5:B$35&lt;=D7)*('Daily Summary'!C$5:C$35)),"")</f>
        <v/>
      </c>
      <c r="F7" s="5">
        <f>IFERROR(SUMPRODUCT(('Daily Summary'!B$5:B$35&gt;=C7)*('Daily Summary'!B$5:B$35&lt;=D7)*('Daily Summary'!D$5:D$35)),"")</f>
        <v/>
      </c>
      <c r="G7" s="6">
        <f>IFERROR(E7/F7,"")</f>
        <v/>
      </c>
    </row>
    <row r="8" ht="22" customHeight="1">
      <c r="B8" s="9" t="n">
        <v>4</v>
      </c>
      <c r="C8" s="7" t="n">
        <v>45677</v>
      </c>
      <c r="D8" s="7" t="n">
        <v>45683</v>
      </c>
      <c r="E8" s="10">
        <f>IFERROR(SUMPRODUCT(('Daily Summary'!B$5:B$35&gt;=C8)*('Daily Summary'!B$5:B$35&lt;=D8)*('Daily Summary'!C$5:C$35)),"")</f>
        <v/>
      </c>
      <c r="F8" s="9">
        <f>IFERROR(SUMPRODUCT(('Daily Summary'!B$5:B$35&gt;=C8)*('Daily Summary'!B$5:B$35&lt;=D8)*('Daily Summary'!D$5:D$35)),"")</f>
        <v/>
      </c>
      <c r="G8" s="10">
        <f>IFERROR(E8/F8,"")</f>
        <v/>
      </c>
    </row>
    <row r="9" ht="22" customHeight="1">
      <c r="B9" s="5" t="n">
        <v>5</v>
      </c>
      <c r="C9" s="3" t="n">
        <v>45684</v>
      </c>
      <c r="D9" s="3" t="n">
        <v>45688</v>
      </c>
      <c r="E9" s="6">
        <f>IFERROR(SUMPRODUCT(('Daily Summary'!B$5:B$35&gt;=C9)*('Daily Summary'!B$5:B$35&lt;=D9)*('Daily Summary'!C$5:C$35)),"")</f>
        <v/>
      </c>
      <c r="F9" s="5">
        <f>IFERROR(SUMPRODUCT(('Daily Summary'!B$5:B$35&gt;=C9)*('Daily Summary'!B$5:B$35&lt;=D9)*('Daily Summary'!D$5:D$35)),"")</f>
        <v/>
      </c>
      <c r="G9" s="6">
        <f>IFERROR(E9/F9,"")</f>
        <v/>
      </c>
    </row>
    <row r="10" ht="26" customHeight="1">
      <c r="B10" s="11" t="inlineStr">
        <is>
          <t>TOTALS</t>
        </is>
      </c>
      <c r="C10" s="12" t="n"/>
      <c r="D10" s="12" t="n"/>
      <c r="E10" s="14">
        <f>IFERROR(SUM(E5:E9),"")</f>
        <v/>
      </c>
      <c r="F10" s="13">
        <f>IFERROR(SUM(F5:F9),"")</f>
        <v/>
      </c>
      <c r="G10" s="14">
        <f>IFERROR(E10/F10,"")</f>
        <v/>
      </c>
    </row>
  </sheetData>
  <mergeCells count="1">
    <mergeCell ref="B2:G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Monthly Summary</t>
        </is>
      </c>
    </row>
    <row r="3" ht="8" customHeight="1"/>
    <row r="4" ht="28" customHeight="1">
      <c r="B4" s="2" t="inlineStr">
        <is>
          <t>Month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Best Day Sales</t>
        </is>
      </c>
      <c r="G4" s="2" t="inlineStr">
        <is>
          <t>Best Day Date</t>
        </is>
      </c>
    </row>
    <row r="5" ht="22" customHeight="1">
      <c r="B5" s="4" t="inlineStr">
        <is>
          <t>January 2025</t>
        </is>
      </c>
      <c r="C5" s="6">
        <f>IFERROR(SUMPRODUCT(('Daily Summary'!C$5:C$35)),"")</f>
        <v/>
      </c>
      <c r="D5" s="5">
        <f>IFERROR(SUMPRODUCT(('Daily Summary'!D$5:D$35)),"")</f>
        <v/>
      </c>
      <c r="E5" s="6">
        <f>IFERROR(C5/D5,"")</f>
        <v/>
      </c>
      <c r="F5" s="6">
        <f>IFERROR(MAX('Daily Summary'!C$5:C$35),"")</f>
        <v/>
      </c>
      <c r="G5" s="3">
        <f>IFERROR(SUMPRODUCT(('Daily Summary'!C$5:C$35=F5)*('Daily Summary'!B$5:B$35)),"")</f>
        <v/>
      </c>
    </row>
    <row r="6" ht="26" customHeight="1">
      <c r="B6" s="11" t="inlineStr">
        <is>
          <t>TOTALS</t>
        </is>
      </c>
      <c r="C6" s="14">
        <f>IFERROR(SUM(C5:C5),"")</f>
        <v/>
      </c>
      <c r="D6" s="13">
        <f>IFERROR(SUM(D5:D5),"")</f>
        <v/>
      </c>
      <c r="E6" s="14">
        <f>IFERROR(C6/D6,"")</f>
        <v/>
      </c>
      <c r="F6" s="12" t="inlineStr"/>
      <c r="G6" s="12" t="inlineStr"/>
    </row>
  </sheetData>
  <mergeCells count="1">
    <mergeCell ref="B2:G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3" customWidth="1" min="4" max="4"/>
    <col width="28" customWidth="1" min="5" max="5"/>
    <col width="10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Al Madina Restaurant</t>
        </is>
      </c>
    </row>
    <row r="3" ht="8" customHeight="1">
      <c r="B3" s="15" t="inlineStr">
        <is>
          <t>Al Quoz Industrial Area 3, Dubai, UAE  |  Tel: +971 4 123 4567  |  info@almadina.ae</t>
        </is>
      </c>
    </row>
    <row r="4" ht="8" customHeight="1"/>
    <row r="5" ht="36" customHeight="1">
      <c r="B5" s="16" t="inlineStr">
        <is>
          <t>INVOICE</t>
        </is>
      </c>
    </row>
    <row r="6" ht="4" customHeight="1"/>
    <row r="7">
      <c r="B7" s="17" t="inlineStr">
        <is>
          <t>Invoice #</t>
        </is>
      </c>
      <c r="C7" s="18" t="inlineStr">
        <is>
          <t>INV-0025</t>
        </is>
      </c>
    </row>
    <row r="8">
      <c r="B8" s="17" t="inlineStr">
        <is>
          <t>Date</t>
        </is>
      </c>
      <c r="C8" s="19" t="n">
        <v>45672</v>
      </c>
    </row>
    <row r="9">
      <c r="B9" s="17" t="inlineStr">
        <is>
          <t>Customer</t>
        </is>
      </c>
      <c r="C9" s="18" t="inlineStr">
        <is>
          <t>Walk-in</t>
        </is>
      </c>
    </row>
    <row r="10">
      <c r="B10" s="17" t="inlineStr">
        <is>
          <t>Payment</t>
        </is>
      </c>
      <c r="C10" s="18" t="inlineStr">
        <is>
          <t>Cash</t>
        </is>
      </c>
    </row>
    <row r="11" ht="8" customHeight="1"/>
    <row r="12" ht="28" customHeight="1">
      <c r="E12" s="2" t="inlineStr">
        <is>
          <t>Item</t>
        </is>
      </c>
      <c r="F12" s="2" t="inlineStr">
        <is>
          <t>Qty</t>
        </is>
      </c>
      <c r="G12" s="2" t="inlineStr">
        <is>
          <t>Price (AED)</t>
        </is>
      </c>
      <c r="H12" s="2" t="inlineStr">
        <is>
          <t>Total (AED)</t>
        </is>
      </c>
    </row>
    <row r="13" ht="22" customHeight="1">
      <c r="E13" s="4" t="inlineStr">
        <is>
          <t>Coffee</t>
        </is>
      </c>
      <c r="F13" s="5" t="n">
        <v>2</v>
      </c>
      <c r="G13" s="6" t="n">
        <v>15</v>
      </c>
      <c r="H13" s="6">
        <f>IFERROR(F13*G13,"")</f>
        <v/>
      </c>
    </row>
    <row r="14" ht="22" customHeight="1">
      <c r="E14" s="8" t="inlineStr">
        <is>
          <t>Sandwich</t>
        </is>
      </c>
      <c r="F14" s="9" t="n">
        <v>1</v>
      </c>
      <c r="G14" s="10" t="n">
        <v>25</v>
      </c>
      <c r="H14" s="10">
        <f>IFERROR(F14*G14,"")</f>
        <v/>
      </c>
    </row>
    <row r="15" ht="22" customHeight="1">
      <c r="E15" s="4" t="inlineStr">
        <is>
          <t>Salad</t>
        </is>
      </c>
      <c r="F15" s="5" t="n">
        <v>1</v>
      </c>
      <c r="G15" s="6" t="n">
        <v>30</v>
      </c>
      <c r="H15" s="6">
        <f>IFERROR(F15*G15,"")</f>
        <v/>
      </c>
    </row>
    <row r="16" ht="22" customHeight="1">
      <c r="E16" s="8" t="inlineStr">
        <is>
          <t>Fresh Juice</t>
        </is>
      </c>
      <c r="F16" s="9" t="n">
        <v>2</v>
      </c>
      <c r="G16" s="10" t="n">
        <v>18</v>
      </c>
      <c r="H16" s="10">
        <f>IFERROR(F16*G16,"")</f>
        <v/>
      </c>
    </row>
    <row r="17" ht="22" customHeight="1">
      <c r="E17" s="4" t="inlineStr">
        <is>
          <t>Cake</t>
        </is>
      </c>
      <c r="F17" s="5" t="n">
        <v>1</v>
      </c>
      <c r="G17" s="6" t="n">
        <v>22</v>
      </c>
      <c r="H17" s="6">
        <f>IFERROR(F17*G17,"")</f>
        <v/>
      </c>
    </row>
    <row r="18" ht="8" customHeight="1"/>
    <row r="19">
      <c r="G19" s="20" t="inlineStr">
        <is>
          <t>Subtotal</t>
        </is>
      </c>
      <c r="H19" s="21">
        <f>IFERROR(SUM(H13:H17),"")</f>
        <v/>
      </c>
    </row>
    <row r="20">
      <c r="G20" s="20" t="inlineStr">
        <is>
          <t>VAT 5%</t>
        </is>
      </c>
      <c r="H20" s="21">
        <f>IFERROR(H19*0.05,"")</f>
        <v/>
      </c>
    </row>
    <row r="21">
      <c r="G21" s="13" t="inlineStr">
        <is>
          <t>Grand Total</t>
        </is>
      </c>
      <c r="H21" s="14">
        <f>IFERROR(H19+H20,"")</f>
        <v/>
      </c>
    </row>
    <row r="22" ht="8" customHeight="1"/>
    <row r="23">
      <c r="B23" s="22" t="inlineStr">
        <is>
          <t>Thank you for dining with us!</t>
        </is>
      </c>
    </row>
    <row r="24">
      <c r="B24" s="22" t="inlineStr">
        <is>
          <t>TRN: 10001 23456 7890 1234  |  VAT Registration No: AE123456789012345</t>
        </is>
      </c>
    </row>
  </sheetData>
  <mergeCells count="5">
    <mergeCell ref="B24:H24"/>
    <mergeCell ref="B2:H2"/>
    <mergeCell ref="B3:H3"/>
    <mergeCell ref="B5:H5"/>
    <mergeCell ref="B23:H23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32" customWidth="1" min="6" max="6"/>
  </cols>
  <sheetData>
    <row r="1" ht="15" customHeight="1"/>
    <row r="2" ht="32" customHeight="1">
      <c r="B2" s="1" t="inlineStr">
        <is>
          <t>Product List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Description</t>
        </is>
      </c>
    </row>
    <row r="5" ht="22" customHeight="1">
      <c r="B5" s="4" t="inlineStr">
        <is>
          <t>P001</t>
        </is>
      </c>
      <c r="C5" s="4" t="inlineStr">
        <is>
          <t>Coffee</t>
        </is>
      </c>
      <c r="D5" s="4" t="inlineStr">
        <is>
          <t>Beverages</t>
        </is>
      </c>
      <c r="E5" s="6" t="n">
        <v>15</v>
      </c>
      <c r="F5" s="4" t="inlineStr">
        <is>
          <t>Freshly brewed Arabic coffee</t>
        </is>
      </c>
    </row>
    <row r="6" ht="22" customHeight="1">
      <c r="B6" s="8" t="inlineStr">
        <is>
          <t>P002</t>
        </is>
      </c>
      <c r="C6" s="8" t="inlineStr">
        <is>
          <t>Tea</t>
        </is>
      </c>
      <c r="D6" s="8" t="inlineStr">
        <is>
          <t>Beverages</t>
        </is>
      </c>
      <c r="E6" s="10" t="n">
        <v>10</v>
      </c>
      <c r="F6" s="8" t="inlineStr">
        <is>
          <t>Karak chai with spices</t>
        </is>
      </c>
    </row>
    <row r="7" ht="22" customHeight="1">
      <c r="B7" s="4" t="inlineStr">
        <is>
          <t>P003</t>
        </is>
      </c>
      <c r="C7" s="4" t="inlineStr">
        <is>
          <t>Fresh Juice</t>
        </is>
      </c>
      <c r="D7" s="4" t="inlineStr">
        <is>
          <t>Beverages</t>
        </is>
      </c>
      <c r="E7" s="6" t="n">
        <v>18</v>
      </c>
      <c r="F7" s="4" t="inlineStr">
        <is>
          <t>Freshly squeezed orange juice</t>
        </is>
      </c>
    </row>
    <row r="8" ht="22" customHeight="1">
      <c r="B8" s="8" t="inlineStr">
        <is>
          <t>P004</t>
        </is>
      </c>
      <c r="C8" s="8" t="inlineStr">
        <is>
          <t>Smoothie</t>
        </is>
      </c>
      <c r="D8" s="8" t="inlineStr">
        <is>
          <t>Beverages</t>
        </is>
      </c>
      <c r="E8" s="10" t="n">
        <v>22</v>
      </c>
      <c r="F8" s="8" t="inlineStr">
        <is>
          <t>Mixed berry smoothie</t>
        </is>
      </c>
    </row>
    <row r="9" ht="22" customHeight="1">
      <c r="B9" s="4" t="inlineStr">
        <is>
          <t>P005</t>
        </is>
      </c>
      <c r="C9" s="4" t="inlineStr">
        <is>
          <t>Water</t>
        </is>
      </c>
      <c r="D9" s="4" t="inlineStr">
        <is>
          <t>Beverages</t>
        </is>
      </c>
      <c r="E9" s="6" t="n">
        <v>5</v>
      </c>
      <c r="F9" s="4" t="inlineStr">
        <is>
          <t>Mineral water 500ml</t>
        </is>
      </c>
    </row>
    <row r="10" ht="22" customHeight="1">
      <c r="B10" s="8" t="inlineStr">
        <is>
          <t>P006</t>
        </is>
      </c>
      <c r="C10" s="8" t="inlineStr">
        <is>
          <t>Soft Drink</t>
        </is>
      </c>
      <c r="D10" s="8" t="inlineStr">
        <is>
          <t>Beverages</t>
        </is>
      </c>
      <c r="E10" s="10" t="n">
        <v>8</v>
      </c>
      <c r="F10" s="8" t="inlineStr">
        <is>
          <t>Carbonated soft drink</t>
        </is>
      </c>
    </row>
    <row r="11" ht="22" customHeight="1">
      <c r="B11" s="4" t="inlineStr">
        <is>
          <t>P007</t>
        </is>
      </c>
      <c r="C11" s="4" t="inlineStr">
        <is>
          <t>Sandwich</t>
        </is>
      </c>
      <c r="D11" s="4" t="inlineStr">
        <is>
          <t>Main Course</t>
        </is>
      </c>
      <c r="E11" s="6" t="n">
        <v>25</v>
      </c>
      <c r="F11" s="4" t="inlineStr">
        <is>
          <t>Grilled chicken sandwich</t>
        </is>
      </c>
    </row>
    <row r="12" ht="22" customHeight="1">
      <c r="B12" s="8" t="inlineStr">
        <is>
          <t>P008</t>
        </is>
      </c>
      <c r="C12" s="8" t="inlineStr">
        <is>
          <t>Burger</t>
        </is>
      </c>
      <c r="D12" s="8" t="inlineStr">
        <is>
          <t>Main Course</t>
        </is>
      </c>
      <c r="E12" s="10" t="n">
        <v>35</v>
      </c>
      <c r="F12" s="8" t="inlineStr">
        <is>
          <t>Classic beef burger with fries</t>
        </is>
      </c>
    </row>
    <row r="13" ht="22" customHeight="1">
      <c r="B13" s="4" t="inlineStr">
        <is>
          <t>P009</t>
        </is>
      </c>
      <c r="C13" s="4" t="inlineStr">
        <is>
          <t>Pasta</t>
        </is>
      </c>
      <c r="D13" s="4" t="inlineStr">
        <is>
          <t>Main Course</t>
        </is>
      </c>
      <c r="E13" s="6" t="n">
        <v>45</v>
      </c>
      <c r="F13" s="4" t="inlineStr">
        <is>
          <t>Creamy Alfredo pasta</t>
        </is>
      </c>
    </row>
    <row r="14" ht="22" customHeight="1">
      <c r="B14" s="8" t="inlineStr">
        <is>
          <t>P010</t>
        </is>
      </c>
      <c r="C14" s="8" t="inlineStr">
        <is>
          <t>Grilled Chicken</t>
        </is>
      </c>
      <c r="D14" s="8" t="inlineStr">
        <is>
          <t>Main Course</t>
        </is>
      </c>
      <c r="E14" s="10" t="n">
        <v>55</v>
      </c>
      <c r="F14" s="8" t="inlineStr">
        <is>
          <t>Herb-marinated grilled chicken</t>
        </is>
      </c>
    </row>
    <row r="15" ht="22" customHeight="1">
      <c r="B15" s="4" t="inlineStr">
        <is>
          <t>P011</t>
        </is>
      </c>
      <c r="C15" s="4" t="inlineStr">
        <is>
          <t>Shawarma</t>
        </is>
      </c>
      <c r="D15" s="4" t="inlineStr">
        <is>
          <t>Main Course</t>
        </is>
      </c>
      <c r="E15" s="6" t="n">
        <v>30</v>
      </c>
      <c r="F15" s="4" t="inlineStr">
        <is>
          <t>Chicken shawarma wrap</t>
        </is>
      </c>
    </row>
    <row r="16" ht="22" customHeight="1">
      <c r="B16" s="8" t="inlineStr">
        <is>
          <t>P012</t>
        </is>
      </c>
      <c r="C16" s="8" t="inlineStr">
        <is>
          <t>Biryani</t>
        </is>
      </c>
      <c r="D16" s="8" t="inlineStr">
        <is>
          <t>Main Course</t>
        </is>
      </c>
      <c r="E16" s="10" t="n">
        <v>40</v>
      </c>
      <c r="F16" s="8" t="inlineStr">
        <is>
          <t>Hyderabadi chicken biryani</t>
        </is>
      </c>
    </row>
    <row r="17" ht="22" customHeight="1">
      <c r="B17" s="4" t="inlineStr">
        <is>
          <t>P013</t>
        </is>
      </c>
      <c r="C17" s="4" t="inlineStr">
        <is>
          <t>Salad</t>
        </is>
      </c>
      <c r="D17" s="4" t="inlineStr">
        <is>
          <t>Appetizers</t>
        </is>
      </c>
      <c r="E17" s="6" t="n">
        <v>30</v>
      </c>
      <c r="F17" s="4" t="inlineStr">
        <is>
          <t>Caesar salad with croutons</t>
        </is>
      </c>
    </row>
    <row r="18" ht="22" customHeight="1">
      <c r="B18" s="8" t="inlineStr">
        <is>
          <t>P014</t>
        </is>
      </c>
      <c r="C18" s="8" t="inlineStr">
        <is>
          <t>Soup</t>
        </is>
      </c>
      <c r="D18" s="8" t="inlineStr">
        <is>
          <t>Appetizers</t>
        </is>
      </c>
      <c r="E18" s="10" t="n">
        <v>20</v>
      </c>
      <c r="F18" s="8" t="inlineStr">
        <is>
          <t>Lentil soup with lemon</t>
        </is>
      </c>
    </row>
    <row r="19" ht="22" customHeight="1">
      <c r="B19" s="4" t="inlineStr">
        <is>
          <t>P015</t>
        </is>
      </c>
      <c r="C19" s="4" t="inlineStr">
        <is>
          <t>Fries</t>
        </is>
      </c>
      <c r="D19" s="4" t="inlineStr">
        <is>
          <t>Appetizers</t>
        </is>
      </c>
      <c r="E19" s="6" t="n">
        <v>15</v>
      </c>
      <c r="F19" s="4" t="inlineStr">
        <is>
          <t>Crispy seasoned fries</t>
        </is>
      </c>
    </row>
    <row r="20" ht="22" customHeight="1">
      <c r="B20" s="8" t="inlineStr">
        <is>
          <t>P016</t>
        </is>
      </c>
      <c r="C20" s="8" t="inlineStr">
        <is>
          <t>Hummus</t>
        </is>
      </c>
      <c r="D20" s="8" t="inlineStr">
        <is>
          <t>Appetizers</t>
        </is>
      </c>
      <c r="E20" s="10" t="n">
        <v>18</v>
      </c>
      <c r="F20" s="8" t="inlineStr">
        <is>
          <t>Classic hummus with pita</t>
        </is>
      </c>
    </row>
    <row r="21" ht="22" customHeight="1">
      <c r="B21" s="4" t="inlineStr">
        <is>
          <t>P017</t>
        </is>
      </c>
      <c r="C21" s="4" t="inlineStr">
        <is>
          <t>Cake</t>
        </is>
      </c>
      <c r="D21" s="4" t="inlineStr">
        <is>
          <t>Desserts</t>
        </is>
      </c>
      <c r="E21" s="6" t="n">
        <v>22</v>
      </c>
      <c r="F21" s="4" t="inlineStr">
        <is>
          <t>Chocolate lava cake</t>
        </is>
      </c>
    </row>
    <row r="22" ht="22" customHeight="1">
      <c r="B22" s="8" t="inlineStr">
        <is>
          <t>P018</t>
        </is>
      </c>
      <c r="C22" s="8" t="inlineStr">
        <is>
          <t>Cheesecake</t>
        </is>
      </c>
      <c r="D22" s="8" t="inlineStr">
        <is>
          <t>Desserts</t>
        </is>
      </c>
      <c r="E22" s="10" t="n">
        <v>28</v>
      </c>
      <c r="F22" s="8" t="inlineStr">
        <is>
          <t>New York style cheesecake</t>
        </is>
      </c>
    </row>
    <row r="23" ht="22" customHeight="1">
      <c r="B23" s="4" t="inlineStr">
        <is>
          <t>P019</t>
        </is>
      </c>
      <c r="C23" s="4" t="inlineStr">
        <is>
          <t>Ice Cream</t>
        </is>
      </c>
      <c r="D23" s="4" t="inlineStr">
        <is>
          <t>Desserts</t>
        </is>
      </c>
      <c r="E23" s="6" t="n">
        <v>16</v>
      </c>
      <c r="F23" s="4" t="inlineStr">
        <is>
          <t>Three scoops choice of flavour</t>
        </is>
      </c>
    </row>
    <row r="24" ht="22" customHeight="1">
      <c r="B24" s="8" t="inlineStr">
        <is>
          <t>P020</t>
        </is>
      </c>
      <c r="C24" s="8" t="inlineStr">
        <is>
          <t>Kunafa</t>
        </is>
      </c>
      <c r="D24" s="8" t="inlineStr">
        <is>
          <t>Desserts</t>
        </is>
      </c>
      <c r="E24" s="10" t="n">
        <v>25</v>
      </c>
      <c r="F24" s="8" t="inlineStr">
        <is>
          <t>Traditional Palestinian kunafa</t>
        </is>
      </c>
    </row>
    <row r="25" ht="22" customHeight="1">
      <c r="B25" s="4" t="inlineStr">
        <is>
          <t>P021</t>
        </is>
      </c>
      <c r="C25" s="4" t="inlineStr">
        <is>
          <t>Latte</t>
        </is>
      </c>
      <c r="D25" s="4" t="inlineStr">
        <is>
          <t>Beverages</t>
        </is>
      </c>
      <c r="E25" s="6" t="n">
        <v>20</v>
      </c>
      <c r="F25" s="4" t="inlineStr">
        <is>
          <t>Caffe latte with steamed milk</t>
        </is>
      </c>
    </row>
    <row r="26" ht="22" customHeight="1">
      <c r="B26" s="8" t="inlineStr">
        <is>
          <t>P022</t>
        </is>
      </c>
      <c r="C26" s="8" t="inlineStr">
        <is>
          <t>Mojito Mocktail</t>
        </is>
      </c>
      <c r="D26" s="8" t="inlineStr">
        <is>
          <t>Beverages</t>
        </is>
      </c>
      <c r="E26" s="10" t="n">
        <v>24</v>
      </c>
      <c r="F26" s="8" t="inlineStr">
        <is>
          <t>Fresh lime and mint mocktail</t>
        </is>
      </c>
    </row>
    <row r="27" ht="22" customHeight="1">
      <c r="B27" s="4" t="inlineStr">
        <is>
          <t>P023</t>
        </is>
      </c>
      <c r="C27" s="4" t="inlineStr">
        <is>
          <t>Mandi</t>
        </is>
      </c>
      <c r="D27" s="4" t="inlineStr">
        <is>
          <t>Main Course</t>
        </is>
      </c>
      <c r="E27" s="6" t="n">
        <v>50</v>
      </c>
      <c r="F27" s="4" t="inlineStr">
        <is>
          <t>Lamb mandi with saffron rice</t>
        </is>
      </c>
    </row>
    <row r="28" ht="22" customHeight="1">
      <c r="B28" s="8" t="inlineStr">
        <is>
          <t>P024</t>
        </is>
      </c>
      <c r="C28" s="8" t="inlineStr">
        <is>
          <t>Manakish</t>
        </is>
      </c>
      <c r="D28" s="8" t="inlineStr">
        <is>
          <t>Appetizers</t>
        </is>
      </c>
      <c r="E28" s="10" t="n">
        <v>16</v>
      </c>
      <c r="F28" s="8" t="inlineStr">
        <is>
          <t>Zaatar and cheese manakish</t>
        </is>
      </c>
    </row>
    <row r="29" ht="26" customHeight="1">
      <c r="B29" s="11" t="inlineStr">
        <is>
          <t>TOTALS</t>
        </is>
      </c>
      <c r="C29" s="11">
        <f>COUNTA(C5:C28)&amp;" items"</f>
        <v/>
      </c>
      <c r="D29" s="12" t="n"/>
      <c r="E29" s="14">
        <f>IFERROR(SUM(E5:E28),"")</f>
        <v/>
      </c>
      <c r="F29" s="12" t="n"/>
    </row>
  </sheetData>
  <mergeCells count="1">
    <mergeCell ref="B2:F2"/>
  </mergeCells>
  <dataValidations count="1">
    <dataValidation sqref="D5:D58" showDropDown="0" showInputMessage="0" showErrorMessage="0" allowBlank="1" errorTitle="Invalid Category" error="Please select a valid category" promptTitle="Category" prompt="Select product category" type="list">
      <formula1>"Beverages,Main Course,Appetizers,Desserts"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2026-05-23T21:41:34Z</dcterms:created>
  <dcterms:modified xmlns:dcterms="http://purl.org/dc/terms/" xmlns:xsi="http://www.w3.org/2001/XMLSchema-instance" xsi:type="dcterms:W3CDTF">2026-05-23T21:41:34Z</dcterms:modified>
</cp:coreProperties>
</file>